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1.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ivilaff\Documents\PER\02. VBA 2.0\Well_Forecast_CB_Eco_Val\"/>
    </mc:Choice>
  </mc:AlternateContent>
  <bookViews>
    <workbookView xWindow="120" yWindow="135" windowWidth="28590" windowHeight="14820"/>
  </bookViews>
  <sheets>
    <sheet name="Initial Rate Corr" sheetId="18" r:id="rId1"/>
    <sheet name="Well Prod" sheetId="14" r:id="rId2"/>
    <sheet name="CB_DATA_" sheetId="9" state="hidden" r:id="rId3"/>
    <sheet name="Well OPEX-Schedule" sheetId="15" r:id="rId4"/>
    <sheet name="Cash Flow" sheetId="8" r:id="rId5"/>
    <sheet name="Variables" sheetId="16" r:id="rId6"/>
    <sheet name="Charts" sheetId="17" r:id="rId7"/>
    <sheet name="Charts_Scatter" sheetId="20" r:id="rId8"/>
    <sheet name="CB Trial Gas Rate" sheetId="19" r:id="rId9"/>
  </sheets>
  <definedNames>
    <definedName name="CB_0018fa8d41e543b0934105694cd71a9d" localSheetId="8" hidden="1">'CB Trial Gas Rate'!$R$7</definedName>
    <definedName name="CB_035ddbfaa6da496fbf0870f01da98b04" localSheetId="8" hidden="1">'CB Trial Gas Rate'!$Q$7</definedName>
    <definedName name="CB_0478c3aad09d4c05b333ad4becf42412" localSheetId="8" hidden="1">'CB Trial Gas Rate'!$B$7</definedName>
    <definedName name="CB_06432963bc28491e9f8d9b7d7041fb96" localSheetId="1" hidden="1">'Well Prod'!$C$19</definedName>
    <definedName name="CB_08f49c48bda0479d8854afab968f22b3" localSheetId="8" hidden="1">'CB Trial Gas Rate'!$G$7</definedName>
    <definedName name="CB_10d7b680d33842739dd6cd75ee6846bb" localSheetId="8" hidden="1">'CB Trial Gas Rate'!$J$7</definedName>
    <definedName name="CB_11d9df3e159844ca84653fceed79e3b6" localSheetId="8" hidden="1">'CB Trial Gas Rate'!$V$7</definedName>
    <definedName name="CB_13f89eb97f14442ea75b15b0c89bee05" localSheetId="4" hidden="1">'Cash Flow'!$F$25</definedName>
    <definedName name="CB_15a2edb8076349ac8ed2b7984d0249de" localSheetId="2" hidden="1">#N/A</definedName>
    <definedName name="CB_16c46c397ec643b4a55e07db2ee8d890" localSheetId="3" hidden="1">'Well OPEX-Schedule'!$C$3</definedName>
    <definedName name="CB_2631408a87ce422782c3d9dc8a66eb09" localSheetId="4" hidden="1">'Cash Flow'!$C$30</definedName>
    <definedName name="CB_2fe72941a94347b4b7e059b96a64682b" localSheetId="5" hidden="1">Variables!$C$15</definedName>
    <definedName name="CB_347d1dafa6d64811a4562a930a9f18d0" localSheetId="5" hidden="1">Variables!$C$18</definedName>
    <definedName name="CB_39ebb7e9cc9d40b487d3e768ad8528f4" localSheetId="8" hidden="1">'CB Trial Gas Rate'!$E$7</definedName>
    <definedName name="CB_40d8a976dd60484da45b9af0176c3a1a" localSheetId="5" hidden="1">Variables!$C$11</definedName>
    <definedName name="CB_484247a871da464084f0c475ad2f0b68" localSheetId="3" hidden="1">'Well OPEX-Schedule'!$C$7</definedName>
    <definedName name="CB_4ec069f10ad948ff9ec1a3e254f9aeb0" localSheetId="3" hidden="1">'Well OPEX-Schedule'!$C$10</definedName>
    <definedName name="CB_4f167d2465764b79b68ce679b3bfb84c" localSheetId="8" hidden="1">'CB Trial Gas Rate'!$X$7</definedName>
    <definedName name="CB_505e45c70c404ef0a45ff1d845009ead" localSheetId="3" hidden="1">'Well OPEX-Schedule'!$C$4</definedName>
    <definedName name="CB_5716ec13180d4c6dbe00ee2612b5fc57" localSheetId="5" hidden="1">Variables!$C$22</definedName>
    <definedName name="CB_591014aaef12421b964eb3aab48e1bec" localSheetId="8" hidden="1">'CB Trial Gas Rate'!$M$7</definedName>
    <definedName name="CB_5b0e73a26f0347ccacf1400a9a338132" localSheetId="8" hidden="1">'CB Trial Gas Rate'!$C$7</definedName>
    <definedName name="CB_61d2344f021b45a08d3f66d7c23754c5" localSheetId="8" hidden="1">'CB Trial Gas Rate'!$AB$7</definedName>
    <definedName name="CB_701e49ef67b646349ae8a474292ffc98" localSheetId="8" hidden="1">'CB Trial Gas Rate'!$D$7</definedName>
    <definedName name="CB_8a9283d6219f4f13a51c287358fe0d7d" localSheetId="8" hidden="1">'CB Trial Gas Rate'!$T$7</definedName>
    <definedName name="CB_931c0ef7cb794ffab2f085a7f6d4c440" localSheetId="8" hidden="1">'CB Trial Gas Rate'!$AD$7</definedName>
    <definedName name="CB_94887c83f0b34ff6a223f4923c87c095" localSheetId="8" hidden="1">'CB Trial Gas Rate'!$W$7</definedName>
    <definedName name="CB_9512e1ddd32044b1b6fb3754e9e48461" localSheetId="1" hidden="1">'Well Prod'!$C$17</definedName>
    <definedName name="CB_963db5bfbb304e45b9bdc7125ca484c5" localSheetId="8" hidden="1">'CB Trial Gas Rate'!$H$7</definedName>
    <definedName name="CB_9b87696094fa4a0bb1471935200d3cf5" localSheetId="2" hidden="1">#N/A</definedName>
    <definedName name="CB_9b98d45d1961430c9dec71860fadbd80" localSheetId="8" hidden="1">'CB Trial Gas Rate'!$P$7</definedName>
    <definedName name="CB_a1c270a6d2a54c05b21f3c75f642ff52" localSheetId="8" hidden="1">'CB Trial Gas Rate'!$Y$7</definedName>
    <definedName name="CB_a3611d71837d4aa28457960e4f1c90ea" localSheetId="5" hidden="1">Variables!$C$17</definedName>
    <definedName name="CB_a6d6cd934efa4baca1dadaa40978ed7a" localSheetId="5" hidden="1">Variables!$C$10</definedName>
    <definedName name="CB_acf76b724fbd4e83812e01e9b1de1fc0" localSheetId="5" hidden="1">Variables!$C$19</definedName>
    <definedName name="CB_b1c87adfd6b4457db287cc463a160903" localSheetId="8" hidden="1">'CB Trial Gas Rate'!$Z$7</definedName>
    <definedName name="CB_Block_00000000000000000000000000000000" localSheetId="4" hidden="1">"'7.0.0.0"</definedName>
    <definedName name="CB_Block_00000000000000000000000000000000" localSheetId="8" hidden="1">"'7.0.0.0"</definedName>
    <definedName name="CB_Block_00000000000000000000000000000000" localSheetId="2" hidden="1">"'7.0.0.0"</definedName>
    <definedName name="CB_Block_00000000000000000000000000000000" localSheetId="5" hidden="1">"'7.0.0.0"</definedName>
    <definedName name="CB_Block_00000000000000000000000000000000" localSheetId="3" hidden="1">"'7.0.0.0"</definedName>
    <definedName name="CB_Block_00000000000000000000000000000000" localSheetId="1" hidden="1">"'7.0.0.0"</definedName>
    <definedName name="CB_Block_00000000000000000000000000000001" localSheetId="4" hidden="1">"'638194799272498508"</definedName>
    <definedName name="CB_Block_00000000000000000000000000000001" localSheetId="8" hidden="1">"'638194810666349985"</definedName>
    <definedName name="CB_Block_00000000000000000000000000000001" localSheetId="2" hidden="1">"'638194801753230253"</definedName>
    <definedName name="CB_Block_00000000000000000000000000000001" localSheetId="5" hidden="1">"'638194799273619602"</definedName>
    <definedName name="CB_Block_00000000000000000000000000000001" localSheetId="3" hidden="1">"'638194799271684444"</definedName>
    <definedName name="CB_Block_00000000000000000000000000000001" localSheetId="1" hidden="1">"'638194799270984455"</definedName>
    <definedName name="CB_Block_00000000000000000000000000000003" localSheetId="4" hidden="1">"'11.1.4716.0"</definedName>
    <definedName name="CB_Block_00000000000000000000000000000003" localSheetId="8" hidden="1">"'11.1.4716.0"</definedName>
    <definedName name="CB_Block_00000000000000000000000000000003" localSheetId="2" hidden="1">"'11.1.4716.0"</definedName>
    <definedName name="CB_Block_00000000000000000000000000000003" localSheetId="5" hidden="1">"'11.1.4716.0"</definedName>
    <definedName name="CB_Block_00000000000000000000000000000003" localSheetId="3" hidden="1">"'11.1.4716.0"</definedName>
    <definedName name="CB_Block_00000000000000000000000000000003" localSheetId="1" hidden="1">"'11.1.4716.0"</definedName>
    <definedName name="CB_BlockExt_00000000000000000000000000000003" localSheetId="4" hidden="1">"'11.1.2.4.850"</definedName>
    <definedName name="CB_BlockExt_00000000000000000000000000000003" localSheetId="8" hidden="1">"'11.1.2.4.850"</definedName>
    <definedName name="CB_BlockExt_00000000000000000000000000000003" localSheetId="2" hidden="1">"'11.1.2.4.850"</definedName>
    <definedName name="CB_BlockExt_00000000000000000000000000000003" localSheetId="5" hidden="1">"'11.1.2.4.850"</definedName>
    <definedName name="CB_BlockExt_00000000000000000000000000000003" localSheetId="3" hidden="1">"'11.1.2.4.850"</definedName>
    <definedName name="CB_BlockExt_00000000000000000000000000000003" localSheetId="1" hidden="1">"'11.1.2.4.850"</definedName>
    <definedName name="CB_c45b37b0261d44c98c42dbd1d37793a8" localSheetId="1" hidden="1">'Well Prod'!$C$18</definedName>
    <definedName name="CB_c4eb5f58b37e45e79c6bc043eeabe183" localSheetId="5" hidden="1">Variables!$C$16</definedName>
    <definedName name="CB_c69b00ad224544e6a4280018d72081c3" localSheetId="8" hidden="1">'CB Trial Gas Rate'!$AA$7</definedName>
    <definedName name="CB_c791fd2889984130b422c5343f762bee" localSheetId="8" hidden="1">'CB Trial Gas Rate'!$I$7</definedName>
    <definedName name="CB_c7ca2f168dfb481aa74e65dadc8bee82" localSheetId="5" hidden="1">Variables!$C$20</definedName>
    <definedName name="CB_c7f49ee79c964feaac4e8ad26745f525" localSheetId="5" hidden="1">Variables!$C$21</definedName>
    <definedName name="CB_cc62a2971cf649f8a31347d01894c239" localSheetId="5" hidden="1">Variables!$C$12</definedName>
    <definedName name="CB_cc7c0ccba9e34e5a806238a50e1e8c18" localSheetId="8" hidden="1">'CB Trial Gas Rate'!$S$7</definedName>
    <definedName name="CB_cce85eb8d0e14cbcb69d9b95ae003f9b" localSheetId="8" hidden="1">'CB Trial Gas Rate'!$O$7</definedName>
    <definedName name="CB_d042c038949e4384ab19425ffb373d6e" localSheetId="5" hidden="1">Variables!$C$14</definedName>
    <definedName name="CB_d57dad2b32ef4998ada25996d9d7721b" localSheetId="8" hidden="1">'CB Trial Gas Rate'!$F$7</definedName>
    <definedName name="CB_d61fc5fe5ba144eab7d848aca78c542b" localSheetId="4" hidden="1">'Cash Flow'!$F$23</definedName>
    <definedName name="CB_d7705eb8faee42aabc939b8fe7c26a21" localSheetId="8" hidden="1">'CB Trial Gas Rate'!$AF$7</definedName>
    <definedName name="CB_e229ae47fc69426eaea714a46af8eeec" localSheetId="5" hidden="1">Variables!$C$23</definedName>
    <definedName name="CB_e450d8b221fe4ae28982dd4df3657187" localSheetId="3" hidden="1">'Well OPEX-Schedule'!$C$8</definedName>
    <definedName name="CB_e66719870958407fb178a2fe70b36fd8" localSheetId="8" hidden="1">'CB Trial Gas Rate'!$N$7</definedName>
    <definedName name="CB_e8c4d25cd12c4e3f890b34fa26f1d0a1" localSheetId="4" hidden="1">'Cash Flow'!$F$26</definedName>
    <definedName name="CB_e957ff6ed33b46279ea791b8d5e32ba8" localSheetId="5" hidden="1">Variables!$C$13</definedName>
    <definedName name="CB_eaccca918f0b4d2a95dc3ce68ab7f0f5" localSheetId="8" hidden="1">'CB Trial Gas Rate'!$K$7</definedName>
    <definedName name="CB_f0554306d91c46d3adcc50d318df4c85" localSheetId="8" hidden="1">'CB Trial Gas Rate'!$AC$7</definedName>
    <definedName name="CB_f0b0ee20a35243b99772c9ccd73f8886" localSheetId="2" hidden="1">#N/A</definedName>
    <definedName name="CB_f74312ceef704900b15b7cb111151aec" localSheetId="8" hidden="1">'CB Trial Gas Rate'!$U$7</definedName>
    <definedName name="CB_fb8a745b428b475f992c5e908aec22af" localSheetId="8" hidden="1">'CB Trial Gas Rate'!$AE$7</definedName>
    <definedName name="CB_fb985a48b12c4d9193d1cf55096f8eca" localSheetId="8" hidden="1">'CB Trial Gas Rate'!$L$7</definedName>
    <definedName name="CBCR_04dac009ede348959951dc381289f5a2" localSheetId="2" hidden="1">CB_DATA_!$A$10001</definedName>
    <definedName name="CBCR_06019527fd604d9bb7c2224880e477b3" localSheetId="4" hidden="1">'Cash Flow'!$E$30</definedName>
    <definedName name="CBCR_085fe398ab474910b212aa674652cfc1" localSheetId="1" hidden="1">'Well Prod'!$D$17</definedName>
    <definedName name="CBCR_0a31da08f5c14036a04d068ef3255a35" localSheetId="4" hidden="1">'Cash Flow'!$E$26</definedName>
    <definedName name="CBCR_0fd897799597402586cfcb0fccae9be0" localSheetId="5" hidden="1">Variables!$E$18</definedName>
    <definedName name="CBCR_1ac5325a044e4a6493f1f91eacd85fc3" localSheetId="3" hidden="1">'Well OPEX-Schedule'!$E$7</definedName>
    <definedName name="CBCR_1dc0af35f4c242f4ad854be6ca9fda6a" localSheetId="5" hidden="1">Variables!$D$11</definedName>
    <definedName name="CBCR_1f4fdd3eae87412a83a1e15fd052bc5c" localSheetId="5" hidden="1">Variables!$D$16</definedName>
    <definedName name="CBCR_2d75689a4db749c8849b22bf841a647e" localSheetId="1" hidden="1">'Well Prod'!$D$19</definedName>
    <definedName name="CBCR_3288c121756b477ea2650f731e34b7c8" localSheetId="3" hidden="1">'Well OPEX-Schedule'!$E$4</definedName>
    <definedName name="CBCR_3c7bceefa22045ac904b40223476f8bf" localSheetId="5" hidden="1">Variables!$E$14</definedName>
    <definedName name="CBCR_3d64f1a0de4a4ce99d172a4e774e2b6a" localSheetId="1" hidden="1">'Well Prod'!$E$17</definedName>
    <definedName name="CBCR_43e4ed726ae141478baa4758aaec8119" localSheetId="4" hidden="1">'Cash Flow'!$D$26</definedName>
    <definedName name="CBCR_458a7c10f7094c0f993ac8bab2313a80" localSheetId="5" hidden="1">Variables!$D$18</definedName>
    <definedName name="CBCR_5194d10834024ee8a89ad0784e58a693" localSheetId="3" hidden="1">'Well OPEX-Schedule'!$F$4</definedName>
    <definedName name="CBCR_52b80369c1174895a916ed0174cde302" localSheetId="5" hidden="1">Variables!$E$19</definedName>
    <definedName name="CBCR_58664d5ef2e648a2aa887dd518ff3bb5" localSheetId="3" hidden="1">'Well OPEX-Schedule'!$E$7</definedName>
    <definedName name="CBCR_58cd0f601d2c42909fdb667768b17e15" localSheetId="4" hidden="1">'Cash Flow'!$D$25</definedName>
    <definedName name="CBCR_5ccbc006269b41d7a17d51083fc812c1" localSheetId="3" hidden="1">'Well OPEX-Schedule'!$E$10</definedName>
    <definedName name="CBCR_5f44cf9063eb458a944f2f2ee56432c4" localSheetId="5" hidden="1">Variables!$B$16</definedName>
    <definedName name="CBCR_621420ce58ed4f628693fcf0998dc79c" localSheetId="4" hidden="1">'Cash Flow'!$E$23</definedName>
    <definedName name="CBCR_64e101aa215d4c4fb405b2bb1dbe8917" localSheetId="5" hidden="1">Variables!$D$17</definedName>
    <definedName name="CBCR_6ac50a3bbc3b4814b19a3b1361de689b" localSheetId="3" hidden="1">'Well OPEX-Schedule'!$E$3</definedName>
    <definedName name="CBCR_84fea94a3cd644538c8cdd4f708b96e4" localSheetId="4" hidden="1">'Cash Flow'!$B$23</definedName>
    <definedName name="CBCR_946ddd63126947e59931aee8e7ad0503" localSheetId="1" hidden="1">'Well Prod'!$E$18</definedName>
    <definedName name="CBCR_a320c139cde346128ad19c57244d1b43" localSheetId="4" hidden="1">'Cash Flow'!$E$25</definedName>
    <definedName name="CBCR_a40ea7d7c2994befbc2c1fc3535cc958" localSheetId="3" hidden="1">'Well OPEX-Schedule'!$F$3</definedName>
    <definedName name="CBCR_a7ffd769a53949769f9c8e018f1a3635" localSheetId="3" hidden="1">'Well OPEX-Schedule'!$F$7</definedName>
    <definedName name="CBCR_a934fa11c20244fc9580ed3ecb193dac" localSheetId="5" hidden="1">Variables!$E$10</definedName>
    <definedName name="CBCR_b9b72f7ce95f4f078fbf5315d75b41de" localSheetId="5" hidden="1">Variables!$E$13</definedName>
    <definedName name="CBCR_c807dec6365b4305b6b5e7e1e1c42b6f" localSheetId="5" hidden="1">Variables!$D$12</definedName>
    <definedName name="CBCR_ca6cbc12bb944831a7a9b8452f6075f3" localSheetId="1" hidden="1">'Well Prod'!$E$19</definedName>
    <definedName name="CBCR_dffe53b54f714c47b1985e3f7ad160a7" localSheetId="1" hidden="1">'Well Prod'!$D$18</definedName>
    <definedName name="CBCR_e59784774f9d410a852efc38952d1078" localSheetId="4" hidden="1">'Cash Flow'!$D$30</definedName>
    <definedName name="CBCR_ecfeedad1d24419c970172146fc148d4" localSheetId="5" hidden="1">Variables!$E$17</definedName>
    <definedName name="CBCR_ed2f81380acd4126ade32b7d0e0036f1" localSheetId="4" hidden="1">'Cash Flow'!$D$23</definedName>
    <definedName name="CBCR_f0160c4bdb8d4705ab3444153140bff7" localSheetId="3" hidden="1">'Well OPEX-Schedule'!$B$8</definedName>
    <definedName name="CBCR_f0b84def27704a70ac98a3ce2d98d15b" localSheetId="3" hidden="1">'Well OPEX-Schedule'!$F$10</definedName>
    <definedName name="CBCR_f22cb7678818422f8b3006ddbdf8c99c" localSheetId="5" hidden="1">Variables!$D$19</definedName>
    <definedName name="CBCR_f5c7a8168cba41f794750a0d968d5034" localSheetId="3" hidden="1">'Well OPEX-Schedule'!$F$7</definedName>
    <definedName name="CBWorkbookPriority" localSheetId="2" hidden="1">-2026689288</definedName>
    <definedName name="CBx_1f99c11414e344c480ce65749bee6894" localSheetId="2" hidden="1">"'CB Trial Gas Rate'!$A$1"</definedName>
    <definedName name="CBx_38b7d42e0cf64d9a9e426e51a28dcaa4" localSheetId="2" hidden="1">"'Well Prod'!$A$1"</definedName>
    <definedName name="CBx_55a45e7699f247519184609a7847aef8" localSheetId="2" hidden="1">"'Well OPEX-Schedule'!$A$1"</definedName>
    <definedName name="CBx_93b630976282492b9bc7628c834a54f0" localSheetId="2" hidden="1">"'Well CB'!$A$1"</definedName>
    <definedName name="CBx_c1c7070ebc084abd8bbad82ccd534f31" localSheetId="2" hidden="1">"'CB_DATA_'!$A$1"</definedName>
    <definedName name="CBx_d3c25350439a4dca9e27edbc31158a7a" localSheetId="2" hidden="1">"'Schedule Data'!$A$1"</definedName>
    <definedName name="CBx_f071e19f4f61421ab74825d6c962a3b4" localSheetId="2" hidden="1">"'Variables'!$A$1"</definedName>
    <definedName name="CBx_fad33816f8624a1c9a64976c1298b923" localSheetId="2" hidden="1">"'Cash Flow'!$A$1"</definedName>
    <definedName name="CBx_Sheet_Guid" localSheetId="4" hidden="1">"'fad33816-f862-4a1c-9a64-976c1298b923"</definedName>
    <definedName name="CBx_Sheet_Guid" localSheetId="8" hidden="1">"'1f99c114-14e3-44c4-80ce-65749bee6894"</definedName>
    <definedName name="CBx_Sheet_Guid" localSheetId="2" hidden="1">"'c1c7070e-bc08-4abd-8bba-d82ccd534f31"</definedName>
    <definedName name="CBx_Sheet_Guid" localSheetId="5" hidden="1">"'f071e19f-4f61-421a-b748-25d6c962a3b4"</definedName>
    <definedName name="CBx_Sheet_Guid" localSheetId="3" hidden="1">"'55a45e76-99f2-4751-9184-609a7847aef8"</definedName>
    <definedName name="CBx_Sheet_Guid" localSheetId="1" hidden="1">"'38b7d42e-0cf6-4d9a-9e42-6e51a28dcaa4"</definedName>
    <definedName name="CBx_SheetRef" localSheetId="4" hidden="1">CB_DATA_!$E$14</definedName>
    <definedName name="CBx_SheetRef" localSheetId="8" hidden="1">CB_DATA_!$I$14</definedName>
    <definedName name="CBx_SheetRef" localSheetId="2" hidden="1">CB_DATA_!$A$14</definedName>
    <definedName name="CBx_SheetRef" localSheetId="5" hidden="1">CB_DATA_!$H$14</definedName>
    <definedName name="CBx_SheetRef" localSheetId="3" hidden="1">CB_DATA_!$G$14</definedName>
    <definedName name="CBx_SheetRef" localSheetId="1" hidden="1">CB_DATA_!$F$14</definedName>
    <definedName name="CBx_StorageType" localSheetId="4" hidden="1">2</definedName>
    <definedName name="CBx_StorageType" localSheetId="8" hidden="1">2</definedName>
    <definedName name="CBx_StorageType" localSheetId="2" hidden="1">2</definedName>
    <definedName name="CBx_StorageType" localSheetId="5" hidden="1">2</definedName>
    <definedName name="CBx_StorageType" localSheetId="3" hidden="1">2</definedName>
    <definedName name="CBx_StorageType" localSheetId="1" hidden="1">2</definedName>
  </definedNames>
  <calcPr calcId="162913" refMode="R1C1"/>
</workbook>
</file>

<file path=xl/calcChain.xml><?xml version="1.0" encoding="utf-8"?>
<calcChain xmlns="http://schemas.openxmlformats.org/spreadsheetml/2006/main">
  <c r="I11" i="9" l="1"/>
  <c r="AB5" i="19"/>
  <c r="AC5" i="19"/>
  <c r="AD5" i="19"/>
  <c r="AE5" i="19"/>
  <c r="AF5" i="19"/>
  <c r="C5" i="19"/>
  <c r="D5" i="19"/>
  <c r="E5" i="19"/>
  <c r="F5" i="19"/>
  <c r="G5" i="19"/>
  <c r="H5" i="19"/>
  <c r="I5" i="19"/>
  <c r="J5" i="19"/>
  <c r="K5" i="19"/>
  <c r="L5" i="19"/>
  <c r="M5" i="19"/>
  <c r="N5" i="19"/>
  <c r="O5" i="19"/>
  <c r="P5" i="19"/>
  <c r="Q5" i="19"/>
  <c r="R5" i="19"/>
  <c r="S5" i="19"/>
  <c r="T5" i="19"/>
  <c r="U5" i="19"/>
  <c r="V5" i="19"/>
  <c r="W5" i="19"/>
  <c r="X5" i="19"/>
  <c r="Y5" i="19"/>
  <c r="Z5" i="19"/>
  <c r="AA5" i="19"/>
  <c r="B5" i="19"/>
  <c r="K4" i="15"/>
  <c r="P2" i="9"/>
  <c r="E40" i="18" l="1"/>
  <c r="T9" i="18"/>
  <c r="C37" i="18"/>
  <c r="C39" i="18" s="1"/>
  <c r="D39" i="18" s="1"/>
  <c r="D40" i="18" s="1"/>
  <c r="C36" i="18"/>
  <c r="C35" i="18"/>
  <c r="C34" i="18"/>
  <c r="C33" i="18"/>
  <c r="C32" i="18"/>
  <c r="C31" i="18"/>
  <c r="C30" i="18"/>
  <c r="C11" i="18"/>
  <c r="C10" i="18"/>
  <c r="F19" i="18"/>
  <c r="C19" i="18" s="1"/>
  <c r="F20" i="18"/>
  <c r="C20" i="18" s="1"/>
  <c r="F21" i="18"/>
  <c r="F22" i="18"/>
  <c r="F23" i="18"/>
  <c r="C13" i="18"/>
  <c r="F18" i="18"/>
  <c r="C18" i="18" s="1"/>
  <c r="C12" i="18"/>
  <c r="C14" i="18"/>
  <c r="C15" i="18"/>
  <c r="C16" i="18"/>
  <c r="C17" i="18"/>
  <c r="C21" i="18"/>
  <c r="C23" i="18"/>
  <c r="C22" i="18"/>
  <c r="C40" i="18" l="1"/>
  <c r="F2" i="18"/>
  <c r="F3" i="18" s="1"/>
  <c r="F4" i="18" s="1"/>
  <c r="F5" i="18" s="1"/>
  <c r="G44" i="8" l="1"/>
  <c r="H44" i="8"/>
  <c r="F44" i="8"/>
  <c r="G2" i="8"/>
  <c r="G3" i="8" s="1"/>
  <c r="H2" i="8"/>
  <c r="H3" i="8" s="1"/>
  <c r="I2" i="8"/>
  <c r="I3" i="8" s="1"/>
  <c r="J2" i="8"/>
  <c r="J3" i="8" s="1"/>
  <c r="K2" i="8"/>
  <c r="K3" i="8" s="1"/>
  <c r="L2" i="8"/>
  <c r="L3" i="8" s="1"/>
  <c r="M2" i="8"/>
  <c r="M3" i="8" s="1"/>
  <c r="N2" i="8"/>
  <c r="N3" i="8" s="1"/>
  <c r="O2" i="8"/>
  <c r="O3" i="8" s="1"/>
  <c r="P2" i="8"/>
  <c r="P3" i="8" s="1"/>
  <c r="Q2" i="8"/>
  <c r="Q3" i="8" s="1"/>
  <c r="R2" i="8"/>
  <c r="R3" i="8" s="1"/>
  <c r="S2" i="8"/>
  <c r="S3" i="8" s="1"/>
  <c r="T2" i="8"/>
  <c r="T3" i="8" s="1"/>
  <c r="U2" i="8"/>
  <c r="U3" i="8" s="1"/>
  <c r="V2" i="8"/>
  <c r="V3" i="8" s="1"/>
  <c r="W2" i="8"/>
  <c r="W3" i="8" s="1"/>
  <c r="X2" i="8"/>
  <c r="X3" i="8" s="1"/>
  <c r="Y2" i="8"/>
  <c r="Y3" i="8" s="1"/>
  <c r="Z2" i="8"/>
  <c r="Z3" i="8" s="1"/>
  <c r="AA2" i="8"/>
  <c r="AA3" i="8" s="1"/>
  <c r="AB2" i="8"/>
  <c r="AB3" i="8" s="1"/>
  <c r="AC2" i="8"/>
  <c r="AC3" i="8" s="1"/>
  <c r="AD2" i="8"/>
  <c r="AD3" i="8" s="1"/>
  <c r="AE2" i="8"/>
  <c r="AE3" i="8" s="1"/>
  <c r="AF2" i="8"/>
  <c r="AF3" i="8" s="1"/>
  <c r="AG2" i="8"/>
  <c r="AG3" i="8" s="1"/>
  <c r="AH2" i="8"/>
  <c r="AH3" i="8" s="1"/>
  <c r="AI2" i="8"/>
  <c r="AI3" i="8" s="1"/>
  <c r="AJ2" i="8"/>
  <c r="AJ3" i="8" s="1"/>
  <c r="AK2" i="8"/>
  <c r="AK3" i="8" s="1"/>
  <c r="AL2" i="8"/>
  <c r="AL3" i="8" s="1"/>
  <c r="F2" i="8"/>
  <c r="F3" i="8" s="1"/>
  <c r="O5" i="15"/>
  <c r="K5" i="15"/>
  <c r="L4" i="15"/>
  <c r="L5" i="15"/>
  <c r="M5" i="15"/>
  <c r="M4" i="15"/>
  <c r="N55" i="14"/>
  <c r="O55" i="14" s="1"/>
  <c r="P55" i="14" s="1"/>
  <c r="Q55" i="14" s="1"/>
  <c r="R55" i="14" s="1"/>
  <c r="S55" i="14" s="1"/>
  <c r="T55" i="14" s="1"/>
  <c r="U55" i="14" s="1"/>
  <c r="V55" i="14" s="1"/>
  <c r="W55" i="14" s="1"/>
  <c r="X55" i="14" s="1"/>
  <c r="Y55" i="14" s="1"/>
  <c r="Z55" i="14" s="1"/>
  <c r="AA55" i="14" s="1"/>
  <c r="AB55" i="14" s="1"/>
  <c r="AC55" i="14" s="1"/>
  <c r="AD55" i="14" s="1"/>
  <c r="AE55" i="14" s="1"/>
  <c r="M55" i="14"/>
  <c r="G44" i="14"/>
  <c r="AE64" i="14"/>
  <c r="AD64" i="14"/>
  <c r="AC64" i="14"/>
  <c r="AB64" i="14"/>
  <c r="AA64" i="14"/>
  <c r="Z64" i="14"/>
  <c r="Y64" i="14"/>
  <c r="X64" i="14"/>
  <c r="W64" i="14"/>
  <c r="V64" i="14"/>
  <c r="U64" i="14"/>
  <c r="T64" i="14"/>
  <c r="S64" i="14"/>
  <c r="R64" i="14"/>
  <c r="Q64" i="14"/>
  <c r="P64" i="14"/>
  <c r="O64" i="14"/>
  <c r="N64" i="14"/>
  <c r="M64" i="14"/>
  <c r="L64" i="14"/>
  <c r="IB36" i="14"/>
  <c r="IC36" i="14"/>
  <c r="ID36" i="14" s="1"/>
  <c r="IB37" i="14"/>
  <c r="IB38" i="14" s="1"/>
  <c r="IC37" i="14" s="1"/>
  <c r="IC38" i="14" s="1"/>
  <c r="ID37" i="14" s="1"/>
  <c r="ID38" i="14" s="1"/>
  <c r="IE37" i="14" s="1"/>
  <c r="IE38" i="14" s="1"/>
  <c r="IF37" i="14" s="1"/>
  <c r="IF38" i="14" s="1"/>
  <c r="IG37" i="14" s="1"/>
  <c r="IG38" i="14" s="1"/>
  <c r="IH37" i="14" s="1"/>
  <c r="IH38" i="14" s="1"/>
  <c r="II37" i="14" s="1"/>
  <c r="II38" i="14" s="1"/>
  <c r="IJ37" i="14" s="1"/>
  <c r="IJ38" i="14" s="1"/>
  <c r="IK37" i="14" s="1"/>
  <c r="IK38" i="14" s="1"/>
  <c r="IL37" i="14" s="1"/>
  <c r="IL38" i="14" s="1"/>
  <c r="IM37" i="14" s="1"/>
  <c r="IM38" i="14" s="1"/>
  <c r="IN37" i="14" s="1"/>
  <c r="IN38" i="14" s="1"/>
  <c r="IO37" i="14" s="1"/>
  <c r="IO38" i="14" s="1"/>
  <c r="IP37" i="14" s="1"/>
  <c r="IP38" i="14" s="1"/>
  <c r="GI36" i="14"/>
  <c r="GJ36" i="14"/>
  <c r="GK36" i="14" s="1"/>
  <c r="GI37" i="14"/>
  <c r="GI38" i="14" s="1"/>
  <c r="GJ37" i="14" s="1"/>
  <c r="GJ38" i="14" s="1"/>
  <c r="GK37" i="14" s="1"/>
  <c r="GK38" i="14" s="1"/>
  <c r="GL37" i="14" s="1"/>
  <c r="GL38" i="14" s="1"/>
  <c r="GM37" i="14" s="1"/>
  <c r="GM38" i="14" s="1"/>
  <c r="GN37" i="14" s="1"/>
  <c r="GN38" i="14" s="1"/>
  <c r="GO37" i="14" s="1"/>
  <c r="GO38" i="14" s="1"/>
  <c r="GP37" i="14" s="1"/>
  <c r="GP38" i="14" s="1"/>
  <c r="GQ37" i="14" s="1"/>
  <c r="GQ38" i="14" s="1"/>
  <c r="GR37" i="14" s="1"/>
  <c r="GR38" i="14" s="1"/>
  <c r="GS37" i="14" s="1"/>
  <c r="GS38" i="14" s="1"/>
  <c r="GT37" i="14" s="1"/>
  <c r="GT38" i="14" s="1"/>
  <c r="GU37" i="14" s="1"/>
  <c r="GU38" i="14" s="1"/>
  <c r="GV37" i="14" s="1"/>
  <c r="GV38" i="14" s="1"/>
  <c r="GW37" i="14" s="1"/>
  <c r="GW38" i="14" s="1"/>
  <c r="GX37" i="14" s="1"/>
  <c r="GX38" i="14" s="1"/>
  <c r="GY37" i="14" s="1"/>
  <c r="GY38" i="14" s="1"/>
  <c r="GZ37" i="14" s="1"/>
  <c r="GZ38" i="14" s="1"/>
  <c r="HA37" i="14" s="1"/>
  <c r="HA38" i="14" s="1"/>
  <c r="HB37" i="14" s="1"/>
  <c r="HB38" i="14" s="1"/>
  <c r="HC37" i="14" s="1"/>
  <c r="HC38" i="14" s="1"/>
  <c r="HD37" i="14" s="1"/>
  <c r="HD38" i="14" s="1"/>
  <c r="HE37" i="14" s="1"/>
  <c r="HE38" i="14" s="1"/>
  <c r="HF37" i="14" s="1"/>
  <c r="HF38" i="14" s="1"/>
  <c r="HG37" i="14" s="1"/>
  <c r="HG38" i="14" s="1"/>
  <c r="HH37" i="14" s="1"/>
  <c r="HH38" i="14" s="1"/>
  <c r="HI37" i="14" s="1"/>
  <c r="HI38" i="14" s="1"/>
  <c r="HJ37" i="14" s="1"/>
  <c r="HJ38" i="14" s="1"/>
  <c r="HK37" i="14" s="1"/>
  <c r="HK38" i="14" s="1"/>
  <c r="HL37" i="14" s="1"/>
  <c r="HL38" i="14" s="1"/>
  <c r="HM37" i="14" s="1"/>
  <c r="HM38" i="14" s="1"/>
  <c r="HN37" i="14" s="1"/>
  <c r="HN38" i="14" s="1"/>
  <c r="HO37" i="14" s="1"/>
  <c r="HO38" i="14" s="1"/>
  <c r="HP37" i="14" s="1"/>
  <c r="HP38" i="14" s="1"/>
  <c r="HQ37" i="14" s="1"/>
  <c r="HQ38" i="14" s="1"/>
  <c r="HR37" i="14" s="1"/>
  <c r="HR38" i="14" s="1"/>
  <c r="HS37" i="14" s="1"/>
  <c r="HS38" i="14" s="1"/>
  <c r="HT37" i="14" s="1"/>
  <c r="HT38" i="14" s="1"/>
  <c r="HU37" i="14" s="1"/>
  <c r="HU38" i="14" s="1"/>
  <c r="HV37" i="14" s="1"/>
  <c r="HV38" i="14" s="1"/>
  <c r="HW37" i="14" s="1"/>
  <c r="HW38" i="14" s="1"/>
  <c r="HX37" i="14" s="1"/>
  <c r="HX38" i="14" s="1"/>
  <c r="HY37" i="14" s="1"/>
  <c r="HY38" i="14" s="1"/>
  <c r="HZ37" i="14" s="1"/>
  <c r="HZ38" i="14" s="1"/>
  <c r="IA37" i="14" s="1"/>
  <c r="IA38" i="14" s="1"/>
  <c r="AE2" i="15"/>
  <c r="AF2" i="15"/>
  <c r="AG2" i="15"/>
  <c r="AH2" i="15"/>
  <c r="AI2" i="15"/>
  <c r="AJ2" i="15"/>
  <c r="AK2" i="15"/>
  <c r="AL2" i="15"/>
  <c r="AM2" i="15"/>
  <c r="AN2" i="15"/>
  <c r="AO2" i="15"/>
  <c r="AP2" i="15"/>
  <c r="AQ2" i="15"/>
  <c r="BK73" i="14"/>
  <c r="BJ73" i="14"/>
  <c r="BI73" i="14"/>
  <c r="BH73" i="14"/>
  <c r="BG73" i="14"/>
  <c r="BF73" i="14"/>
  <c r="BE73" i="14"/>
  <c r="BD73" i="14"/>
  <c r="BC73" i="14"/>
  <c r="BB73" i="14"/>
  <c r="BA73" i="14"/>
  <c r="AZ73" i="14"/>
  <c r="AY73" i="14"/>
  <c r="AX73" i="14"/>
  <c r="AW73" i="14"/>
  <c r="AV73" i="14"/>
  <c r="AU73" i="14"/>
  <c r="AT73" i="14"/>
  <c r="AS73" i="14"/>
  <c r="AR73" i="14"/>
  <c r="AQ73" i="14"/>
  <c r="AP73" i="14"/>
  <c r="AO73" i="14"/>
  <c r="AN73" i="14"/>
  <c r="AM73" i="14"/>
  <c r="AL73" i="14"/>
  <c r="AK73" i="14"/>
  <c r="AJ73" i="14"/>
  <c r="AI73" i="14"/>
  <c r="AH73" i="14"/>
  <c r="AG73" i="14"/>
  <c r="AF73" i="14"/>
  <c r="AE73" i="14"/>
  <c r="AD73" i="14"/>
  <c r="G25" i="8" l="1"/>
  <c r="H25" i="8" s="1"/>
  <c r="I25" i="8" s="1"/>
  <c r="J25" i="8" s="1"/>
  <c r="K25" i="8" s="1"/>
  <c r="L25" i="8" s="1"/>
  <c r="M25" i="8" s="1"/>
  <c r="N25" i="8" s="1"/>
  <c r="O25" i="8" s="1"/>
  <c r="P25" i="8" s="1"/>
  <c r="Q25" i="8" s="1"/>
  <c r="R25" i="8" s="1"/>
  <c r="S25" i="8" s="1"/>
  <c r="T25" i="8" s="1"/>
  <c r="U25" i="8" s="1"/>
  <c r="V25" i="8" s="1"/>
  <c r="W25" i="8" s="1"/>
  <c r="X25" i="8" s="1"/>
  <c r="Y25" i="8" s="1"/>
  <c r="Z25" i="8" s="1"/>
  <c r="AA25" i="8" s="1"/>
  <c r="AB25" i="8" s="1"/>
  <c r="AC25" i="8" s="1"/>
  <c r="AD25" i="8" s="1"/>
  <c r="AE25" i="8" s="1"/>
  <c r="AF25" i="8" s="1"/>
  <c r="C15" i="16"/>
  <c r="F24" i="8"/>
  <c r="G26" i="8"/>
  <c r="H26" i="8" s="1"/>
  <c r="I26" i="8" s="1"/>
  <c r="J26" i="8" s="1"/>
  <c r="K26" i="8" s="1"/>
  <c r="L26" i="8" s="1"/>
  <c r="M26" i="8" s="1"/>
  <c r="N26" i="8" s="1"/>
  <c r="O26" i="8" s="1"/>
  <c r="P26" i="8" s="1"/>
  <c r="Q26" i="8" s="1"/>
  <c r="R26" i="8" s="1"/>
  <c r="S26" i="8" s="1"/>
  <c r="T26" i="8" s="1"/>
  <c r="U26" i="8" s="1"/>
  <c r="V26" i="8" s="1"/>
  <c r="W26" i="8" s="1"/>
  <c r="X26" i="8" s="1"/>
  <c r="Y26" i="8" s="1"/>
  <c r="Z26" i="8" s="1"/>
  <c r="AA26" i="8" s="1"/>
  <c r="AB26" i="8" s="1"/>
  <c r="AC26" i="8" s="1"/>
  <c r="AD26" i="8" s="1"/>
  <c r="AE26" i="8" s="1"/>
  <c r="AF26" i="8" s="1"/>
  <c r="AG26" i="8" s="1"/>
  <c r="AH26" i="8" s="1"/>
  <c r="AI26" i="8" s="1"/>
  <c r="AJ26" i="8" s="1"/>
  <c r="AK26" i="8" s="1"/>
  <c r="AL26" i="8" s="1"/>
  <c r="AM26" i="8" s="1"/>
  <c r="AN26" i="8" s="1"/>
  <c r="AO26" i="8" s="1"/>
  <c r="AP26" i="8" s="1"/>
  <c r="AQ26" i="8" s="1"/>
  <c r="AR26" i="8" s="1"/>
  <c r="AS26" i="8" s="1"/>
  <c r="AT26" i="8" s="1"/>
  <c r="AU26" i="8" s="1"/>
  <c r="AV26" i="8" s="1"/>
  <c r="AW26" i="8" s="1"/>
  <c r="AX26" i="8" s="1"/>
  <c r="AY26" i="8" s="1"/>
  <c r="IE36" i="14"/>
  <c r="GL36" i="14"/>
  <c r="AG25" i="8" l="1"/>
  <c r="ID40" i="14"/>
  <c r="ID43" i="14" s="1"/>
  <c r="ID47" i="14" s="1"/>
  <c r="ID39" i="14" s="1"/>
  <c r="GK40" i="14"/>
  <c r="GK41" i="14" s="1"/>
  <c r="GK45" i="14" s="1"/>
  <c r="IB40" i="14"/>
  <c r="IC40" i="14"/>
  <c r="GJ40" i="14"/>
  <c r="GI40" i="14"/>
  <c r="IE40" i="14"/>
  <c r="IF36" i="14"/>
  <c r="GM36" i="14"/>
  <c r="GL40" i="14"/>
  <c r="C24" i="15"/>
  <c r="C30" i="15"/>
  <c r="T73" i="14" s="1"/>
  <c r="U2" i="15" s="1"/>
  <c r="C36" i="15"/>
  <c r="Z73" i="14" s="1"/>
  <c r="AA2" i="15" s="1"/>
  <c r="C22" i="15"/>
  <c r="C25" i="15"/>
  <c r="C32" i="15"/>
  <c r="V73" i="14" s="1"/>
  <c r="W2" i="15" s="1"/>
  <c r="C37" i="15"/>
  <c r="AA73" i="14" s="1"/>
  <c r="AB2" i="15" s="1"/>
  <c r="C23" i="15"/>
  <c r="C31" i="15"/>
  <c r="U73" i="14" s="1"/>
  <c r="V2" i="15" s="1"/>
  <c r="C21" i="15"/>
  <c r="C27" i="15"/>
  <c r="Q73" i="14" s="1"/>
  <c r="R2" i="15" s="1"/>
  <c r="C33" i="15"/>
  <c r="W73" i="14" s="1"/>
  <c r="X2" i="15" s="1"/>
  <c r="C28" i="15"/>
  <c r="R73" i="14" s="1"/>
  <c r="S2" i="15" s="1"/>
  <c r="C34" i="15"/>
  <c r="X73" i="14" s="1"/>
  <c r="Y2" i="15" s="1"/>
  <c r="C29" i="15"/>
  <c r="S73" i="14" s="1"/>
  <c r="T2" i="15" s="1"/>
  <c r="C35" i="15"/>
  <c r="Y73" i="14" s="1"/>
  <c r="Z2" i="15" s="1"/>
  <c r="C38" i="15"/>
  <c r="AB73" i="14" s="1"/>
  <c r="AC2" i="15" s="1"/>
  <c r="C20" i="15"/>
  <c r="C26" i="15"/>
  <c r="C39" i="15"/>
  <c r="AC73" i="14" s="1"/>
  <c r="AD2" i="15" s="1"/>
  <c r="AH25" i="8" l="1"/>
  <c r="ID41" i="14"/>
  <c r="ID45" i="14" s="1"/>
  <c r="GK43" i="14"/>
  <c r="GK47" i="14" s="1"/>
  <c r="GK39" i="14" s="1"/>
  <c r="GL41" i="14"/>
  <c r="GL45" i="14" s="1"/>
  <c r="GL43" i="14"/>
  <c r="GL47" i="14" s="1"/>
  <c r="GL39" i="14" s="1"/>
  <c r="GI43" i="14"/>
  <c r="GI41" i="14"/>
  <c r="IC43" i="14"/>
  <c r="IC47" i="14" s="1"/>
  <c r="IC39" i="14" s="1"/>
  <c r="IC41" i="14"/>
  <c r="IC45" i="14" s="1"/>
  <c r="IE43" i="14"/>
  <c r="IE41" i="14"/>
  <c r="GJ41" i="14"/>
  <c r="GJ45" i="14" s="1"/>
  <c r="GJ43" i="14"/>
  <c r="IB43" i="14"/>
  <c r="IB47" i="14" s="1"/>
  <c r="IB39" i="14" s="1"/>
  <c r="IB41" i="14"/>
  <c r="IB45" i="14" s="1"/>
  <c r="IF40" i="14"/>
  <c r="IG36" i="14"/>
  <c r="GM40" i="14"/>
  <c r="GN36" i="14"/>
  <c r="AI25" i="8" l="1"/>
  <c r="IF41" i="14"/>
  <c r="IF45" i="14" s="1"/>
  <c r="IF43" i="14"/>
  <c r="IF47" i="14" s="1"/>
  <c r="IF39" i="14" s="1"/>
  <c r="IE45" i="14"/>
  <c r="IE47" i="14"/>
  <c r="IE39" i="14" s="1"/>
  <c r="GI47" i="14"/>
  <c r="GI39" i="14" s="1"/>
  <c r="GI45" i="14"/>
  <c r="GM43" i="14"/>
  <c r="GM47" i="14" s="1"/>
  <c r="GM39" i="14" s="1"/>
  <c r="GM41" i="14"/>
  <c r="GM45" i="14" s="1"/>
  <c r="GJ47" i="14"/>
  <c r="GJ39" i="14" s="1"/>
  <c r="IG40" i="14"/>
  <c r="IH36" i="14"/>
  <c r="GO36" i="14"/>
  <c r="GN40" i="14"/>
  <c r="AJ25" i="8" l="1"/>
  <c r="GN43" i="14"/>
  <c r="GN47" i="14" s="1"/>
  <c r="GN39" i="14" s="1"/>
  <c r="GN41" i="14"/>
  <c r="GN45" i="14" s="1"/>
  <c r="IG43" i="14"/>
  <c r="IG41" i="14"/>
  <c r="II36" i="14"/>
  <c r="IH40" i="14"/>
  <c r="GP36" i="14"/>
  <c r="GO40" i="14"/>
  <c r="AK25" i="8" l="1"/>
  <c r="GO43" i="14"/>
  <c r="GO47" i="14" s="1"/>
  <c r="GO39" i="14" s="1"/>
  <c r="GO41" i="14"/>
  <c r="GO45" i="14" s="1"/>
  <c r="IH41" i="14"/>
  <c r="IH45" i="14" s="1"/>
  <c r="IH43" i="14"/>
  <c r="IH47" i="14" s="1"/>
  <c r="IH39" i="14" s="1"/>
  <c r="IG45" i="14"/>
  <c r="IG47" i="14"/>
  <c r="IG39" i="14" s="1"/>
  <c r="IJ36" i="14"/>
  <c r="II40" i="14"/>
  <c r="GP40" i="14"/>
  <c r="GQ36" i="14"/>
  <c r="AL25" i="8" l="1"/>
  <c r="GP43" i="14"/>
  <c r="GP41" i="14"/>
  <c r="II41" i="14"/>
  <c r="II43" i="14"/>
  <c r="IJ40" i="14"/>
  <c r="IK36" i="14"/>
  <c r="GR36" i="14"/>
  <c r="GQ40" i="14"/>
  <c r="AM25" i="8" l="1"/>
  <c r="II47" i="14"/>
  <c r="II39" i="14" s="1"/>
  <c r="GQ41" i="14"/>
  <c r="GQ45" i="14" s="1"/>
  <c r="GQ43" i="14"/>
  <c r="GQ47" i="14" s="1"/>
  <c r="GQ39" i="14" s="1"/>
  <c r="II45" i="14"/>
  <c r="IJ43" i="14"/>
  <c r="IJ47" i="14" s="1"/>
  <c r="IJ39" i="14" s="1"/>
  <c r="IJ41" i="14"/>
  <c r="IJ45" i="14" s="1"/>
  <c r="GP45" i="14"/>
  <c r="GP47" i="14"/>
  <c r="GP39" i="14" s="1"/>
  <c r="IK40" i="14"/>
  <c r="IL36" i="14"/>
  <c r="GR40" i="14"/>
  <c r="GS36" i="14"/>
  <c r="AN25" i="8" l="1"/>
  <c r="IK43" i="14"/>
  <c r="IK47" i="14" s="1"/>
  <c r="IK39" i="14" s="1"/>
  <c r="IK41" i="14"/>
  <c r="GR43" i="14"/>
  <c r="GR41" i="14"/>
  <c r="IM36" i="14"/>
  <c r="IL40" i="14"/>
  <c r="GS40" i="14"/>
  <c r="GT36" i="14"/>
  <c r="AO25" i="8" l="1"/>
  <c r="IL43" i="14"/>
  <c r="IL41" i="14"/>
  <c r="IL45" i="14" s="1"/>
  <c r="GR47" i="14"/>
  <c r="GR39" i="14" s="1"/>
  <c r="IK45" i="14"/>
  <c r="GS43" i="14"/>
  <c r="GS47" i="14" s="1"/>
  <c r="GS39" i="14" s="1"/>
  <c r="GS41" i="14"/>
  <c r="GS45" i="14" s="1"/>
  <c r="GR45" i="14"/>
  <c r="IM40" i="14"/>
  <c r="IN36" i="14"/>
  <c r="GT40" i="14"/>
  <c r="GU36" i="14"/>
  <c r="AP25" i="8" l="1"/>
  <c r="GT43" i="14"/>
  <c r="GT41" i="14"/>
  <c r="AA60" i="14"/>
  <c r="IM43" i="14"/>
  <c r="IM47" i="14" s="1"/>
  <c r="IM39" i="14" s="1"/>
  <c r="IM41" i="14"/>
  <c r="IL47" i="14"/>
  <c r="IL39" i="14" s="1"/>
  <c r="IO36" i="14"/>
  <c r="IN40" i="14"/>
  <c r="GU40" i="14"/>
  <c r="GV36" i="14"/>
  <c r="AQ25" i="8" l="1"/>
  <c r="IN41" i="14"/>
  <c r="IN45" i="14" s="1"/>
  <c r="IN43" i="14"/>
  <c r="IN47" i="14" s="1"/>
  <c r="IN39" i="14" s="1"/>
  <c r="IM45" i="14"/>
  <c r="GT45" i="14"/>
  <c r="AA61" i="14"/>
  <c r="GU43" i="14"/>
  <c r="GU41" i="14"/>
  <c r="GT47" i="14"/>
  <c r="GT39" i="14" s="1"/>
  <c r="AA63" i="14"/>
  <c r="IO40" i="14"/>
  <c r="IP36" i="14"/>
  <c r="GW36" i="14"/>
  <c r="GV40" i="14"/>
  <c r="AR25" i="8" l="1"/>
  <c r="GV43" i="14"/>
  <c r="GV47" i="14" s="1"/>
  <c r="GV39" i="14" s="1"/>
  <c r="GV41" i="14"/>
  <c r="GV45" i="14" s="1"/>
  <c r="GU47" i="14"/>
  <c r="GU39" i="14" s="1"/>
  <c r="IO41" i="14"/>
  <c r="IO45" i="14" s="1"/>
  <c r="IO43" i="14"/>
  <c r="IO47" i="14" s="1"/>
  <c r="IO39" i="14" s="1"/>
  <c r="GU45" i="14"/>
  <c r="IP40" i="14"/>
  <c r="GW40" i="14"/>
  <c r="GX36" i="14"/>
  <c r="AS25" i="8" l="1"/>
  <c r="IP41" i="14"/>
  <c r="IP43" i="14"/>
  <c r="AE60" i="14"/>
  <c r="GW43" i="14"/>
  <c r="GW41" i="14"/>
  <c r="GY36" i="14"/>
  <c r="GX40" i="14"/>
  <c r="AT25" i="8" l="1"/>
  <c r="GW45" i="14"/>
  <c r="GX43" i="14"/>
  <c r="GX47" i="14" s="1"/>
  <c r="GX39" i="14" s="1"/>
  <c r="GX41" i="14"/>
  <c r="GX45" i="14" s="1"/>
  <c r="GW47" i="14"/>
  <c r="GW39" i="14" s="1"/>
  <c r="IP47" i="14"/>
  <c r="IP39" i="14" s="1"/>
  <c r="AE63" i="14"/>
  <c r="IP45" i="14"/>
  <c r="AE61" i="14"/>
  <c r="GY40" i="14"/>
  <c r="GZ36" i="14"/>
  <c r="AU25" i="8" l="1"/>
  <c r="GY43" i="14"/>
  <c r="GY41" i="14"/>
  <c r="GY45" i="14" s="1"/>
  <c r="GZ40" i="14"/>
  <c r="HA36" i="14"/>
  <c r="AV25" i="8" l="1"/>
  <c r="GZ41" i="14"/>
  <c r="GZ43" i="14"/>
  <c r="GZ47" i="14" s="1"/>
  <c r="GZ39" i="14" s="1"/>
  <c r="GY47" i="14"/>
  <c r="GY39" i="14" s="1"/>
  <c r="HB36" i="14"/>
  <c r="HA40" i="14"/>
  <c r="AW25" i="8" l="1"/>
  <c r="HA41" i="14"/>
  <c r="HA45" i="14" s="1"/>
  <c r="HA43" i="14"/>
  <c r="GZ45" i="14"/>
  <c r="HC36" i="14"/>
  <c r="HB40" i="14"/>
  <c r="AX25" i="8" l="1"/>
  <c r="HB41" i="14"/>
  <c r="HB43" i="14"/>
  <c r="HB47" i="14" s="1"/>
  <c r="HB39" i="14" s="1"/>
  <c r="HA47" i="14"/>
  <c r="HA39" i="14" s="1"/>
  <c r="HC40" i="14"/>
  <c r="HD36" i="14"/>
  <c r="AY25" i="8" l="1"/>
  <c r="HC43" i="14"/>
  <c r="HC41" i="14"/>
  <c r="HC45" i="14" s="1"/>
  <c r="HB45" i="14"/>
  <c r="HD40" i="14"/>
  <c r="HE36" i="14"/>
  <c r="HD43" i="14" l="1"/>
  <c r="HD47" i="14" s="1"/>
  <c r="HD39" i="14" s="1"/>
  <c r="HD41" i="14"/>
  <c r="HD45" i="14" s="1"/>
  <c r="HC47" i="14"/>
  <c r="HC39" i="14" s="1"/>
  <c r="HE40" i="14"/>
  <c r="HF36" i="14"/>
  <c r="HE43" i="14" l="1"/>
  <c r="HE47" i="14" s="1"/>
  <c r="HE39" i="14" s="1"/>
  <c r="HE41" i="14"/>
  <c r="HE45" i="14" s="1"/>
  <c r="HF40" i="14"/>
  <c r="HG36" i="14"/>
  <c r="HF43" i="14" l="1"/>
  <c r="HF41" i="14"/>
  <c r="AB60" i="14"/>
  <c r="HG40" i="14"/>
  <c r="HH36" i="14"/>
  <c r="HG43" i="14" l="1"/>
  <c r="HG41" i="14"/>
  <c r="HF45" i="14"/>
  <c r="AB61" i="14"/>
  <c r="HF47" i="14"/>
  <c r="HF39" i="14" s="1"/>
  <c r="AB63" i="14"/>
  <c r="HH40" i="14"/>
  <c r="HI36" i="14"/>
  <c r="HH43" i="14" l="1"/>
  <c r="HH47" i="14" s="1"/>
  <c r="HH39" i="14" s="1"/>
  <c r="HH41" i="14"/>
  <c r="HH45" i="14" s="1"/>
  <c r="HG45" i="14"/>
  <c r="HG47" i="14"/>
  <c r="HG39" i="14" s="1"/>
  <c r="HI40" i="14"/>
  <c r="HJ36" i="14"/>
  <c r="HI43" i="14" l="1"/>
  <c r="HI41" i="14"/>
  <c r="HJ40" i="14"/>
  <c r="HK36" i="14"/>
  <c r="HI45" i="14" l="1"/>
  <c r="HJ43" i="14"/>
  <c r="HJ47" i="14" s="1"/>
  <c r="HJ39" i="14" s="1"/>
  <c r="HJ41" i="14"/>
  <c r="HJ45" i="14" s="1"/>
  <c r="HI47" i="14"/>
  <c r="HI39" i="14" s="1"/>
  <c r="HK40" i="14"/>
  <c r="HL36" i="14"/>
  <c r="HK43" i="14" l="1"/>
  <c r="HK41" i="14"/>
  <c r="HL40" i="14"/>
  <c r="HM36" i="14"/>
  <c r="HL43" i="14" l="1"/>
  <c r="HL47" i="14" s="1"/>
  <c r="HL39" i="14" s="1"/>
  <c r="HL41" i="14"/>
  <c r="HL45" i="14" s="1"/>
  <c r="HK45" i="14"/>
  <c r="HK47" i="14"/>
  <c r="HK39" i="14" s="1"/>
  <c r="HN36" i="14"/>
  <c r="HM40" i="14"/>
  <c r="HM43" i="14" l="1"/>
  <c r="HM41" i="14"/>
  <c r="HO36" i="14"/>
  <c r="HN40" i="14"/>
  <c r="HN43" i="14" l="1"/>
  <c r="HN47" i="14" s="1"/>
  <c r="HN39" i="14" s="1"/>
  <c r="HN41" i="14"/>
  <c r="HN45" i="14" s="1"/>
  <c r="HM45" i="14"/>
  <c r="HM47" i="14"/>
  <c r="HM39" i="14" s="1"/>
  <c r="HP36" i="14"/>
  <c r="HO40" i="14"/>
  <c r="HO41" i="14" l="1"/>
  <c r="HO43" i="14"/>
  <c r="HQ36" i="14"/>
  <c r="HP40" i="14"/>
  <c r="HO47" i="14" l="1"/>
  <c r="HO39" i="14" s="1"/>
  <c r="HP43" i="14"/>
  <c r="HP47" i="14" s="1"/>
  <c r="HP39" i="14" s="1"/>
  <c r="HP41" i="14"/>
  <c r="HP45" i="14" s="1"/>
  <c r="HO45" i="14"/>
  <c r="HR36" i="14"/>
  <c r="HQ40" i="14"/>
  <c r="HQ43" i="14" l="1"/>
  <c r="HQ47" i="14" s="1"/>
  <c r="HQ39" i="14" s="1"/>
  <c r="HQ41" i="14"/>
  <c r="HQ45" i="14" s="1"/>
  <c r="HR40" i="14"/>
  <c r="HS36" i="14"/>
  <c r="HR41" i="14" l="1"/>
  <c r="HR43" i="14"/>
  <c r="AC60" i="14"/>
  <c r="HS40" i="14"/>
  <c r="HT36" i="14"/>
  <c r="HR47" i="14" l="1"/>
  <c r="HR39" i="14" s="1"/>
  <c r="AC63" i="14"/>
  <c r="HS41" i="14"/>
  <c r="HS43" i="14"/>
  <c r="HR45" i="14"/>
  <c r="AC61" i="14"/>
  <c r="HU36" i="14"/>
  <c r="HT40" i="14"/>
  <c r="HT41" i="14" l="1"/>
  <c r="HT45" i="14" s="1"/>
  <c r="HT43" i="14"/>
  <c r="HT47" i="14" s="1"/>
  <c r="HT39" i="14" s="1"/>
  <c r="HS47" i="14"/>
  <c r="HS39" i="14" s="1"/>
  <c r="HS45" i="14"/>
  <c r="HV36" i="14"/>
  <c r="HU40" i="14"/>
  <c r="HU43" i="14" l="1"/>
  <c r="HU41" i="14"/>
  <c r="HW36" i="14"/>
  <c r="HV40" i="14"/>
  <c r="HV43" i="14" l="1"/>
  <c r="HV47" i="14" s="1"/>
  <c r="HV39" i="14" s="1"/>
  <c r="HV41" i="14"/>
  <c r="HV45" i="14" s="1"/>
  <c r="HU45" i="14"/>
  <c r="HU47" i="14"/>
  <c r="HU39" i="14" s="1"/>
  <c r="HX36" i="14"/>
  <c r="HW40" i="14"/>
  <c r="HW43" i="14" l="1"/>
  <c r="HW41" i="14"/>
  <c r="HY36" i="14"/>
  <c r="HX40" i="14"/>
  <c r="HW45" i="14" l="1"/>
  <c r="HX41" i="14"/>
  <c r="HX45" i="14" s="1"/>
  <c r="HX43" i="14"/>
  <c r="HX47" i="14" s="1"/>
  <c r="HX39" i="14" s="1"/>
  <c r="HW47" i="14"/>
  <c r="HW39" i="14" s="1"/>
  <c r="HZ36" i="14"/>
  <c r="HY40" i="14"/>
  <c r="HY41" i="14" l="1"/>
  <c r="HY45" i="14" s="1"/>
  <c r="HY43" i="14"/>
  <c r="IA36" i="14"/>
  <c r="IA40" i="14" s="1"/>
  <c r="HZ40" i="14"/>
  <c r="HZ41" i="14" l="1"/>
  <c r="HZ43" i="14"/>
  <c r="HZ47" i="14" s="1"/>
  <c r="HZ39" i="14" s="1"/>
  <c r="HY47" i="14"/>
  <c r="HY39" i="14" s="1"/>
  <c r="IA43" i="14"/>
  <c r="IA47" i="14" s="1"/>
  <c r="IA39" i="14" s="1"/>
  <c r="IA41" i="14"/>
  <c r="IA45" i="14" s="1"/>
  <c r="AD60" i="14"/>
  <c r="AD63" i="14" l="1"/>
  <c r="HZ45" i="14"/>
  <c r="AD61" i="14"/>
  <c r="L57" i="14" l="1"/>
  <c r="L56" i="14" s="1"/>
  <c r="K37" i="14"/>
  <c r="K59" i="14"/>
  <c r="BK59" i="14"/>
  <c r="BJ59" i="14"/>
  <c r="BI59" i="14"/>
  <c r="BH59" i="14"/>
  <c r="BG59" i="14"/>
  <c r="BF59" i="14"/>
  <c r="BE59" i="14"/>
  <c r="BD59" i="14"/>
  <c r="BC59" i="14"/>
  <c r="BB59" i="14"/>
  <c r="BA59" i="14"/>
  <c r="AZ59" i="14"/>
  <c r="AY59" i="14"/>
  <c r="AX59" i="14"/>
  <c r="AW59" i="14"/>
  <c r="AV59" i="14"/>
  <c r="AU59" i="14"/>
  <c r="AT59" i="14"/>
  <c r="AS59" i="14"/>
  <c r="AR59" i="14"/>
  <c r="AQ59" i="14"/>
  <c r="AP59" i="14"/>
  <c r="AO59" i="14"/>
  <c r="AN59" i="14"/>
  <c r="AM59" i="14"/>
  <c r="AL59" i="14"/>
  <c r="AK59" i="14"/>
  <c r="AJ59" i="14"/>
  <c r="AI59" i="14"/>
  <c r="AH59" i="14"/>
  <c r="AG59" i="14"/>
  <c r="AF59" i="14"/>
  <c r="AE59" i="14"/>
  <c r="AD59" i="14"/>
  <c r="AC59" i="14"/>
  <c r="AB59" i="14"/>
  <c r="AA59" i="14"/>
  <c r="Z59" i="14"/>
  <c r="Y59" i="14"/>
  <c r="X59" i="14"/>
  <c r="W59" i="14"/>
  <c r="V59" i="14"/>
  <c r="U59" i="14"/>
  <c r="T59" i="14"/>
  <c r="S59" i="14"/>
  <c r="R59" i="14"/>
  <c r="Q59" i="14"/>
  <c r="P59" i="14"/>
  <c r="O59" i="14"/>
  <c r="N59" i="14"/>
  <c r="M59" i="14"/>
  <c r="L59" i="14"/>
  <c r="L58" i="14" l="1"/>
  <c r="M57" i="14" s="1"/>
  <c r="M58" i="14" s="1"/>
  <c r="N57" i="14" s="1"/>
  <c r="N58" i="14" s="1"/>
  <c r="O57" i="14" s="1"/>
  <c r="O58" i="14" s="1"/>
  <c r="P57" i="14" s="1"/>
  <c r="M56" i="14"/>
  <c r="A10001" i="9"/>
  <c r="N3" i="15"/>
  <c r="O3" i="15" s="1"/>
  <c r="P3" i="15" s="1"/>
  <c r="Q3" i="15" s="1"/>
  <c r="R3" i="15" s="1"/>
  <c r="S3" i="15" s="1"/>
  <c r="T3" i="15" s="1"/>
  <c r="U3" i="15" s="1"/>
  <c r="V3" i="15" s="1"/>
  <c r="W3" i="15" s="1"/>
  <c r="X3" i="15" s="1"/>
  <c r="Y3" i="15" s="1"/>
  <c r="Z3" i="15" s="1"/>
  <c r="AA3" i="15" s="1"/>
  <c r="AB3" i="15" s="1"/>
  <c r="AC3" i="15" s="1"/>
  <c r="AD3" i="15" s="1"/>
  <c r="AE3" i="15" s="1"/>
  <c r="AF3" i="15" s="1"/>
  <c r="AG3" i="15" s="1"/>
  <c r="AH3" i="15" s="1"/>
  <c r="AI3" i="15" s="1"/>
  <c r="AJ3" i="15" s="1"/>
  <c r="AK3" i="15" s="1"/>
  <c r="AL3" i="15" s="1"/>
  <c r="AM3" i="15" s="1"/>
  <c r="AN3" i="15" s="1"/>
  <c r="AO3" i="15" s="1"/>
  <c r="AP3" i="15" s="1"/>
  <c r="AQ3" i="15" s="1"/>
  <c r="H11" i="9"/>
  <c r="R18" i="15"/>
  <c r="M12" i="8" s="1"/>
  <c r="S18" i="15"/>
  <c r="N12" i="8" s="1"/>
  <c r="T18" i="15"/>
  <c r="O12" i="8" s="1"/>
  <c r="U18" i="15"/>
  <c r="P12" i="8" s="1"/>
  <c r="V18" i="15"/>
  <c r="Q12" i="8" s="1"/>
  <c r="W18" i="15"/>
  <c r="R12" i="8" s="1"/>
  <c r="X18" i="15"/>
  <c r="S12" i="8" s="1"/>
  <c r="Y18" i="15"/>
  <c r="T12" i="8" s="1"/>
  <c r="Z18" i="15"/>
  <c r="U12" i="8" s="1"/>
  <c r="AA18" i="15"/>
  <c r="V12" i="8" s="1"/>
  <c r="W12" i="8"/>
  <c r="X12" i="8"/>
  <c r="Y12" i="8"/>
  <c r="Z12" i="8"/>
  <c r="AA12" i="8"/>
  <c r="AB12" i="8"/>
  <c r="AC12" i="8"/>
  <c r="AD12" i="8"/>
  <c r="AE12" i="8"/>
  <c r="AF12" i="8"/>
  <c r="AG12" i="8"/>
  <c r="AH12" i="8"/>
  <c r="AI12" i="8"/>
  <c r="AJ12" i="8"/>
  <c r="AK12" i="8"/>
  <c r="AL12" i="8"/>
  <c r="AM12" i="8"/>
  <c r="AN12" i="8"/>
  <c r="AO12" i="8"/>
  <c r="AP12" i="8"/>
  <c r="AQ12" i="8"/>
  <c r="AR12" i="8"/>
  <c r="AS12" i="8"/>
  <c r="AT12" i="8"/>
  <c r="AU12" i="8"/>
  <c r="AV12" i="8"/>
  <c r="AW12" i="8"/>
  <c r="AX12" i="8"/>
  <c r="AY12" i="8"/>
  <c r="AZ12" i="8"/>
  <c r="BA12" i="8"/>
  <c r="BB12" i="8"/>
  <c r="BC12" i="8"/>
  <c r="BD12" i="8"/>
  <c r="BE12"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W14" i="8"/>
  <c r="X14" i="8"/>
  <c r="Y14" i="8"/>
  <c r="Z14" i="8"/>
  <c r="AA14" i="8"/>
  <c r="AB14" i="8"/>
  <c r="AC14" i="8"/>
  <c r="AD14" i="8"/>
  <c r="AE14" i="8"/>
  <c r="AF14" i="8"/>
  <c r="AG14" i="8"/>
  <c r="AH14" i="8"/>
  <c r="AI14" i="8"/>
  <c r="AJ14" i="8"/>
  <c r="AK14" i="8"/>
  <c r="AL14" i="8"/>
  <c r="AM14" i="8"/>
  <c r="AN14" i="8"/>
  <c r="AO14" i="8"/>
  <c r="AP14" i="8"/>
  <c r="AQ14" i="8"/>
  <c r="AR14" i="8"/>
  <c r="AS14" i="8"/>
  <c r="AT14" i="8"/>
  <c r="AU14" i="8"/>
  <c r="AV14" i="8"/>
  <c r="AW14" i="8"/>
  <c r="AX14" i="8"/>
  <c r="AY14" i="8"/>
  <c r="AZ14" i="8"/>
  <c r="BA14" i="8"/>
  <c r="BB14" i="8"/>
  <c r="BC14" i="8"/>
  <c r="BD14" i="8"/>
  <c r="BE14" i="8"/>
  <c r="G15" i="8"/>
  <c r="H15" i="8"/>
  <c r="I15" i="8"/>
  <c r="J15" i="8"/>
  <c r="K15" i="8"/>
  <c r="L15" i="8"/>
  <c r="M15" i="8"/>
  <c r="N15" i="8"/>
  <c r="O15" i="8"/>
  <c r="P15" i="8"/>
  <c r="Q15" i="8"/>
  <c r="R15" i="8"/>
  <c r="S15" i="8"/>
  <c r="T15" i="8"/>
  <c r="U15" i="8"/>
  <c r="V15" i="8"/>
  <c r="W15" i="8"/>
  <c r="X15" i="8"/>
  <c r="Y15" i="8"/>
  <c r="Z15" i="8"/>
  <c r="AA15" i="8"/>
  <c r="AB15" i="8"/>
  <c r="AC15" i="8"/>
  <c r="AD15" i="8"/>
  <c r="AE15" i="8"/>
  <c r="AF15" i="8"/>
  <c r="AG15" i="8"/>
  <c r="AH15" i="8"/>
  <c r="AI15" i="8"/>
  <c r="AJ15" i="8"/>
  <c r="AK15" i="8"/>
  <c r="AL15" i="8"/>
  <c r="AM15" i="8"/>
  <c r="AN15" i="8"/>
  <c r="AO15" i="8"/>
  <c r="AP15" i="8"/>
  <c r="AQ15" i="8"/>
  <c r="AR15" i="8"/>
  <c r="AS15" i="8"/>
  <c r="AT15" i="8"/>
  <c r="AU15" i="8"/>
  <c r="AV15" i="8"/>
  <c r="AW15" i="8"/>
  <c r="AX15" i="8"/>
  <c r="AY15" i="8"/>
  <c r="AZ15" i="8"/>
  <c r="BA15" i="8"/>
  <c r="BB15" i="8"/>
  <c r="BC15" i="8"/>
  <c r="BD15" i="8"/>
  <c r="BE15" i="8"/>
  <c r="G16" i="8"/>
  <c r="H16" i="8"/>
  <c r="I16" i="8"/>
  <c r="J16" i="8"/>
  <c r="K16" i="8"/>
  <c r="L16" i="8"/>
  <c r="M16" i="8"/>
  <c r="N16" i="8"/>
  <c r="O16" i="8"/>
  <c r="P16" i="8"/>
  <c r="Q16" i="8"/>
  <c r="R16" i="8"/>
  <c r="S16" i="8"/>
  <c r="T16" i="8"/>
  <c r="U16" i="8"/>
  <c r="V16" i="8"/>
  <c r="W16" i="8"/>
  <c r="X16" i="8"/>
  <c r="Y16" i="8"/>
  <c r="Z16" i="8"/>
  <c r="AA16" i="8"/>
  <c r="AB16" i="8"/>
  <c r="AC16" i="8"/>
  <c r="AD16" i="8"/>
  <c r="AE16" i="8"/>
  <c r="AF16" i="8"/>
  <c r="AG16" i="8"/>
  <c r="AH16" i="8"/>
  <c r="AI16" i="8"/>
  <c r="AJ16" i="8"/>
  <c r="AK16" i="8"/>
  <c r="AL16" i="8"/>
  <c r="AM16" i="8"/>
  <c r="AN16" i="8"/>
  <c r="AO16" i="8"/>
  <c r="AP16" i="8"/>
  <c r="AQ16" i="8"/>
  <c r="AR16" i="8"/>
  <c r="AS16" i="8"/>
  <c r="AT16" i="8"/>
  <c r="AU16" i="8"/>
  <c r="AV16" i="8"/>
  <c r="AW16" i="8"/>
  <c r="AX16" i="8"/>
  <c r="AY16" i="8"/>
  <c r="AZ16" i="8"/>
  <c r="BA16" i="8"/>
  <c r="BB16" i="8"/>
  <c r="BC16" i="8"/>
  <c r="BD16" i="8"/>
  <c r="BE16" i="8"/>
  <c r="G17" i="8"/>
  <c r="H17" i="8"/>
  <c r="I17" i="8"/>
  <c r="J17" i="8"/>
  <c r="K17" i="8"/>
  <c r="L17" i="8"/>
  <c r="M17" i="8"/>
  <c r="N17" i="8"/>
  <c r="O17" i="8"/>
  <c r="P17" i="8"/>
  <c r="Q17" i="8"/>
  <c r="R17" i="8"/>
  <c r="S17" i="8"/>
  <c r="T17" i="8"/>
  <c r="U17" i="8"/>
  <c r="V17" i="8"/>
  <c r="W17" i="8"/>
  <c r="X17" i="8"/>
  <c r="Y17" i="8"/>
  <c r="Z17" i="8"/>
  <c r="AA17" i="8"/>
  <c r="AB17" i="8"/>
  <c r="AC17" i="8"/>
  <c r="AD17" i="8"/>
  <c r="AE17" i="8"/>
  <c r="AF17" i="8"/>
  <c r="AG17" i="8"/>
  <c r="AH17" i="8"/>
  <c r="AI17" i="8"/>
  <c r="AJ17" i="8"/>
  <c r="AK17" i="8"/>
  <c r="AL17" i="8"/>
  <c r="AM17" i="8"/>
  <c r="AN17" i="8"/>
  <c r="AO17" i="8"/>
  <c r="AP17" i="8"/>
  <c r="AQ17" i="8"/>
  <c r="AR17" i="8"/>
  <c r="AS17" i="8"/>
  <c r="AT17" i="8"/>
  <c r="AU17" i="8"/>
  <c r="AV17" i="8"/>
  <c r="AW17" i="8"/>
  <c r="AX17" i="8"/>
  <c r="AY17" i="8"/>
  <c r="AZ17" i="8"/>
  <c r="BA17" i="8"/>
  <c r="BB17" i="8"/>
  <c r="BC17" i="8"/>
  <c r="BD17" i="8"/>
  <c r="BE17" i="8"/>
  <c r="G18" i="8"/>
  <c r="H18" i="8"/>
  <c r="I18" i="8"/>
  <c r="J18" i="8"/>
  <c r="K18" i="8"/>
  <c r="L18" i="8"/>
  <c r="M18" i="8"/>
  <c r="N18" i="8"/>
  <c r="O18" i="8"/>
  <c r="P18" i="8"/>
  <c r="Q18" i="8"/>
  <c r="R18" i="8"/>
  <c r="S18" i="8"/>
  <c r="T18" i="8"/>
  <c r="U18" i="8"/>
  <c r="V18" i="8"/>
  <c r="W18" i="8"/>
  <c r="X18" i="8"/>
  <c r="Y18" i="8"/>
  <c r="Z18" i="8"/>
  <c r="AA18" i="8"/>
  <c r="AB18" i="8"/>
  <c r="AC18" i="8"/>
  <c r="AD18" i="8"/>
  <c r="AE18" i="8"/>
  <c r="AF18" i="8"/>
  <c r="AG18" i="8"/>
  <c r="AH18" i="8"/>
  <c r="AI18" i="8"/>
  <c r="AJ18" i="8"/>
  <c r="AK18" i="8"/>
  <c r="AL18" i="8"/>
  <c r="AM18" i="8"/>
  <c r="AN18" i="8"/>
  <c r="AO18" i="8"/>
  <c r="AP18" i="8"/>
  <c r="AQ18" i="8"/>
  <c r="AR18" i="8"/>
  <c r="AS18" i="8"/>
  <c r="AT18" i="8"/>
  <c r="AU18" i="8"/>
  <c r="AV18" i="8"/>
  <c r="AW18" i="8"/>
  <c r="AX18" i="8"/>
  <c r="AY18" i="8"/>
  <c r="AZ18" i="8"/>
  <c r="BA18" i="8"/>
  <c r="BB18" i="8"/>
  <c r="BC18" i="8"/>
  <c r="BD18" i="8"/>
  <c r="BE18" i="8"/>
  <c r="F15" i="8"/>
  <c r="F16" i="8"/>
  <c r="F17" i="8"/>
  <c r="F18" i="8"/>
  <c r="BJ25" i="15"/>
  <c r="BI25" i="15"/>
  <c r="BH25" i="15"/>
  <c r="BG25" i="15"/>
  <c r="BF25" i="15"/>
  <c r="BE25" i="15"/>
  <c r="BD25" i="15"/>
  <c r="BC25" i="15"/>
  <c r="BB25" i="15"/>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AB25" i="15"/>
  <c r="J24" i="15"/>
  <c r="J23" i="15"/>
  <c r="J22" i="15"/>
  <c r="J21" i="15"/>
  <c r="G11" i="9"/>
  <c r="AM5" i="8"/>
  <c r="AN5" i="8"/>
  <c r="AO5" i="8"/>
  <c r="AP5" i="8"/>
  <c r="AQ5" i="8"/>
  <c r="AR5" i="8"/>
  <c r="AS5" i="8"/>
  <c r="AT5" i="8"/>
  <c r="AU5" i="8"/>
  <c r="AV5" i="8"/>
  <c r="AW5" i="8"/>
  <c r="AX5" i="8"/>
  <c r="AY5" i="8"/>
  <c r="AZ5" i="8"/>
  <c r="BA5" i="8"/>
  <c r="BB5" i="8"/>
  <c r="BC5" i="8"/>
  <c r="BD5" i="8"/>
  <c r="BE5" i="8"/>
  <c r="AM6" i="8"/>
  <c r="AN6" i="8"/>
  <c r="AO6" i="8"/>
  <c r="AP6" i="8"/>
  <c r="AQ6" i="8"/>
  <c r="AR6" i="8"/>
  <c r="AS6" i="8"/>
  <c r="AT6" i="8"/>
  <c r="AU6" i="8"/>
  <c r="AV6" i="8"/>
  <c r="AW6" i="8"/>
  <c r="AX6" i="8"/>
  <c r="AY6" i="8"/>
  <c r="AZ6" i="8"/>
  <c r="BA6" i="8"/>
  <c r="BB6" i="8"/>
  <c r="BC6" i="8"/>
  <c r="BD6" i="8"/>
  <c r="BE6" i="8"/>
  <c r="AM7" i="8"/>
  <c r="AM35" i="8" s="1"/>
  <c r="AN7" i="8"/>
  <c r="AN35" i="8" s="1"/>
  <c r="AO7" i="8"/>
  <c r="AO35" i="8" s="1"/>
  <c r="AP7" i="8"/>
  <c r="AP35" i="8" s="1"/>
  <c r="AQ7" i="8"/>
  <c r="AQ35" i="8" s="1"/>
  <c r="AR7" i="8"/>
  <c r="AR35" i="8" s="1"/>
  <c r="AS7" i="8"/>
  <c r="AS35" i="8" s="1"/>
  <c r="AT7" i="8"/>
  <c r="AT35" i="8" s="1"/>
  <c r="AU7" i="8"/>
  <c r="AU35" i="8" s="1"/>
  <c r="AV7" i="8"/>
  <c r="AV35" i="8" s="1"/>
  <c r="AW7" i="8"/>
  <c r="AW35" i="8" s="1"/>
  <c r="AX7" i="8"/>
  <c r="AX35" i="8" s="1"/>
  <c r="AY7" i="8"/>
  <c r="AY35" i="8" s="1"/>
  <c r="AZ7" i="8"/>
  <c r="BA7" i="8"/>
  <c r="BB7" i="8"/>
  <c r="BC7" i="8"/>
  <c r="BD7" i="8"/>
  <c r="BE7" i="8"/>
  <c r="AM8" i="8"/>
  <c r="AM36" i="8" s="1"/>
  <c r="AN8" i="8"/>
  <c r="AN36" i="8" s="1"/>
  <c r="AO8" i="8"/>
  <c r="AO36" i="8" s="1"/>
  <c r="AP8" i="8"/>
  <c r="AP36" i="8" s="1"/>
  <c r="AQ8" i="8"/>
  <c r="AQ36" i="8" s="1"/>
  <c r="AR8" i="8"/>
  <c r="AR36" i="8" s="1"/>
  <c r="AS8" i="8"/>
  <c r="AS36" i="8" s="1"/>
  <c r="AT8" i="8"/>
  <c r="AT36" i="8" s="1"/>
  <c r="AU8" i="8"/>
  <c r="AU36" i="8" s="1"/>
  <c r="AV8" i="8"/>
  <c r="AV36" i="8" s="1"/>
  <c r="AW8" i="8"/>
  <c r="AW36" i="8" s="1"/>
  <c r="AX8" i="8"/>
  <c r="AX36" i="8" s="1"/>
  <c r="AY8" i="8"/>
  <c r="AY36" i="8" s="1"/>
  <c r="AZ8" i="8"/>
  <c r="BA8" i="8"/>
  <c r="BB8" i="8"/>
  <c r="BC8" i="8"/>
  <c r="BD8" i="8"/>
  <c r="BE8" i="8"/>
  <c r="AM9" i="8"/>
  <c r="AM37" i="8" s="1"/>
  <c r="AN9" i="8"/>
  <c r="AN37" i="8" s="1"/>
  <c r="AO9" i="8"/>
  <c r="AO37" i="8" s="1"/>
  <c r="AP9" i="8"/>
  <c r="AP37" i="8" s="1"/>
  <c r="AQ9" i="8"/>
  <c r="AQ37" i="8" s="1"/>
  <c r="AR9" i="8"/>
  <c r="AR37" i="8" s="1"/>
  <c r="AS9" i="8"/>
  <c r="AS37" i="8" s="1"/>
  <c r="AT9" i="8"/>
  <c r="AT37" i="8" s="1"/>
  <c r="AU9" i="8"/>
  <c r="AU37" i="8" s="1"/>
  <c r="AV9" i="8"/>
  <c r="AV37" i="8" s="1"/>
  <c r="AW9" i="8"/>
  <c r="AW37" i="8" s="1"/>
  <c r="AX9" i="8"/>
  <c r="AX37" i="8" s="1"/>
  <c r="AY9" i="8"/>
  <c r="AY37" i="8" s="1"/>
  <c r="AZ9" i="8"/>
  <c r="BA9" i="8"/>
  <c r="BB9" i="8"/>
  <c r="BC9" i="8"/>
  <c r="BD9" i="8"/>
  <c r="BE9" i="8"/>
  <c r="K38" i="14"/>
  <c r="L36" i="14"/>
  <c r="N56" i="14" l="1"/>
  <c r="O56" i="14"/>
  <c r="K40" i="14"/>
  <c r="K49" i="14" s="1"/>
  <c r="P58" i="14"/>
  <c r="P56" i="14"/>
  <c r="J73" i="14"/>
  <c r="K2" i="15" s="1"/>
  <c r="L37" i="14"/>
  <c r="M36" i="14"/>
  <c r="E16" i="8"/>
  <c r="E18" i="8"/>
  <c r="E17" i="8"/>
  <c r="E15" i="8"/>
  <c r="N4" i="15"/>
  <c r="N5" i="15" s="1"/>
  <c r="O4" i="15" s="1"/>
  <c r="K43" i="14" l="1"/>
  <c r="K42" i="14"/>
  <c r="K41" i="14"/>
  <c r="J74" i="14"/>
  <c r="Q57" i="14"/>
  <c r="C13" i="16"/>
  <c r="L38" i="14"/>
  <c r="N36" i="14"/>
  <c r="K73" i="14"/>
  <c r="L2" i="15" s="1"/>
  <c r="R20" i="15"/>
  <c r="M14" i="8" s="1"/>
  <c r="S20" i="15"/>
  <c r="N14" i="8" s="1"/>
  <c r="T20" i="15"/>
  <c r="O14" i="8" s="1"/>
  <c r="U20" i="15"/>
  <c r="P14" i="8" s="1"/>
  <c r="V20" i="15"/>
  <c r="Q14" i="8" s="1"/>
  <c r="W20" i="15"/>
  <c r="R14" i="8" s="1"/>
  <c r="X20" i="15"/>
  <c r="S14" i="8" s="1"/>
  <c r="Y20" i="15"/>
  <c r="T14" i="8" s="1"/>
  <c r="AA20" i="15"/>
  <c r="V14" i="8" s="1"/>
  <c r="Z20" i="15"/>
  <c r="U14" i="8" s="1"/>
  <c r="U19" i="15"/>
  <c r="V19" i="15"/>
  <c r="X19" i="15"/>
  <c r="Y19" i="15"/>
  <c r="Z19" i="15"/>
  <c r="AA19" i="15"/>
  <c r="R19" i="15"/>
  <c r="S19" i="15"/>
  <c r="T19" i="15"/>
  <c r="W19" i="15"/>
  <c r="P4" i="15"/>
  <c r="P5" i="15" s="1"/>
  <c r="L40" i="14"/>
  <c r="L49" i="14" s="1"/>
  <c r="F11" i="9"/>
  <c r="E11" i="9"/>
  <c r="L42" i="14" l="1"/>
  <c r="L43" i="14"/>
  <c r="L47" i="14" s="1"/>
  <c r="L41" i="14"/>
  <c r="L45" i="14" s="1"/>
  <c r="K46" i="14"/>
  <c r="K45" i="14"/>
  <c r="K47" i="14"/>
  <c r="K74" i="14"/>
  <c r="Q58" i="14"/>
  <c r="Q56" i="14"/>
  <c r="O36" i="14"/>
  <c r="O40" i="14" s="1"/>
  <c r="M37" i="14"/>
  <c r="L73" i="14"/>
  <c r="M2" i="15" s="1"/>
  <c r="K20" i="15"/>
  <c r="F14" i="8" s="1"/>
  <c r="K1" i="15"/>
  <c r="K18" i="15"/>
  <c r="K19" i="15"/>
  <c r="F13" i="8" s="1"/>
  <c r="N13" i="8"/>
  <c r="S25" i="15"/>
  <c r="M13" i="8"/>
  <c r="R25" i="15"/>
  <c r="U13" i="8"/>
  <c r="Z25" i="15"/>
  <c r="O13" i="8"/>
  <c r="T25" i="15"/>
  <c r="T13" i="8"/>
  <c r="Y25" i="15"/>
  <c r="R13" i="8"/>
  <c r="W25" i="15"/>
  <c r="X25" i="15"/>
  <c r="S13" i="8"/>
  <c r="Q13" i="8"/>
  <c r="V25" i="15"/>
  <c r="V13" i="8"/>
  <c r="AA25" i="15"/>
  <c r="U25" i="15"/>
  <c r="P13" i="8"/>
  <c r="Q4" i="15"/>
  <c r="N40" i="14"/>
  <c r="M40" i="14"/>
  <c r="M49" i="14" s="1"/>
  <c r="B11" i="9"/>
  <c r="C11" i="9"/>
  <c r="D11" i="9"/>
  <c r="A11" i="9"/>
  <c r="N49" i="14" l="1"/>
  <c r="O49" i="14" s="1"/>
  <c r="O43" i="14"/>
  <c r="O47" i="14" s="1"/>
  <c r="O41" i="14"/>
  <c r="O45" i="14" s="1"/>
  <c r="N43" i="14"/>
  <c r="N47" i="14" s="1"/>
  <c r="N41" i="14"/>
  <c r="N45" i="14" s="1"/>
  <c r="M43" i="14"/>
  <c r="M41" i="14"/>
  <c r="M42" i="14"/>
  <c r="L46" i="14"/>
  <c r="L74" i="14"/>
  <c r="R57" i="14"/>
  <c r="M38" i="14"/>
  <c r="P36" i="14"/>
  <c r="M18" i="15"/>
  <c r="M73" i="14"/>
  <c r="N2" i="15" s="1"/>
  <c r="C10" i="16"/>
  <c r="K25" i="15"/>
  <c r="F12" i="8"/>
  <c r="L1" i="15"/>
  <c r="F9" i="8"/>
  <c r="F37" i="8" s="1"/>
  <c r="L18" i="15"/>
  <c r="L19" i="15"/>
  <c r="L20" i="15"/>
  <c r="Q5" i="15"/>
  <c r="M45" i="14" l="1"/>
  <c r="N42" i="14"/>
  <c r="M46" i="14"/>
  <c r="M47" i="14"/>
  <c r="M74" i="14"/>
  <c r="L128" i="14"/>
  <c r="L241" i="14" s="1"/>
  <c r="L168" i="14"/>
  <c r="L281" i="14" s="1"/>
  <c r="L125" i="14"/>
  <c r="L238" i="14" s="1"/>
  <c r="L166" i="14"/>
  <c r="L279" i="14" s="1"/>
  <c r="L126" i="14"/>
  <c r="L239" i="14" s="1"/>
  <c r="L167" i="14"/>
  <c r="L280" i="14" s="1"/>
  <c r="L127" i="14"/>
  <c r="L240" i="14" s="1"/>
  <c r="L129" i="14"/>
  <c r="L242" i="14" s="1"/>
  <c r="L170" i="14"/>
  <c r="L283" i="14" s="1"/>
  <c r="L130" i="14"/>
  <c r="L243" i="14" s="1"/>
  <c r="L171" i="14"/>
  <c r="L284" i="14" s="1"/>
  <c r="L132" i="14"/>
  <c r="L245" i="14" s="1"/>
  <c r="L133" i="14"/>
  <c r="L246" i="14" s="1"/>
  <c r="L135" i="14"/>
  <c r="L248" i="14" s="1"/>
  <c r="L136" i="14"/>
  <c r="L249" i="14" s="1"/>
  <c r="L177" i="14"/>
  <c r="L290" i="14" s="1"/>
  <c r="L96" i="14"/>
  <c r="L137" i="14"/>
  <c r="L250" i="14" s="1"/>
  <c r="L178" i="14"/>
  <c r="L291" i="14" s="1"/>
  <c r="L97" i="14"/>
  <c r="L138" i="14"/>
  <c r="L251" i="14" s="1"/>
  <c r="L179" i="14"/>
  <c r="L292" i="14" s="1"/>
  <c r="L98" i="14"/>
  <c r="L139" i="14"/>
  <c r="L252" i="14" s="1"/>
  <c r="L81" i="14"/>
  <c r="L99" i="14"/>
  <c r="L140" i="14"/>
  <c r="L253" i="14" s="1"/>
  <c r="L82" i="14"/>
  <c r="L100" i="14"/>
  <c r="L101" i="14"/>
  <c r="L142" i="14"/>
  <c r="L255" i="14" s="1"/>
  <c r="L102" i="14"/>
  <c r="L143" i="14"/>
  <c r="L256" i="14" s="1"/>
  <c r="L85" i="14"/>
  <c r="L117" i="14"/>
  <c r="L230" i="14" s="1"/>
  <c r="L84" i="14"/>
  <c r="L118" i="14"/>
  <c r="L231" i="14" s="1"/>
  <c r="L86" i="14"/>
  <c r="L119" i="14"/>
  <c r="L232" i="14" s="1"/>
  <c r="L87" i="14"/>
  <c r="L83" i="14"/>
  <c r="L120" i="14"/>
  <c r="L233" i="14" s="1"/>
  <c r="L88" i="14"/>
  <c r="L121" i="14"/>
  <c r="L234" i="14" s="1"/>
  <c r="L89" i="14"/>
  <c r="L122" i="14"/>
  <c r="L235" i="14" s="1"/>
  <c r="L90" i="14"/>
  <c r="L152" i="14"/>
  <c r="L265" i="14" s="1"/>
  <c r="L123" i="14"/>
  <c r="L236" i="14" s="1"/>
  <c r="L91" i="14"/>
  <c r="L124" i="14"/>
  <c r="L237" i="14" s="1"/>
  <c r="L92" i="14"/>
  <c r="L151" i="14"/>
  <c r="L264" i="14" s="1"/>
  <c r="L157" i="14"/>
  <c r="L270" i="14" s="1"/>
  <c r="L131" i="14"/>
  <c r="L244" i="14" s="1"/>
  <c r="L93" i="14"/>
  <c r="L134" i="14"/>
  <c r="L247" i="14" s="1"/>
  <c r="L94" i="14"/>
  <c r="L141" i="14"/>
  <c r="L254" i="14" s="1"/>
  <c r="L95" i="14"/>
  <c r="L144" i="14"/>
  <c r="L257" i="14" s="1"/>
  <c r="L80" i="14"/>
  <c r="L145" i="14"/>
  <c r="L258" i="14" s="1"/>
  <c r="L149" i="14"/>
  <c r="L262" i="14" s="1"/>
  <c r="L116" i="14"/>
  <c r="L229" i="14" s="1"/>
  <c r="L176" i="14"/>
  <c r="L289" i="14" s="1"/>
  <c r="L146" i="14"/>
  <c r="L259" i="14" s="1"/>
  <c r="L147" i="14"/>
  <c r="L260" i="14" s="1"/>
  <c r="L148" i="14"/>
  <c r="L261" i="14" s="1"/>
  <c r="L150" i="14"/>
  <c r="L263" i="14" s="1"/>
  <c r="L153" i="14"/>
  <c r="L266" i="14" s="1"/>
  <c r="L154" i="14"/>
  <c r="L267" i="14" s="1"/>
  <c r="L155" i="14"/>
  <c r="L268" i="14" s="1"/>
  <c r="L156" i="14"/>
  <c r="L269" i="14" s="1"/>
  <c r="L158" i="14"/>
  <c r="L271" i="14" s="1"/>
  <c r="L103" i="14"/>
  <c r="L159" i="14"/>
  <c r="L272" i="14" s="1"/>
  <c r="L104" i="14"/>
  <c r="L160" i="14"/>
  <c r="L273" i="14" s="1"/>
  <c r="L105" i="14"/>
  <c r="L161" i="14"/>
  <c r="L274" i="14" s="1"/>
  <c r="L106" i="14"/>
  <c r="L162" i="14"/>
  <c r="L275" i="14" s="1"/>
  <c r="L107" i="14"/>
  <c r="L163" i="14"/>
  <c r="L276" i="14" s="1"/>
  <c r="L108" i="14"/>
  <c r="L164" i="14"/>
  <c r="L277" i="14" s="1"/>
  <c r="L109" i="14"/>
  <c r="L165" i="14"/>
  <c r="L278" i="14" s="1"/>
  <c r="L110" i="14"/>
  <c r="L223" i="14" s="1"/>
  <c r="L169" i="14"/>
  <c r="L282" i="14" s="1"/>
  <c r="L111" i="14"/>
  <c r="L224" i="14" s="1"/>
  <c r="L172" i="14"/>
  <c r="L285" i="14" s="1"/>
  <c r="L112" i="14"/>
  <c r="L225" i="14" s="1"/>
  <c r="L173" i="14"/>
  <c r="L286" i="14" s="1"/>
  <c r="L113" i="14"/>
  <c r="L226" i="14" s="1"/>
  <c r="L174" i="14"/>
  <c r="L287" i="14" s="1"/>
  <c r="L114" i="14"/>
  <c r="L227" i="14" s="1"/>
  <c r="L175" i="14"/>
  <c r="L288" i="14" s="1"/>
  <c r="L115" i="14"/>
  <c r="L228" i="14" s="1"/>
  <c r="R58" i="14"/>
  <c r="R56" i="14"/>
  <c r="Q36" i="14"/>
  <c r="P40" i="14"/>
  <c r="P49" i="14" s="1"/>
  <c r="N37" i="14"/>
  <c r="M19" i="15"/>
  <c r="H13" i="8" s="1"/>
  <c r="M20" i="15"/>
  <c r="H14" i="8" s="1"/>
  <c r="N73" i="14"/>
  <c r="O2" i="15" s="1"/>
  <c r="H12" i="8"/>
  <c r="G9" i="8"/>
  <c r="G37" i="8" s="1"/>
  <c r="M1" i="15"/>
  <c r="G14" i="8"/>
  <c r="G12" i="8"/>
  <c r="L25" i="15"/>
  <c r="C17" i="16" s="1"/>
  <c r="G13" i="8"/>
  <c r="R4" i="15"/>
  <c r="R5" i="15" s="1"/>
  <c r="P43" i="14" l="1"/>
  <c r="P41" i="14"/>
  <c r="O42" i="14"/>
  <c r="N46" i="14"/>
  <c r="N74" i="14"/>
  <c r="M90" i="14"/>
  <c r="M118" i="14"/>
  <c r="M111" i="14"/>
  <c r="M91" i="14"/>
  <c r="M106" i="14"/>
  <c r="M92" i="14"/>
  <c r="M107" i="14"/>
  <c r="M108" i="14"/>
  <c r="M93" i="14"/>
  <c r="M119" i="14"/>
  <c r="M159" i="14"/>
  <c r="M272" i="14" s="1"/>
  <c r="M94" i="14"/>
  <c r="M112" i="14"/>
  <c r="M100" i="14"/>
  <c r="M135" i="14"/>
  <c r="M248" i="14" s="1"/>
  <c r="M131" i="14"/>
  <c r="M244" i="14" s="1"/>
  <c r="M168" i="14"/>
  <c r="M281" i="14" s="1"/>
  <c r="M172" i="14"/>
  <c r="M285" i="14" s="1"/>
  <c r="M101" i="14"/>
  <c r="M127" i="14"/>
  <c r="M240" i="14" s="1"/>
  <c r="M123" i="14"/>
  <c r="M236" i="14" s="1"/>
  <c r="M102" i="14"/>
  <c r="M103" i="14"/>
  <c r="M148" i="14"/>
  <c r="M261" i="14" s="1"/>
  <c r="M144" i="14"/>
  <c r="M257" i="14" s="1"/>
  <c r="M140" i="14"/>
  <c r="M253" i="14" s="1"/>
  <c r="M104" i="14"/>
  <c r="M136" i="14"/>
  <c r="M249" i="14" s="1"/>
  <c r="M132" i="14"/>
  <c r="M245" i="14" s="1"/>
  <c r="M128" i="14"/>
  <c r="M241" i="14" s="1"/>
  <c r="M80" i="14"/>
  <c r="M105" i="14"/>
  <c r="M124" i="14"/>
  <c r="M237" i="14" s="1"/>
  <c r="M81" i="14"/>
  <c r="M82" i="14"/>
  <c r="M130" i="14"/>
  <c r="M243" i="14" s="1"/>
  <c r="M151" i="14"/>
  <c r="M264" i="14" s="1"/>
  <c r="M113" i="14"/>
  <c r="M150" i="14"/>
  <c r="M263" i="14" s="1"/>
  <c r="M152" i="14"/>
  <c r="M265" i="14" s="1"/>
  <c r="M153" i="14"/>
  <c r="M266" i="14" s="1"/>
  <c r="M125" i="14"/>
  <c r="M238" i="14" s="1"/>
  <c r="M166" i="14"/>
  <c r="M279" i="14" s="1"/>
  <c r="M179" i="14"/>
  <c r="M292" i="14" s="1"/>
  <c r="M139" i="14"/>
  <c r="M252" i="14" s="1"/>
  <c r="M149" i="14"/>
  <c r="M262" i="14" s="1"/>
  <c r="M175" i="14"/>
  <c r="M288" i="14" s="1"/>
  <c r="M134" i="14"/>
  <c r="M247" i="14" s="1"/>
  <c r="M171" i="14"/>
  <c r="M284" i="14" s="1"/>
  <c r="M154" i="14"/>
  <c r="M267" i="14" s="1"/>
  <c r="M129" i="14"/>
  <c r="M242" i="14" s="1"/>
  <c r="M138" i="14"/>
  <c r="M251" i="14" s="1"/>
  <c r="M162" i="14"/>
  <c r="M275" i="14" s="1"/>
  <c r="M155" i="14"/>
  <c r="M268" i="14" s="1"/>
  <c r="M133" i="14"/>
  <c r="M246" i="14" s="1"/>
  <c r="M143" i="14"/>
  <c r="M256" i="14" s="1"/>
  <c r="M167" i="14"/>
  <c r="M280" i="14" s="1"/>
  <c r="M156" i="14"/>
  <c r="M269" i="14" s="1"/>
  <c r="M176" i="14"/>
  <c r="M289" i="14" s="1"/>
  <c r="M83" i="14"/>
  <c r="M121" i="14"/>
  <c r="M234" i="14" s="1"/>
  <c r="M84" i="14"/>
  <c r="M116" i="14"/>
  <c r="M137" i="14"/>
  <c r="M250" i="14" s="1"/>
  <c r="M142" i="14"/>
  <c r="M255" i="14" s="1"/>
  <c r="M157" i="14"/>
  <c r="M270" i="14" s="1"/>
  <c r="M109" i="14"/>
  <c r="M85" i="14"/>
  <c r="M163" i="14"/>
  <c r="M276" i="14" s="1"/>
  <c r="M86" i="14"/>
  <c r="M87" i="14"/>
  <c r="M114" i="14"/>
  <c r="M88" i="14"/>
  <c r="M89" i="14"/>
  <c r="M95" i="14"/>
  <c r="M120" i="14"/>
  <c r="M233" i="14" s="1"/>
  <c r="M96" i="14"/>
  <c r="M97" i="14"/>
  <c r="M110" i="14"/>
  <c r="M98" i="14"/>
  <c r="M99" i="14"/>
  <c r="M115" i="14"/>
  <c r="M126" i="14"/>
  <c r="M239" i="14" s="1"/>
  <c r="M141" i="14"/>
  <c r="M254" i="14" s="1"/>
  <c r="M169" i="14"/>
  <c r="M282" i="14" s="1"/>
  <c r="M160" i="14"/>
  <c r="M273" i="14" s="1"/>
  <c r="M178" i="14"/>
  <c r="M291" i="14" s="1"/>
  <c r="M146" i="14"/>
  <c r="M259" i="14" s="1"/>
  <c r="M177" i="14"/>
  <c r="M290" i="14" s="1"/>
  <c r="M165" i="14"/>
  <c r="M278" i="14" s="1"/>
  <c r="M161" i="14"/>
  <c r="M274" i="14" s="1"/>
  <c r="M117" i="14"/>
  <c r="M174" i="14"/>
  <c r="M287" i="14" s="1"/>
  <c r="M122" i="14"/>
  <c r="M235" i="14" s="1"/>
  <c r="M164" i="14"/>
  <c r="M277" i="14" s="1"/>
  <c r="M173" i="14"/>
  <c r="M286" i="14" s="1"/>
  <c r="M158" i="14"/>
  <c r="M271" i="14" s="1"/>
  <c r="M147" i="14"/>
  <c r="M260" i="14" s="1"/>
  <c r="M145" i="14"/>
  <c r="M258" i="14" s="1"/>
  <c r="M170" i="14"/>
  <c r="M283" i="14" s="1"/>
  <c r="S57" i="14"/>
  <c r="N38" i="14"/>
  <c r="R36" i="14"/>
  <c r="Q40" i="14"/>
  <c r="Q49" i="14" s="1"/>
  <c r="M25" i="15"/>
  <c r="N18" i="15"/>
  <c r="N19" i="15"/>
  <c r="I13" i="8" s="1"/>
  <c r="N20" i="15"/>
  <c r="O73" i="14"/>
  <c r="P2" i="15" s="1"/>
  <c r="N1" i="15"/>
  <c r="S4" i="15"/>
  <c r="P42" i="14" l="1"/>
  <c r="O46" i="14"/>
  <c r="Q43" i="14"/>
  <c r="Q47" i="14" s="1"/>
  <c r="Q41" i="14"/>
  <c r="Q45" i="14" s="1"/>
  <c r="P45" i="14"/>
  <c r="P47" i="14"/>
  <c r="N99" i="14"/>
  <c r="N96" i="14"/>
  <c r="N93" i="14"/>
  <c r="O74" i="14"/>
  <c r="N105" i="14"/>
  <c r="N90" i="14"/>
  <c r="N118" i="14"/>
  <c r="N111" i="14"/>
  <c r="N91" i="14"/>
  <c r="N106" i="14"/>
  <c r="N92" i="14"/>
  <c r="N107" i="14"/>
  <c r="N108" i="14"/>
  <c r="N148" i="14"/>
  <c r="N261" i="14" s="1"/>
  <c r="N94" i="14"/>
  <c r="N112" i="14"/>
  <c r="N109" i="14"/>
  <c r="N113" i="14"/>
  <c r="N139" i="14"/>
  <c r="N252" i="14" s="1"/>
  <c r="N100" i="14"/>
  <c r="N135" i="14"/>
  <c r="N248" i="14" s="1"/>
  <c r="N131" i="14"/>
  <c r="N244" i="14" s="1"/>
  <c r="N101" i="14"/>
  <c r="N127" i="14"/>
  <c r="N123" i="14"/>
  <c r="N102" i="14"/>
  <c r="N152" i="14"/>
  <c r="N265" i="14" s="1"/>
  <c r="N103" i="14"/>
  <c r="N144" i="14"/>
  <c r="N257" i="14" s="1"/>
  <c r="N140" i="14"/>
  <c r="N253" i="14" s="1"/>
  <c r="N104" i="14"/>
  <c r="N136" i="14"/>
  <c r="N249" i="14" s="1"/>
  <c r="N132" i="14"/>
  <c r="N245" i="14" s="1"/>
  <c r="N128" i="14"/>
  <c r="N81" i="14"/>
  <c r="N117" i="14"/>
  <c r="N161" i="14"/>
  <c r="N274" i="14" s="1"/>
  <c r="N130" i="14"/>
  <c r="N243" i="14" s="1"/>
  <c r="N151" i="14"/>
  <c r="N264" i="14" s="1"/>
  <c r="N150" i="14"/>
  <c r="N263" i="14" s="1"/>
  <c r="N153" i="14"/>
  <c r="N266" i="14" s="1"/>
  <c r="N125" i="14"/>
  <c r="N166" i="14"/>
  <c r="N279" i="14" s="1"/>
  <c r="N179" i="14"/>
  <c r="N292" i="14" s="1"/>
  <c r="N149" i="14"/>
  <c r="N262" i="14" s="1"/>
  <c r="N175" i="14"/>
  <c r="N288" i="14" s="1"/>
  <c r="N119" i="14"/>
  <c r="N134" i="14"/>
  <c r="N247" i="14" s="1"/>
  <c r="N171" i="14"/>
  <c r="N284" i="14" s="1"/>
  <c r="N154" i="14"/>
  <c r="N267" i="14" s="1"/>
  <c r="N129" i="14"/>
  <c r="N124" i="14"/>
  <c r="N138" i="14"/>
  <c r="N251" i="14" s="1"/>
  <c r="N162" i="14"/>
  <c r="N275" i="14" s="1"/>
  <c r="N155" i="14"/>
  <c r="N268" i="14" s="1"/>
  <c r="N133" i="14"/>
  <c r="N246" i="14" s="1"/>
  <c r="N143" i="14"/>
  <c r="N256" i="14" s="1"/>
  <c r="N167" i="14"/>
  <c r="N280" i="14" s="1"/>
  <c r="N82" i="14"/>
  <c r="N156" i="14"/>
  <c r="N269" i="14" s="1"/>
  <c r="N176" i="14"/>
  <c r="N289" i="14" s="1"/>
  <c r="N121" i="14"/>
  <c r="N172" i="14"/>
  <c r="N285" i="14" s="1"/>
  <c r="N84" i="14"/>
  <c r="N116" i="14"/>
  <c r="N137" i="14"/>
  <c r="N250" i="14" s="1"/>
  <c r="N142" i="14"/>
  <c r="N255" i="14" s="1"/>
  <c r="N157" i="14"/>
  <c r="N270" i="14" s="1"/>
  <c r="N163" i="14"/>
  <c r="N276" i="14" s="1"/>
  <c r="N87" i="14"/>
  <c r="N114" i="14"/>
  <c r="N88" i="14"/>
  <c r="N89" i="14"/>
  <c r="N95" i="14"/>
  <c r="N120" i="14"/>
  <c r="N97" i="14"/>
  <c r="N110" i="14"/>
  <c r="N98" i="14"/>
  <c r="N115" i="14"/>
  <c r="N141" i="14"/>
  <c r="N254" i="14" s="1"/>
  <c r="N169" i="14"/>
  <c r="N282" i="14" s="1"/>
  <c r="N160" i="14"/>
  <c r="N273" i="14" s="1"/>
  <c r="N145" i="14"/>
  <c r="N258" i="14" s="1"/>
  <c r="N177" i="14"/>
  <c r="N290" i="14" s="1"/>
  <c r="N170" i="14"/>
  <c r="N283" i="14" s="1"/>
  <c r="N178" i="14"/>
  <c r="N291" i="14" s="1"/>
  <c r="N146" i="14"/>
  <c r="N259" i="14" s="1"/>
  <c r="N168" i="14"/>
  <c r="N281" i="14" s="1"/>
  <c r="N159" i="14"/>
  <c r="N272" i="14" s="1"/>
  <c r="N165" i="14"/>
  <c r="N278" i="14" s="1"/>
  <c r="N174" i="14"/>
  <c r="N287" i="14" s="1"/>
  <c r="N122" i="14"/>
  <c r="N164" i="14"/>
  <c r="N277" i="14" s="1"/>
  <c r="N173" i="14"/>
  <c r="N286" i="14" s="1"/>
  <c r="N158" i="14"/>
  <c r="N271" i="14" s="1"/>
  <c r="N126" i="14"/>
  <c r="N147" i="14"/>
  <c r="N260" i="14" s="1"/>
  <c r="N80" i="14"/>
  <c r="N85" i="14"/>
  <c r="N86" i="14"/>
  <c r="N83" i="14"/>
  <c r="S58" i="14"/>
  <c r="S56" i="14"/>
  <c r="S36" i="14"/>
  <c r="R40" i="14"/>
  <c r="R49" i="14" s="1"/>
  <c r="O37" i="14"/>
  <c r="O18" i="15"/>
  <c r="O20" i="15"/>
  <c r="J14" i="8" s="1"/>
  <c r="O19" i="15"/>
  <c r="I14" i="8"/>
  <c r="P73" i="14"/>
  <c r="Q2" i="15" s="1"/>
  <c r="I12" i="8"/>
  <c r="N25" i="15"/>
  <c r="O1" i="15"/>
  <c r="F8" i="8"/>
  <c r="F36" i="8" s="1"/>
  <c r="F7" i="8"/>
  <c r="F35" i="8" s="1"/>
  <c r="F6" i="8"/>
  <c r="F34" i="8" s="1"/>
  <c r="F5" i="8"/>
  <c r="S5" i="15"/>
  <c r="F33" i="8" l="1"/>
  <c r="R43" i="14"/>
  <c r="R41" i="14"/>
  <c r="Q42" i="14"/>
  <c r="P46" i="14"/>
  <c r="O82" i="14"/>
  <c r="P74" i="14"/>
  <c r="O105" i="14"/>
  <c r="O90" i="14"/>
  <c r="O111" i="14"/>
  <c r="O91" i="14"/>
  <c r="O106" i="14"/>
  <c r="O92" i="14"/>
  <c r="O107" i="14"/>
  <c r="O137" i="14"/>
  <c r="O108" i="14"/>
  <c r="O119" i="14"/>
  <c r="O94" i="14"/>
  <c r="O143" i="14"/>
  <c r="O256" i="14" s="1"/>
  <c r="O109" i="14"/>
  <c r="O113" i="14"/>
  <c r="O139" i="14"/>
  <c r="O135" i="14"/>
  <c r="O131" i="14"/>
  <c r="O101" i="14"/>
  <c r="O127" i="14"/>
  <c r="O123" i="14"/>
  <c r="O112" i="14"/>
  <c r="O148" i="14"/>
  <c r="O261" i="14" s="1"/>
  <c r="O103" i="14"/>
  <c r="O144" i="14"/>
  <c r="O257" i="14" s="1"/>
  <c r="O140" i="14"/>
  <c r="O253" i="14" s="1"/>
  <c r="O104" i="14"/>
  <c r="O136" i="14"/>
  <c r="O132" i="14"/>
  <c r="O124" i="14"/>
  <c r="O81" i="14"/>
  <c r="O122" i="14"/>
  <c r="O117" i="14"/>
  <c r="O161" i="14"/>
  <c r="O274" i="14" s="1"/>
  <c r="O130" i="14"/>
  <c r="O151" i="14"/>
  <c r="O264" i="14" s="1"/>
  <c r="O152" i="14"/>
  <c r="O265" i="14" s="1"/>
  <c r="O150" i="14"/>
  <c r="O263" i="14" s="1"/>
  <c r="O153" i="14"/>
  <c r="O266" i="14" s="1"/>
  <c r="O125" i="14"/>
  <c r="O166" i="14"/>
  <c r="O279" i="14" s="1"/>
  <c r="O179" i="14"/>
  <c r="O292" i="14" s="1"/>
  <c r="O149" i="14"/>
  <c r="O262" i="14" s="1"/>
  <c r="O175" i="14"/>
  <c r="O288" i="14" s="1"/>
  <c r="O134" i="14"/>
  <c r="O171" i="14"/>
  <c r="O284" i="14" s="1"/>
  <c r="O154" i="14"/>
  <c r="O267" i="14" s="1"/>
  <c r="O129" i="14"/>
  <c r="O138" i="14"/>
  <c r="O162" i="14"/>
  <c r="O275" i="14" s="1"/>
  <c r="O155" i="14"/>
  <c r="O268" i="14" s="1"/>
  <c r="O133" i="14"/>
  <c r="O167" i="14"/>
  <c r="O280" i="14" s="1"/>
  <c r="O156" i="14"/>
  <c r="O269" i="14" s="1"/>
  <c r="O128" i="14"/>
  <c r="O176" i="14"/>
  <c r="O289" i="14" s="1"/>
  <c r="O121" i="14"/>
  <c r="O172" i="14"/>
  <c r="O285" i="14" s="1"/>
  <c r="O116" i="14"/>
  <c r="O142" i="14"/>
  <c r="O255" i="14" s="1"/>
  <c r="O157" i="14"/>
  <c r="O270" i="14" s="1"/>
  <c r="O87" i="14"/>
  <c r="O114" i="14"/>
  <c r="O118" i="14"/>
  <c r="O89" i="14"/>
  <c r="O120" i="14"/>
  <c r="O110" i="14"/>
  <c r="O115" i="14"/>
  <c r="O141" i="14"/>
  <c r="O254" i="14" s="1"/>
  <c r="O168" i="14"/>
  <c r="O281" i="14" s="1"/>
  <c r="O163" i="14"/>
  <c r="O276" i="14" s="1"/>
  <c r="O169" i="14"/>
  <c r="O282" i="14" s="1"/>
  <c r="O160" i="14"/>
  <c r="O273" i="14" s="1"/>
  <c r="O178" i="14"/>
  <c r="O291" i="14" s="1"/>
  <c r="O177" i="14"/>
  <c r="O290" i="14" s="1"/>
  <c r="O146" i="14"/>
  <c r="O259" i="14" s="1"/>
  <c r="O159" i="14"/>
  <c r="O272" i="14" s="1"/>
  <c r="O170" i="14"/>
  <c r="O283" i="14" s="1"/>
  <c r="O165" i="14"/>
  <c r="O278" i="14" s="1"/>
  <c r="O174" i="14"/>
  <c r="O287" i="14" s="1"/>
  <c r="O145" i="14"/>
  <c r="O258" i="14" s="1"/>
  <c r="O164" i="14"/>
  <c r="O277" i="14" s="1"/>
  <c r="O173" i="14"/>
  <c r="O286" i="14" s="1"/>
  <c r="O158" i="14"/>
  <c r="O271" i="14" s="1"/>
  <c r="O126" i="14"/>
  <c r="O147" i="14"/>
  <c r="O260" i="14" s="1"/>
  <c r="O100" i="14"/>
  <c r="O93" i="14"/>
  <c r="O85" i="14"/>
  <c r="O96" i="14"/>
  <c r="O84" i="14"/>
  <c r="O80" i="14"/>
  <c r="O99" i="14"/>
  <c r="O102" i="14"/>
  <c r="O83" i="14"/>
  <c r="O97" i="14"/>
  <c r="O98" i="14"/>
  <c r="O95" i="14"/>
  <c r="O86" i="14"/>
  <c r="O88" i="14"/>
  <c r="T57" i="14"/>
  <c r="T36" i="14"/>
  <c r="S40" i="14"/>
  <c r="S49" i="14" s="1"/>
  <c r="O38" i="14"/>
  <c r="Q19" i="15"/>
  <c r="L13" i="8" s="1"/>
  <c r="C14" i="16"/>
  <c r="J13" i="8"/>
  <c r="P18" i="15"/>
  <c r="P19" i="15"/>
  <c r="K13" i="8" s="1"/>
  <c r="P20" i="15"/>
  <c r="J12" i="8"/>
  <c r="O25" i="15"/>
  <c r="P1" i="15"/>
  <c r="K6" i="15"/>
  <c r="T4" i="15"/>
  <c r="S43" i="14" l="1"/>
  <c r="S47" i="14" s="1"/>
  <c r="S41" i="14"/>
  <c r="S45" i="14" s="1"/>
  <c r="R42" i="14"/>
  <c r="Q46" i="14"/>
  <c r="R45" i="14"/>
  <c r="R47" i="14"/>
  <c r="P99" i="14"/>
  <c r="P85" i="14"/>
  <c r="P103" i="14"/>
  <c r="P96" i="14"/>
  <c r="P97" i="14"/>
  <c r="P84" i="14"/>
  <c r="P93" i="14"/>
  <c r="P107" i="14"/>
  <c r="P100" i="14"/>
  <c r="P80" i="14"/>
  <c r="P106" i="14"/>
  <c r="P91" i="14"/>
  <c r="P104" i="14"/>
  <c r="P101" i="14"/>
  <c r="Q74" i="14"/>
  <c r="P105" i="14"/>
  <c r="P90" i="14"/>
  <c r="P118" i="14"/>
  <c r="P111" i="14"/>
  <c r="P92" i="14"/>
  <c r="P115" i="14"/>
  <c r="P126" i="14"/>
  <c r="P166" i="14"/>
  <c r="P279" i="14" s="1"/>
  <c r="P108" i="14"/>
  <c r="P119" i="14"/>
  <c r="P94" i="14"/>
  <c r="P112" i="14"/>
  <c r="P122" i="14"/>
  <c r="P147" i="14"/>
  <c r="P143" i="14"/>
  <c r="P179" i="14"/>
  <c r="P292" i="14" s="1"/>
  <c r="P109" i="14"/>
  <c r="P113" i="14"/>
  <c r="P139" i="14"/>
  <c r="P135" i="14"/>
  <c r="P131" i="14"/>
  <c r="P127" i="14"/>
  <c r="P123" i="14"/>
  <c r="P152" i="14"/>
  <c r="P265" i="14" s="1"/>
  <c r="P148" i="14"/>
  <c r="P144" i="14"/>
  <c r="P140" i="14"/>
  <c r="P136" i="14"/>
  <c r="P128" i="14"/>
  <c r="P117" i="14"/>
  <c r="P161" i="14"/>
  <c r="P274" i="14" s="1"/>
  <c r="P130" i="14"/>
  <c r="P151" i="14"/>
  <c r="P264" i="14" s="1"/>
  <c r="P150" i="14"/>
  <c r="P263" i="14" s="1"/>
  <c r="P153" i="14"/>
  <c r="P266" i="14" s="1"/>
  <c r="P125" i="14"/>
  <c r="P149" i="14"/>
  <c r="P175" i="14"/>
  <c r="P288" i="14" s="1"/>
  <c r="P134" i="14"/>
  <c r="P171" i="14"/>
  <c r="P284" i="14" s="1"/>
  <c r="P154" i="14"/>
  <c r="P267" i="14" s="1"/>
  <c r="P129" i="14"/>
  <c r="P124" i="14"/>
  <c r="P138" i="14"/>
  <c r="P162" i="14"/>
  <c r="P275" i="14" s="1"/>
  <c r="P155" i="14"/>
  <c r="P268" i="14" s="1"/>
  <c r="P133" i="14"/>
  <c r="P167" i="14"/>
  <c r="P280" i="14" s="1"/>
  <c r="P156" i="14"/>
  <c r="P269" i="14" s="1"/>
  <c r="P176" i="14"/>
  <c r="P289" i="14" s="1"/>
  <c r="P121" i="14"/>
  <c r="P137" i="14"/>
  <c r="P172" i="14"/>
  <c r="P285" i="14" s="1"/>
  <c r="P116" i="14"/>
  <c r="P142" i="14"/>
  <c r="P157" i="14"/>
  <c r="P270" i="14" s="1"/>
  <c r="P114" i="14"/>
  <c r="P120" i="14"/>
  <c r="P110" i="14"/>
  <c r="P145" i="14"/>
  <c r="P170" i="14"/>
  <c r="P283" i="14" s="1"/>
  <c r="P141" i="14"/>
  <c r="P163" i="14"/>
  <c r="P276" i="14" s="1"/>
  <c r="P132" i="14"/>
  <c r="P169" i="14"/>
  <c r="P282" i="14" s="1"/>
  <c r="P160" i="14"/>
  <c r="P273" i="14" s="1"/>
  <c r="P178" i="14"/>
  <c r="P291" i="14" s="1"/>
  <c r="P146" i="14"/>
  <c r="P168" i="14"/>
  <c r="P281" i="14" s="1"/>
  <c r="P159" i="14"/>
  <c r="P272" i="14" s="1"/>
  <c r="P177" i="14"/>
  <c r="P290" i="14" s="1"/>
  <c r="P165" i="14"/>
  <c r="P278" i="14" s="1"/>
  <c r="P174" i="14"/>
  <c r="P287" i="14" s="1"/>
  <c r="P164" i="14"/>
  <c r="P277" i="14" s="1"/>
  <c r="P173" i="14"/>
  <c r="P286" i="14" s="1"/>
  <c r="P158" i="14"/>
  <c r="P271" i="14" s="1"/>
  <c r="P81" i="14"/>
  <c r="P86" i="14"/>
  <c r="P82" i="14"/>
  <c r="P89" i="14"/>
  <c r="P88" i="14"/>
  <c r="P83" i="14"/>
  <c r="P87" i="14"/>
  <c r="P95" i="14"/>
  <c r="P98" i="14"/>
  <c r="P102" i="14"/>
  <c r="T58" i="14"/>
  <c r="T56" i="14"/>
  <c r="P37" i="14"/>
  <c r="U36" i="14"/>
  <c r="T40" i="14"/>
  <c r="T49" i="14" s="1"/>
  <c r="Q20" i="15"/>
  <c r="L14" i="8" s="1"/>
  <c r="Q18" i="15"/>
  <c r="L12" i="8" s="1"/>
  <c r="K14" i="8"/>
  <c r="J19" i="15"/>
  <c r="E13" i="8"/>
  <c r="K12" i="8"/>
  <c r="P25" i="15"/>
  <c r="Q1" i="15"/>
  <c r="T5" i="15"/>
  <c r="AM4" i="8"/>
  <c r="AN4" i="8"/>
  <c r="AO4" i="8"/>
  <c r="AP4" i="8"/>
  <c r="AQ4" i="8"/>
  <c r="AR4" i="8"/>
  <c r="AS4" i="8"/>
  <c r="AT4" i="8"/>
  <c r="AU4" i="8"/>
  <c r="AV4" i="8"/>
  <c r="AW4" i="8"/>
  <c r="AX4" i="8"/>
  <c r="AY4" i="8"/>
  <c r="AZ4" i="8"/>
  <c r="BA4" i="8"/>
  <c r="BB4" i="8"/>
  <c r="BC4" i="8"/>
  <c r="BD4" i="8"/>
  <c r="BE4" i="8"/>
  <c r="F4" i="8"/>
  <c r="E12" i="8" l="1"/>
  <c r="T43" i="14"/>
  <c r="T41" i="14"/>
  <c r="S42" i="14"/>
  <c r="R46" i="14"/>
  <c r="Q93" i="14"/>
  <c r="Q102" i="14"/>
  <c r="Q91" i="14"/>
  <c r="Q107" i="14"/>
  <c r="Q84" i="14"/>
  <c r="Q92" i="14"/>
  <c r="Q97" i="14"/>
  <c r="Q104" i="14"/>
  <c r="Q89" i="14"/>
  <c r="Q90" i="14"/>
  <c r="Q96" i="14"/>
  <c r="Q95" i="14"/>
  <c r="R74" i="14"/>
  <c r="Q114" i="14"/>
  <c r="Q105" i="14"/>
  <c r="Q111" i="14"/>
  <c r="Q115" i="14"/>
  <c r="Q155" i="14"/>
  <c r="Q108" i="14"/>
  <c r="Q94" i="14"/>
  <c r="Q122" i="14"/>
  <c r="Q147" i="14"/>
  <c r="Q143" i="14"/>
  <c r="Q109" i="14"/>
  <c r="Q113" i="14"/>
  <c r="Q139" i="14"/>
  <c r="Q135" i="14"/>
  <c r="Q131" i="14"/>
  <c r="Q127" i="14"/>
  <c r="Q123" i="14"/>
  <c r="Q112" i="14"/>
  <c r="Q156" i="14"/>
  <c r="Q152" i="14"/>
  <c r="Q148" i="14"/>
  <c r="Q140" i="14"/>
  <c r="Q132" i="14"/>
  <c r="Q126" i="14"/>
  <c r="Q117" i="14"/>
  <c r="Q161" i="14"/>
  <c r="Q274" i="14" s="1"/>
  <c r="Q130" i="14"/>
  <c r="Q151" i="14"/>
  <c r="Q150" i="14"/>
  <c r="Q153" i="14"/>
  <c r="Q166" i="14"/>
  <c r="Q279" i="14" s="1"/>
  <c r="Q179" i="14"/>
  <c r="Q292" i="14" s="1"/>
  <c r="Q119" i="14"/>
  <c r="Q125" i="14"/>
  <c r="Q149" i="14"/>
  <c r="Q175" i="14"/>
  <c r="Q288" i="14" s="1"/>
  <c r="Q134" i="14"/>
  <c r="Q171" i="14"/>
  <c r="Q284" i="14" s="1"/>
  <c r="Q154" i="14"/>
  <c r="Q129" i="14"/>
  <c r="Q124" i="14"/>
  <c r="Q138" i="14"/>
  <c r="Q162" i="14"/>
  <c r="Q275" i="14" s="1"/>
  <c r="Q133" i="14"/>
  <c r="Q167" i="14"/>
  <c r="Q280" i="14" s="1"/>
  <c r="Q128" i="14"/>
  <c r="Q176" i="14"/>
  <c r="Q289" i="14" s="1"/>
  <c r="Q121" i="14"/>
  <c r="Q137" i="14"/>
  <c r="Q172" i="14"/>
  <c r="Q285" i="14" s="1"/>
  <c r="Q116" i="14"/>
  <c r="Q118" i="14"/>
  <c r="Q120" i="14"/>
  <c r="Q110" i="14"/>
  <c r="Q145" i="14"/>
  <c r="Q170" i="14"/>
  <c r="Q283" i="14" s="1"/>
  <c r="Q141" i="14"/>
  <c r="Q136" i="14"/>
  <c r="Q163" i="14"/>
  <c r="Q276" i="14" s="1"/>
  <c r="Q178" i="14"/>
  <c r="Q291" i="14" s="1"/>
  <c r="Q157" i="14"/>
  <c r="Q169" i="14"/>
  <c r="Q282" i="14" s="1"/>
  <c r="Q160" i="14"/>
  <c r="Q273" i="14" s="1"/>
  <c r="Q158" i="14"/>
  <c r="Q146" i="14"/>
  <c r="Q168" i="14"/>
  <c r="Q281" i="14" s="1"/>
  <c r="Q142" i="14"/>
  <c r="Q144" i="14"/>
  <c r="Q159" i="14"/>
  <c r="Q177" i="14"/>
  <c r="Q290" i="14" s="1"/>
  <c r="Q165" i="14"/>
  <c r="Q278" i="14" s="1"/>
  <c r="Q174" i="14"/>
  <c r="Q287" i="14" s="1"/>
  <c r="Q164" i="14"/>
  <c r="Q277" i="14" s="1"/>
  <c r="Q173" i="14"/>
  <c r="Q286" i="14" s="1"/>
  <c r="Q86" i="14"/>
  <c r="Q103" i="14"/>
  <c r="Q81" i="14"/>
  <c r="Q106" i="14"/>
  <c r="Q88" i="14"/>
  <c r="Q82" i="14"/>
  <c r="Q85" i="14"/>
  <c r="Q87" i="14"/>
  <c r="Q100" i="14"/>
  <c r="Q98" i="14"/>
  <c r="Q80" i="14"/>
  <c r="Q101" i="14"/>
  <c r="Q99" i="14"/>
  <c r="Q83" i="14"/>
  <c r="U57" i="14"/>
  <c r="P38" i="14"/>
  <c r="V36" i="14"/>
  <c r="U40" i="14"/>
  <c r="U49" i="14" s="1"/>
  <c r="J18" i="15"/>
  <c r="Q25" i="15"/>
  <c r="E14" i="8"/>
  <c r="J20" i="15"/>
  <c r="R1" i="15"/>
  <c r="U4" i="15"/>
  <c r="U41" i="14" l="1"/>
  <c r="U45" i="14" s="1"/>
  <c r="U43" i="14"/>
  <c r="U47" i="14" s="1"/>
  <c r="T42" i="14"/>
  <c r="S46" i="14"/>
  <c r="T45" i="14"/>
  <c r="T47" i="14"/>
  <c r="R99" i="14"/>
  <c r="R80" i="14"/>
  <c r="R96" i="14"/>
  <c r="R87" i="14"/>
  <c r="R83" i="14"/>
  <c r="R92" i="14"/>
  <c r="R95" i="14"/>
  <c r="R84" i="14"/>
  <c r="R104" i="14"/>
  <c r="R107" i="14"/>
  <c r="R97" i="14"/>
  <c r="R101" i="14"/>
  <c r="R91" i="14"/>
  <c r="R90" i="14"/>
  <c r="R106" i="14"/>
  <c r="R102" i="14"/>
  <c r="R88" i="14"/>
  <c r="R81" i="14"/>
  <c r="S74" i="14"/>
  <c r="R114" i="14"/>
  <c r="R111" i="14"/>
  <c r="R144" i="14"/>
  <c r="R115" i="14"/>
  <c r="R108" i="14"/>
  <c r="R94" i="14"/>
  <c r="R121" i="14"/>
  <c r="R151" i="14"/>
  <c r="R122" i="14"/>
  <c r="R147" i="14"/>
  <c r="R143" i="14"/>
  <c r="R109" i="14"/>
  <c r="R113" i="14"/>
  <c r="R139" i="14"/>
  <c r="R135" i="14"/>
  <c r="R131" i="14"/>
  <c r="R127" i="14"/>
  <c r="R123" i="14"/>
  <c r="R112" i="14"/>
  <c r="R156" i="14"/>
  <c r="R148" i="14"/>
  <c r="R136" i="14"/>
  <c r="R170" i="14"/>
  <c r="R283" i="14" s="1"/>
  <c r="R126" i="14"/>
  <c r="R152" i="14"/>
  <c r="R117" i="14"/>
  <c r="R161" i="14"/>
  <c r="R130" i="14"/>
  <c r="R150" i="14"/>
  <c r="R153" i="14"/>
  <c r="R166" i="14"/>
  <c r="R179" i="14"/>
  <c r="R292" i="14" s="1"/>
  <c r="R119" i="14"/>
  <c r="R125" i="14"/>
  <c r="R149" i="14"/>
  <c r="R175" i="14"/>
  <c r="R288" i="14" s="1"/>
  <c r="R134" i="14"/>
  <c r="R171" i="14"/>
  <c r="R284" i="14" s="1"/>
  <c r="R154" i="14"/>
  <c r="R129" i="14"/>
  <c r="R124" i="14"/>
  <c r="R138" i="14"/>
  <c r="R155" i="14"/>
  <c r="R162" i="14"/>
  <c r="R133" i="14"/>
  <c r="R167" i="14"/>
  <c r="R128" i="14"/>
  <c r="R176" i="14"/>
  <c r="R289" i="14" s="1"/>
  <c r="R116" i="14"/>
  <c r="R118" i="14"/>
  <c r="R120" i="14"/>
  <c r="R110" i="14"/>
  <c r="R145" i="14"/>
  <c r="R141" i="14"/>
  <c r="R172" i="14"/>
  <c r="R285" i="14" s="1"/>
  <c r="R163" i="14"/>
  <c r="R132" i="14"/>
  <c r="R178" i="14"/>
  <c r="R291" i="14" s="1"/>
  <c r="R157" i="14"/>
  <c r="R169" i="14"/>
  <c r="R173" i="14"/>
  <c r="R286" i="14" s="1"/>
  <c r="R160" i="14"/>
  <c r="R137" i="14"/>
  <c r="R158" i="14"/>
  <c r="R146" i="14"/>
  <c r="R168" i="14"/>
  <c r="R142" i="14"/>
  <c r="R159" i="14"/>
  <c r="R177" i="14"/>
  <c r="R290" i="14" s="1"/>
  <c r="R165" i="14"/>
  <c r="R140" i="14"/>
  <c r="R174" i="14"/>
  <c r="R287" i="14" s="1"/>
  <c r="R164" i="14"/>
  <c r="R93" i="14"/>
  <c r="R86" i="14"/>
  <c r="R89" i="14"/>
  <c r="R98" i="14"/>
  <c r="R100" i="14"/>
  <c r="R85" i="14"/>
  <c r="R82" i="14"/>
  <c r="R105" i="14"/>
  <c r="R103" i="14"/>
  <c r="U58" i="14"/>
  <c r="V57" i="14" s="1"/>
  <c r="U56" i="14"/>
  <c r="W36" i="14"/>
  <c r="V40" i="14"/>
  <c r="V49" i="14" s="1"/>
  <c r="Q37" i="14"/>
  <c r="J25" i="15"/>
  <c r="C18" i="16" s="1"/>
  <c r="S1" i="15"/>
  <c r="U5" i="15"/>
  <c r="BE19" i="8"/>
  <c r="BD19" i="8"/>
  <c r="BC19" i="8"/>
  <c r="BB19" i="8"/>
  <c r="BA19" i="8"/>
  <c r="AZ19" i="8"/>
  <c r="AY19" i="8"/>
  <c r="AX19" i="8"/>
  <c r="AW19" i="8"/>
  <c r="AV19" i="8"/>
  <c r="AU19" i="8"/>
  <c r="AT19" i="8"/>
  <c r="AS19" i="8"/>
  <c r="AR19" i="8"/>
  <c r="AQ19" i="8"/>
  <c r="AP19" i="8"/>
  <c r="AO19" i="8"/>
  <c r="AN19" i="8"/>
  <c r="AM19" i="8"/>
  <c r="AL19" i="8"/>
  <c r="AK19" i="8"/>
  <c r="AJ19" i="8"/>
  <c r="AI19" i="8"/>
  <c r="AH19" i="8"/>
  <c r="AG19" i="8"/>
  <c r="AF19" i="8"/>
  <c r="AE19" i="8"/>
  <c r="AD19" i="8"/>
  <c r="AC19" i="8"/>
  <c r="AB19" i="8"/>
  <c r="AA19" i="8"/>
  <c r="Z19" i="8"/>
  <c r="Y19" i="8"/>
  <c r="X19" i="8"/>
  <c r="W19" i="8"/>
  <c r="V19" i="8"/>
  <c r="U19" i="8"/>
  <c r="T19" i="8"/>
  <c r="S19" i="8"/>
  <c r="R19" i="8"/>
  <c r="Q19" i="8"/>
  <c r="P19" i="8"/>
  <c r="O19" i="8"/>
  <c r="N19" i="8"/>
  <c r="M19" i="8"/>
  <c r="L19" i="8"/>
  <c r="K19" i="8"/>
  <c r="J19" i="8"/>
  <c r="I19" i="8"/>
  <c r="H19" i="8"/>
  <c r="G19" i="8"/>
  <c r="F19" i="8"/>
  <c r="F39" i="8" s="1"/>
  <c r="F43" i="8" l="1"/>
  <c r="F42" i="8"/>
  <c r="V43" i="14"/>
  <c r="V41" i="14"/>
  <c r="L60" i="14"/>
  <c r="U42" i="14"/>
  <c r="T46" i="14"/>
  <c r="S103" i="14"/>
  <c r="S94" i="14"/>
  <c r="S107" i="14"/>
  <c r="S81" i="14"/>
  <c r="S95" i="14"/>
  <c r="S104" i="14"/>
  <c r="S85" i="14"/>
  <c r="S100" i="14"/>
  <c r="S88" i="14"/>
  <c r="S84" i="14"/>
  <c r="S92" i="14"/>
  <c r="S102" i="14"/>
  <c r="S97" i="14"/>
  <c r="S82" i="14"/>
  <c r="T74" i="14"/>
  <c r="S80" i="14"/>
  <c r="S111" i="14"/>
  <c r="S122" i="14"/>
  <c r="S133" i="14"/>
  <c r="S115" i="14"/>
  <c r="S108" i="14"/>
  <c r="S119" i="14"/>
  <c r="S121" i="14"/>
  <c r="S151" i="14"/>
  <c r="S147" i="14"/>
  <c r="S143" i="14"/>
  <c r="S109" i="14"/>
  <c r="S113" i="14"/>
  <c r="S139" i="14"/>
  <c r="S135" i="14"/>
  <c r="S131" i="14"/>
  <c r="S127" i="14"/>
  <c r="S123" i="14"/>
  <c r="S112" i="14"/>
  <c r="S144" i="14"/>
  <c r="S140" i="14"/>
  <c r="S170" i="14"/>
  <c r="S126" i="14"/>
  <c r="S152" i="14"/>
  <c r="S117" i="14"/>
  <c r="S161" i="14"/>
  <c r="S130" i="14"/>
  <c r="S150" i="14"/>
  <c r="S153" i="14"/>
  <c r="S166" i="14"/>
  <c r="S179" i="14"/>
  <c r="S125" i="14"/>
  <c r="S149" i="14"/>
  <c r="S175" i="14"/>
  <c r="S134" i="14"/>
  <c r="S171" i="14"/>
  <c r="S154" i="14"/>
  <c r="S129" i="14"/>
  <c r="S124" i="14"/>
  <c r="S148" i="14"/>
  <c r="S138" i="14"/>
  <c r="S155" i="14"/>
  <c r="S162" i="14"/>
  <c r="S156" i="14"/>
  <c r="S167" i="14"/>
  <c r="S128" i="14"/>
  <c r="S116" i="14"/>
  <c r="S114" i="14"/>
  <c r="S118" i="14"/>
  <c r="S120" i="14"/>
  <c r="S110" i="14"/>
  <c r="S158" i="14"/>
  <c r="S173" i="14"/>
  <c r="S145" i="14"/>
  <c r="S141" i="14"/>
  <c r="S172" i="14"/>
  <c r="S163" i="14"/>
  <c r="S132" i="14"/>
  <c r="S169" i="14"/>
  <c r="S157" i="14"/>
  <c r="S136" i="14"/>
  <c r="S160" i="14"/>
  <c r="S137" i="14"/>
  <c r="S178" i="14"/>
  <c r="S146" i="14"/>
  <c r="S168" i="14"/>
  <c r="S164" i="14"/>
  <c r="S142" i="14"/>
  <c r="S159" i="14"/>
  <c r="S177" i="14"/>
  <c r="S165" i="14"/>
  <c r="S174" i="14"/>
  <c r="S176" i="14"/>
  <c r="S83" i="14"/>
  <c r="S106" i="14"/>
  <c r="S87" i="14"/>
  <c r="S101" i="14"/>
  <c r="S90" i="14"/>
  <c r="S96" i="14"/>
  <c r="S98" i="14"/>
  <c r="S86" i="14"/>
  <c r="S91" i="14"/>
  <c r="S89" i="14"/>
  <c r="S93" i="14"/>
  <c r="S99" i="14"/>
  <c r="S105" i="14"/>
  <c r="V58" i="14"/>
  <c r="W57" i="14" s="1"/>
  <c r="V56" i="14"/>
  <c r="Q38" i="14"/>
  <c r="X36" i="14"/>
  <c r="W40" i="14"/>
  <c r="W49" i="14" s="1"/>
  <c r="T1" i="15"/>
  <c r="V4" i="15"/>
  <c r="E19" i="8"/>
  <c r="W41" i="14" l="1"/>
  <c r="W43" i="14"/>
  <c r="V42" i="14"/>
  <c r="U46" i="14"/>
  <c r="V45" i="14"/>
  <c r="L61" i="14"/>
  <c r="V47" i="14"/>
  <c r="L63" i="14"/>
  <c r="T87" i="14"/>
  <c r="T106" i="14"/>
  <c r="T86" i="14"/>
  <c r="T97" i="14"/>
  <c r="T93" i="14"/>
  <c r="T89" i="14"/>
  <c r="T100" i="14"/>
  <c r="T104" i="14"/>
  <c r="U74" i="14"/>
  <c r="T121" i="14"/>
  <c r="T114" i="14"/>
  <c r="T111" i="14"/>
  <c r="T122" i="14"/>
  <c r="T162" i="14"/>
  <c r="T115" i="14"/>
  <c r="T108" i="14"/>
  <c r="T155" i="14"/>
  <c r="T175" i="14"/>
  <c r="T147" i="14"/>
  <c r="T143" i="14"/>
  <c r="T109" i="14"/>
  <c r="T113" i="14"/>
  <c r="T139" i="14"/>
  <c r="T135" i="14"/>
  <c r="T131" i="14"/>
  <c r="T127" i="14"/>
  <c r="T123" i="14"/>
  <c r="T112" i="14"/>
  <c r="T148" i="14"/>
  <c r="T165" i="14"/>
  <c r="T174" i="14"/>
  <c r="T170" i="14"/>
  <c r="T126" i="14"/>
  <c r="T151" i="14"/>
  <c r="T152" i="14"/>
  <c r="T117" i="14"/>
  <c r="T161" i="14"/>
  <c r="T130" i="14"/>
  <c r="T119" i="14"/>
  <c r="T150" i="14"/>
  <c r="T153" i="14"/>
  <c r="T166" i="14"/>
  <c r="T179" i="14"/>
  <c r="T125" i="14"/>
  <c r="T149" i="14"/>
  <c r="T134" i="14"/>
  <c r="T171" i="14"/>
  <c r="T154" i="14"/>
  <c r="T129" i="14"/>
  <c r="T124" i="14"/>
  <c r="T138" i="14"/>
  <c r="T133" i="14"/>
  <c r="T156" i="14"/>
  <c r="T167" i="14"/>
  <c r="T128" i="14"/>
  <c r="T116" i="14"/>
  <c r="T118" i="14"/>
  <c r="T120" i="14"/>
  <c r="T110" i="14"/>
  <c r="T136" i="14"/>
  <c r="T173" i="14"/>
  <c r="T158" i="14"/>
  <c r="T145" i="14"/>
  <c r="T141" i="14"/>
  <c r="T172" i="14"/>
  <c r="T163" i="14"/>
  <c r="T132" i="14"/>
  <c r="T157" i="14"/>
  <c r="T169" i="14"/>
  <c r="T160" i="14"/>
  <c r="T137" i="14"/>
  <c r="T178" i="14"/>
  <c r="T146" i="14"/>
  <c r="T168" i="14"/>
  <c r="T142" i="14"/>
  <c r="T144" i="14"/>
  <c r="T159" i="14"/>
  <c r="T177" i="14"/>
  <c r="T140" i="14"/>
  <c r="T164" i="14"/>
  <c r="T176" i="14"/>
  <c r="T95" i="14"/>
  <c r="T83" i="14"/>
  <c r="T84" i="14"/>
  <c r="T80" i="14"/>
  <c r="T81" i="14"/>
  <c r="T82" i="14"/>
  <c r="T99" i="14"/>
  <c r="T107" i="14"/>
  <c r="T90" i="14"/>
  <c r="T105" i="14"/>
  <c r="T94" i="14"/>
  <c r="T102" i="14"/>
  <c r="T101" i="14"/>
  <c r="T91" i="14"/>
  <c r="T103" i="14"/>
  <c r="T92" i="14"/>
  <c r="T96" i="14"/>
  <c r="T88" i="14"/>
  <c r="T85" i="14"/>
  <c r="T98" i="14"/>
  <c r="W58" i="14"/>
  <c r="X57" i="14" s="1"/>
  <c r="W56" i="14"/>
  <c r="Y36" i="14"/>
  <c r="X40" i="14"/>
  <c r="X49" i="14" s="1"/>
  <c r="R37" i="14"/>
  <c r="G6" i="8"/>
  <c r="U1" i="15"/>
  <c r="G8" i="8"/>
  <c r="G36" i="8" s="1"/>
  <c r="G5" i="8"/>
  <c r="G7" i="8"/>
  <c r="G35" i="8" s="1"/>
  <c r="V5" i="15"/>
  <c r="G23" i="8"/>
  <c r="G24" i="8" s="1"/>
  <c r="G34" i="8" l="1"/>
  <c r="X43" i="14"/>
  <c r="X47" i="14" s="1"/>
  <c r="X39" i="14" s="1"/>
  <c r="X41" i="14"/>
  <c r="X45" i="14" s="1"/>
  <c r="W42" i="14"/>
  <c r="V46" i="14"/>
  <c r="L62" i="14"/>
  <c r="W47" i="14"/>
  <c r="W39" i="14" s="1"/>
  <c r="W45" i="14"/>
  <c r="U100" i="14"/>
  <c r="U85" i="14"/>
  <c r="U89" i="14"/>
  <c r="U82" i="14"/>
  <c r="U103" i="14"/>
  <c r="U93" i="14"/>
  <c r="U107" i="14"/>
  <c r="U98" i="14"/>
  <c r="U96" i="14"/>
  <c r="U92" i="14"/>
  <c r="U84" i="14"/>
  <c r="U97" i="14"/>
  <c r="U90" i="14"/>
  <c r="U88" i="14"/>
  <c r="U80" i="14"/>
  <c r="V74" i="14"/>
  <c r="U110" i="14"/>
  <c r="U121" i="14"/>
  <c r="U114" i="14"/>
  <c r="U111" i="14"/>
  <c r="U151" i="14"/>
  <c r="U126" i="14"/>
  <c r="U159" i="14"/>
  <c r="U155" i="14"/>
  <c r="U122" i="14"/>
  <c r="U147" i="14"/>
  <c r="U143" i="14"/>
  <c r="U109" i="14"/>
  <c r="U113" i="14"/>
  <c r="U139" i="14"/>
  <c r="U135" i="14"/>
  <c r="U131" i="14"/>
  <c r="U127" i="14"/>
  <c r="U123" i="14"/>
  <c r="U112" i="14"/>
  <c r="U152" i="14"/>
  <c r="U108" i="14"/>
  <c r="U144" i="14"/>
  <c r="U178" i="14"/>
  <c r="U165" i="14"/>
  <c r="U174" i="14"/>
  <c r="U170" i="14"/>
  <c r="U117" i="14"/>
  <c r="U161" i="14"/>
  <c r="U130" i="14"/>
  <c r="U119" i="14"/>
  <c r="U150" i="14"/>
  <c r="U153" i="14"/>
  <c r="U166" i="14"/>
  <c r="U179" i="14"/>
  <c r="U125" i="14"/>
  <c r="U175" i="14"/>
  <c r="U149" i="14"/>
  <c r="U171" i="14"/>
  <c r="U134" i="14"/>
  <c r="U154" i="14"/>
  <c r="U129" i="14"/>
  <c r="U148" i="14"/>
  <c r="U124" i="14"/>
  <c r="U162" i="14"/>
  <c r="U138" i="14"/>
  <c r="U133" i="14"/>
  <c r="U156" i="14"/>
  <c r="U128" i="14"/>
  <c r="U116" i="14"/>
  <c r="U118" i="14"/>
  <c r="U120" i="14"/>
  <c r="U164" i="14"/>
  <c r="U136" i="14"/>
  <c r="U173" i="14"/>
  <c r="U158" i="14"/>
  <c r="U145" i="14"/>
  <c r="U141" i="14"/>
  <c r="U172" i="14"/>
  <c r="U163" i="14"/>
  <c r="U132" i="14"/>
  <c r="U176" i="14"/>
  <c r="U157" i="14"/>
  <c r="U169" i="14"/>
  <c r="U160" i="14"/>
  <c r="U137" i="14"/>
  <c r="U115" i="14"/>
  <c r="U146" i="14"/>
  <c r="U168" i="14"/>
  <c r="U142" i="14"/>
  <c r="U177" i="14"/>
  <c r="U140" i="14"/>
  <c r="U167" i="14"/>
  <c r="U99" i="14"/>
  <c r="U95" i="14"/>
  <c r="U83" i="14"/>
  <c r="U81" i="14"/>
  <c r="U104" i="14"/>
  <c r="U86" i="14"/>
  <c r="U102" i="14"/>
  <c r="U106" i="14"/>
  <c r="U91" i="14"/>
  <c r="U101" i="14"/>
  <c r="U94" i="14"/>
  <c r="U105" i="14"/>
  <c r="U87" i="14"/>
  <c r="X58" i="14"/>
  <c r="Y57" i="14" s="1"/>
  <c r="X56" i="14"/>
  <c r="Z36" i="14"/>
  <c r="Y40" i="14"/>
  <c r="Y49" i="14" s="1"/>
  <c r="R38" i="14"/>
  <c r="V1" i="15"/>
  <c r="G4" i="8"/>
  <c r="L6" i="15"/>
  <c r="W4" i="15"/>
  <c r="H23" i="8"/>
  <c r="H24" i="8" s="1"/>
  <c r="I23" i="8" l="1"/>
  <c r="I24" i="8" s="1"/>
  <c r="G33" i="8"/>
  <c r="G39" i="8" s="1"/>
  <c r="X42" i="14"/>
  <c r="W46" i="14"/>
  <c r="Y43" i="14"/>
  <c r="Y41" i="14"/>
  <c r="V93" i="14"/>
  <c r="V97" i="14"/>
  <c r="V106" i="14"/>
  <c r="V103" i="14"/>
  <c r="V98" i="14"/>
  <c r="V105" i="14"/>
  <c r="V84" i="14"/>
  <c r="V91" i="14"/>
  <c r="V82" i="14"/>
  <c r="V96" i="14"/>
  <c r="V94" i="14"/>
  <c r="V101" i="14"/>
  <c r="V89" i="14"/>
  <c r="V107" i="14"/>
  <c r="V83" i="14"/>
  <c r="V87" i="14"/>
  <c r="V95" i="14"/>
  <c r="V80" i="14"/>
  <c r="V85" i="14"/>
  <c r="V102" i="14"/>
  <c r="V99" i="14"/>
  <c r="V88" i="14"/>
  <c r="V90" i="14"/>
  <c r="V86" i="14"/>
  <c r="V104" i="14"/>
  <c r="V81" i="14"/>
  <c r="W74" i="14"/>
  <c r="V110" i="14"/>
  <c r="V114" i="14"/>
  <c r="V140" i="14"/>
  <c r="V111" i="14"/>
  <c r="V120" i="14"/>
  <c r="V130" i="14"/>
  <c r="V126" i="14"/>
  <c r="V163" i="14"/>
  <c r="V121" i="14"/>
  <c r="V122" i="14"/>
  <c r="V147" i="14"/>
  <c r="V143" i="14"/>
  <c r="V109" i="14"/>
  <c r="V113" i="14"/>
  <c r="V139" i="14"/>
  <c r="V135" i="14"/>
  <c r="V131" i="14"/>
  <c r="V127" i="14"/>
  <c r="V123" i="14"/>
  <c r="V112" i="14"/>
  <c r="V156" i="14"/>
  <c r="V108" i="14"/>
  <c r="V144" i="14"/>
  <c r="V178" i="14"/>
  <c r="V165" i="14"/>
  <c r="V174" i="14"/>
  <c r="V170" i="14"/>
  <c r="V151" i="14"/>
  <c r="V152" i="14"/>
  <c r="V117" i="14"/>
  <c r="V161" i="14"/>
  <c r="V119" i="14"/>
  <c r="V150" i="14"/>
  <c r="V153" i="14"/>
  <c r="V166" i="14"/>
  <c r="V179" i="14"/>
  <c r="V125" i="14"/>
  <c r="V175" i="14"/>
  <c r="V149" i="14"/>
  <c r="V134" i="14"/>
  <c r="V171" i="14"/>
  <c r="V154" i="14"/>
  <c r="V129" i="14"/>
  <c r="V148" i="14"/>
  <c r="V155" i="14"/>
  <c r="V124" i="14"/>
  <c r="V162" i="14"/>
  <c r="V138" i="14"/>
  <c r="V128" i="14"/>
  <c r="V116" i="14"/>
  <c r="V118" i="14"/>
  <c r="V164" i="14"/>
  <c r="V173" i="14"/>
  <c r="V136" i="14"/>
  <c r="V158" i="14"/>
  <c r="V145" i="14"/>
  <c r="V141" i="14"/>
  <c r="V172" i="14"/>
  <c r="V132" i="14"/>
  <c r="V169" i="14"/>
  <c r="V157" i="14"/>
  <c r="V160" i="14"/>
  <c r="V137" i="14"/>
  <c r="V115" i="14"/>
  <c r="V146" i="14"/>
  <c r="V168" i="14"/>
  <c r="V142" i="14"/>
  <c r="V176" i="14"/>
  <c r="V133" i="14"/>
  <c r="V159" i="14"/>
  <c r="V177" i="14"/>
  <c r="V167" i="14"/>
  <c r="V92" i="14"/>
  <c r="V100" i="14"/>
  <c r="Y58" i="14"/>
  <c r="Z57" i="14" s="1"/>
  <c r="Y56" i="14"/>
  <c r="S37" i="14"/>
  <c r="AA36" i="14"/>
  <c r="Z40" i="14"/>
  <c r="Z49" i="14" s="1"/>
  <c r="W1" i="15"/>
  <c r="W5" i="15"/>
  <c r="G42" i="8" l="1"/>
  <c r="G43" i="8"/>
  <c r="J23" i="8"/>
  <c r="J24" i="8" s="1"/>
  <c r="Z41" i="14"/>
  <c r="Z45" i="14" s="1"/>
  <c r="Z43" i="14"/>
  <c r="Z47" i="14" s="1"/>
  <c r="Z39" i="14" s="1"/>
  <c r="Y45" i="14"/>
  <c r="Y47" i="14"/>
  <c r="Y39" i="14" s="1"/>
  <c r="Y42" i="14"/>
  <c r="X46" i="14"/>
  <c r="W84" i="14"/>
  <c r="W85" i="14"/>
  <c r="W86" i="14"/>
  <c r="W99" i="14"/>
  <c r="W94" i="14"/>
  <c r="W101" i="14"/>
  <c r="W81" i="14"/>
  <c r="W95" i="14"/>
  <c r="W105" i="14"/>
  <c r="W102" i="14"/>
  <c r="W96" i="14"/>
  <c r="W92" i="14"/>
  <c r="W91" i="14"/>
  <c r="W88" i="14"/>
  <c r="W87" i="14"/>
  <c r="W98" i="14"/>
  <c r="X74" i="14"/>
  <c r="W110" i="14"/>
  <c r="W121" i="14"/>
  <c r="W118" i="14"/>
  <c r="W129" i="14"/>
  <c r="W169" i="14"/>
  <c r="W111" i="14"/>
  <c r="W115" i="14"/>
  <c r="W134" i="14"/>
  <c r="W120" i="14"/>
  <c r="W130" i="14"/>
  <c r="W167" i="14"/>
  <c r="W126" i="14"/>
  <c r="W122" i="14"/>
  <c r="W147" i="14"/>
  <c r="W143" i="14"/>
  <c r="W109" i="14"/>
  <c r="W113" i="14"/>
  <c r="W139" i="14"/>
  <c r="W135" i="14"/>
  <c r="W131" i="14"/>
  <c r="W127" i="14"/>
  <c r="W123" i="14"/>
  <c r="W112" i="14"/>
  <c r="W108" i="14"/>
  <c r="W160" i="14"/>
  <c r="W144" i="14"/>
  <c r="W178" i="14"/>
  <c r="W165" i="14"/>
  <c r="W174" i="14"/>
  <c r="W170" i="14"/>
  <c r="W151" i="14"/>
  <c r="W152" i="14"/>
  <c r="W117" i="14"/>
  <c r="W161" i="14"/>
  <c r="W119" i="14"/>
  <c r="W150" i="14"/>
  <c r="W153" i="14"/>
  <c r="W166" i="14"/>
  <c r="W179" i="14"/>
  <c r="W125" i="14"/>
  <c r="W175" i="14"/>
  <c r="W149" i="14"/>
  <c r="W171" i="14"/>
  <c r="W154" i="14"/>
  <c r="W148" i="14"/>
  <c r="W155" i="14"/>
  <c r="W124" i="14"/>
  <c r="W162" i="14"/>
  <c r="W128" i="14"/>
  <c r="W114" i="14"/>
  <c r="W116" i="14"/>
  <c r="W176" i="14"/>
  <c r="W164" i="14"/>
  <c r="W136" i="14"/>
  <c r="W173" i="14"/>
  <c r="W158" i="14"/>
  <c r="W145" i="14"/>
  <c r="W141" i="14"/>
  <c r="W163" i="14"/>
  <c r="W172" i="14"/>
  <c r="W132" i="14"/>
  <c r="W157" i="14"/>
  <c r="W137" i="14"/>
  <c r="W146" i="14"/>
  <c r="W168" i="14"/>
  <c r="W142" i="14"/>
  <c r="W156" i="14"/>
  <c r="W133" i="14"/>
  <c r="W159" i="14"/>
  <c r="W140" i="14"/>
  <c r="W177" i="14"/>
  <c r="W138" i="14"/>
  <c r="W100" i="14"/>
  <c r="W83" i="14"/>
  <c r="W103" i="14"/>
  <c r="W104" i="14"/>
  <c r="W107" i="14"/>
  <c r="W106" i="14"/>
  <c r="W90" i="14"/>
  <c r="W82" i="14"/>
  <c r="W80" i="14"/>
  <c r="W97" i="14"/>
  <c r="W89" i="14"/>
  <c r="W93" i="14"/>
  <c r="Z58" i="14"/>
  <c r="AA57" i="14" s="1"/>
  <c r="Z56" i="14"/>
  <c r="AB36" i="14"/>
  <c r="AA40" i="14"/>
  <c r="AA49" i="14" s="1"/>
  <c r="S38" i="14"/>
  <c r="X1" i="15"/>
  <c r="R9" i="8"/>
  <c r="R37" i="8" s="1"/>
  <c r="X4" i="15"/>
  <c r="K23" i="8" l="1"/>
  <c r="K24" i="8" s="1"/>
  <c r="AA41" i="14"/>
  <c r="AA43" i="14"/>
  <c r="Z42" i="14"/>
  <c r="Y46" i="14"/>
  <c r="X88" i="14"/>
  <c r="X100" i="14"/>
  <c r="X93" i="14"/>
  <c r="X89" i="14"/>
  <c r="X101" i="14"/>
  <c r="X102" i="14"/>
  <c r="X92" i="14"/>
  <c r="X91" i="14"/>
  <c r="X81" i="14"/>
  <c r="X94" i="14"/>
  <c r="X96" i="14"/>
  <c r="X99" i="14"/>
  <c r="X97" i="14"/>
  <c r="X105" i="14"/>
  <c r="Y74" i="14"/>
  <c r="X117" i="14"/>
  <c r="X110" i="14"/>
  <c r="X118" i="14"/>
  <c r="X158" i="14"/>
  <c r="X111" i="14"/>
  <c r="X114" i="14"/>
  <c r="X138" i="14"/>
  <c r="X134" i="14"/>
  <c r="X171" i="14"/>
  <c r="X120" i="14"/>
  <c r="X130" i="14"/>
  <c r="X121" i="14"/>
  <c r="X126" i="14"/>
  <c r="X122" i="14"/>
  <c r="X151" i="14"/>
  <c r="X147" i="14"/>
  <c r="X143" i="14"/>
  <c r="X109" i="14"/>
  <c r="X113" i="14"/>
  <c r="X139" i="14"/>
  <c r="X135" i="14"/>
  <c r="X131" i="14"/>
  <c r="X127" i="14"/>
  <c r="X112" i="14"/>
  <c r="X108" i="14"/>
  <c r="X115" i="14"/>
  <c r="X145" i="14"/>
  <c r="X160" i="14"/>
  <c r="X144" i="14"/>
  <c r="X178" i="14"/>
  <c r="X165" i="14"/>
  <c r="X174" i="14"/>
  <c r="X170" i="14"/>
  <c r="X152" i="14"/>
  <c r="X161" i="14"/>
  <c r="X119" i="14"/>
  <c r="X150" i="14"/>
  <c r="X153" i="14"/>
  <c r="X166" i="14"/>
  <c r="X179" i="14"/>
  <c r="X125" i="14"/>
  <c r="X175" i="14"/>
  <c r="X149" i="14"/>
  <c r="X129" i="14"/>
  <c r="X154" i="14"/>
  <c r="X148" i="14"/>
  <c r="X155" i="14"/>
  <c r="X124" i="14"/>
  <c r="X128" i="14"/>
  <c r="X123" i="14"/>
  <c r="X116" i="14"/>
  <c r="X176" i="14"/>
  <c r="X164" i="14"/>
  <c r="X136" i="14"/>
  <c r="X173" i="14"/>
  <c r="X141" i="14"/>
  <c r="X163" i="14"/>
  <c r="X172" i="14"/>
  <c r="X132" i="14"/>
  <c r="X157" i="14"/>
  <c r="X169" i="14"/>
  <c r="X137" i="14"/>
  <c r="X162" i="14"/>
  <c r="X146" i="14"/>
  <c r="X168" i="14"/>
  <c r="X142" i="14"/>
  <c r="X156" i="14"/>
  <c r="X133" i="14"/>
  <c r="X159" i="14"/>
  <c r="X140" i="14"/>
  <c r="X177" i="14"/>
  <c r="X167" i="14"/>
  <c r="X86" i="14"/>
  <c r="X95" i="14"/>
  <c r="X107" i="14"/>
  <c r="X103" i="14"/>
  <c r="X98" i="14"/>
  <c r="X82" i="14"/>
  <c r="X85" i="14"/>
  <c r="X80" i="14"/>
  <c r="X90" i="14"/>
  <c r="X83" i="14"/>
  <c r="X87" i="14"/>
  <c r="X106" i="14"/>
  <c r="X104" i="14"/>
  <c r="X84" i="14"/>
  <c r="AA58" i="14"/>
  <c r="AB57" i="14" s="1"/>
  <c r="AA56" i="14"/>
  <c r="AC36" i="14"/>
  <c r="AB40" i="14"/>
  <c r="AB49" i="14" s="1"/>
  <c r="T37" i="14"/>
  <c r="S9" i="8"/>
  <c r="S37" i="8" s="1"/>
  <c r="Y1" i="15"/>
  <c r="X5" i="15"/>
  <c r="L23" i="8" l="1"/>
  <c r="L24" i="8" s="1"/>
  <c r="AB43" i="14"/>
  <c r="AB47" i="14" s="1"/>
  <c r="AB39" i="14" s="1"/>
  <c r="AB41" i="14"/>
  <c r="AB45" i="14" s="1"/>
  <c r="AA42" i="14"/>
  <c r="Z46" i="14"/>
  <c r="AA47" i="14"/>
  <c r="AA39" i="14" s="1"/>
  <c r="AA45" i="14"/>
  <c r="Y94" i="14"/>
  <c r="Y104" i="14"/>
  <c r="Y87" i="14"/>
  <c r="Y83" i="14"/>
  <c r="Y85" i="14"/>
  <c r="Y97" i="14"/>
  <c r="Y84" i="14"/>
  <c r="Y92" i="14"/>
  <c r="Y80" i="14"/>
  <c r="Y99" i="14"/>
  <c r="Y91" i="14"/>
  <c r="Y102" i="14"/>
  <c r="Y96" i="14"/>
  <c r="Y101" i="14"/>
  <c r="Z74" i="14"/>
  <c r="Y117" i="14"/>
  <c r="Y110" i="14"/>
  <c r="Y147" i="14"/>
  <c r="Y111" i="14"/>
  <c r="Y142" i="14"/>
  <c r="Y114" i="14"/>
  <c r="Y138" i="14"/>
  <c r="Y134" i="14"/>
  <c r="Y120" i="14"/>
  <c r="Y130" i="14"/>
  <c r="Y121" i="14"/>
  <c r="Y126" i="14"/>
  <c r="Y122" i="14"/>
  <c r="Y143" i="14"/>
  <c r="Y109" i="14"/>
  <c r="Y113" i="14"/>
  <c r="Y139" i="14"/>
  <c r="Y135" i="14"/>
  <c r="Y131" i="14"/>
  <c r="Y123" i="14"/>
  <c r="Y112" i="14"/>
  <c r="Y115" i="14"/>
  <c r="Y145" i="14"/>
  <c r="Y160" i="14"/>
  <c r="Y144" i="14"/>
  <c r="Y178" i="14"/>
  <c r="Y165" i="14"/>
  <c r="Y174" i="14"/>
  <c r="Y170" i="14"/>
  <c r="Y151" i="14"/>
  <c r="Y152" i="14"/>
  <c r="Y161" i="14"/>
  <c r="Y119" i="14"/>
  <c r="Y150" i="14"/>
  <c r="Y153" i="14"/>
  <c r="Y166" i="14"/>
  <c r="Y179" i="14"/>
  <c r="Y125" i="14"/>
  <c r="Y175" i="14"/>
  <c r="Y149" i="14"/>
  <c r="Y171" i="14"/>
  <c r="Y129" i="14"/>
  <c r="Y154" i="14"/>
  <c r="Y124" i="14"/>
  <c r="Y128" i="14"/>
  <c r="Y116" i="14"/>
  <c r="Y127" i="14"/>
  <c r="Y118" i="14"/>
  <c r="Y108" i="14"/>
  <c r="Y169" i="14"/>
  <c r="Y176" i="14"/>
  <c r="Y164" i="14"/>
  <c r="Y136" i="14"/>
  <c r="Y158" i="14"/>
  <c r="Y173" i="14"/>
  <c r="Y155" i="14"/>
  <c r="Y141" i="14"/>
  <c r="Y148" i="14"/>
  <c r="Y163" i="14"/>
  <c r="Y172" i="14"/>
  <c r="Y132" i="14"/>
  <c r="Y157" i="14"/>
  <c r="Y137" i="14"/>
  <c r="Y162" i="14"/>
  <c r="Y146" i="14"/>
  <c r="Y168" i="14"/>
  <c r="Y156" i="14"/>
  <c r="Y133" i="14"/>
  <c r="Y159" i="14"/>
  <c r="Y140" i="14"/>
  <c r="Y177" i="14"/>
  <c r="Y167" i="14"/>
  <c r="Y82" i="14"/>
  <c r="Y89" i="14"/>
  <c r="Y106" i="14"/>
  <c r="Y98" i="14"/>
  <c r="Y107" i="14"/>
  <c r="Y105" i="14"/>
  <c r="Y93" i="14"/>
  <c r="Y103" i="14"/>
  <c r="Y90" i="14"/>
  <c r="Y95" i="14"/>
  <c r="Y100" i="14"/>
  <c r="Y81" i="14"/>
  <c r="Y86" i="14"/>
  <c r="Y88" i="14"/>
  <c r="AB58" i="14"/>
  <c r="AC57" i="14" s="1"/>
  <c r="AB56" i="14"/>
  <c r="AD36" i="14"/>
  <c r="AC40" i="14"/>
  <c r="AC49" i="14" s="1"/>
  <c r="T38" i="14"/>
  <c r="T9" i="8"/>
  <c r="T37" i="8" s="1"/>
  <c r="Z1" i="15"/>
  <c r="Y4" i="15"/>
  <c r="M23" i="8" l="1"/>
  <c r="M24" i="8" s="1"/>
  <c r="AC43" i="14"/>
  <c r="AC41" i="14"/>
  <c r="AB42" i="14"/>
  <c r="AA46" i="14"/>
  <c r="Z90" i="14"/>
  <c r="Z84" i="14"/>
  <c r="Z96" i="14"/>
  <c r="Z80" i="14"/>
  <c r="Z97" i="14"/>
  <c r="Z95" i="14"/>
  <c r="Z102" i="14"/>
  <c r="Z99" i="14"/>
  <c r="Z85" i="14"/>
  <c r="Z83" i="14"/>
  <c r="Z101" i="14"/>
  <c r="Z88" i="14"/>
  <c r="Z87" i="14"/>
  <c r="Z92" i="14"/>
  <c r="Z98" i="14"/>
  <c r="Z104" i="14"/>
  <c r="Z103" i="14"/>
  <c r="Z89" i="14"/>
  <c r="Z106" i="14"/>
  <c r="AA74" i="14"/>
  <c r="Z110" i="14"/>
  <c r="Z136" i="14"/>
  <c r="Z118" i="14"/>
  <c r="Z122" i="14"/>
  <c r="Z117" i="14"/>
  <c r="Z119" i="14"/>
  <c r="Z146" i="14"/>
  <c r="Z142" i="14"/>
  <c r="Z114" i="14"/>
  <c r="Z138" i="14"/>
  <c r="Z134" i="14"/>
  <c r="Z120" i="14"/>
  <c r="Z130" i="14"/>
  <c r="Z121" i="14"/>
  <c r="Z126" i="14"/>
  <c r="Z151" i="14"/>
  <c r="Z147" i="14"/>
  <c r="Z143" i="14"/>
  <c r="Z109" i="14"/>
  <c r="Z113" i="14"/>
  <c r="Z139" i="14"/>
  <c r="Z135" i="14"/>
  <c r="Z127" i="14"/>
  <c r="Z112" i="14"/>
  <c r="Z115" i="14"/>
  <c r="Z145" i="14"/>
  <c r="Z111" i="14"/>
  <c r="Z160" i="14"/>
  <c r="Z144" i="14"/>
  <c r="Z178" i="14"/>
  <c r="Z165" i="14"/>
  <c r="Z174" i="14"/>
  <c r="Z170" i="14"/>
  <c r="Z152" i="14"/>
  <c r="Z161" i="14"/>
  <c r="Z150" i="14"/>
  <c r="Z153" i="14"/>
  <c r="Z166" i="14"/>
  <c r="Z179" i="14"/>
  <c r="Z125" i="14"/>
  <c r="Z175" i="14"/>
  <c r="Z149" i="14"/>
  <c r="Z171" i="14"/>
  <c r="Z129" i="14"/>
  <c r="Z124" i="14"/>
  <c r="Z128" i="14"/>
  <c r="Z123" i="14"/>
  <c r="Z116" i="14"/>
  <c r="Z108" i="14"/>
  <c r="Z131" i="14"/>
  <c r="Z176" i="14"/>
  <c r="Z164" i="14"/>
  <c r="Z158" i="14"/>
  <c r="Z173" i="14"/>
  <c r="Z155" i="14"/>
  <c r="Z141" i="14"/>
  <c r="Z148" i="14"/>
  <c r="Z163" i="14"/>
  <c r="Z172" i="14"/>
  <c r="Z167" i="14"/>
  <c r="Z132" i="14"/>
  <c r="Z157" i="14"/>
  <c r="Z169" i="14"/>
  <c r="Z137" i="14"/>
  <c r="Z154" i="14"/>
  <c r="Z162" i="14"/>
  <c r="Z168" i="14"/>
  <c r="Z156" i="14"/>
  <c r="Z133" i="14"/>
  <c r="Z159" i="14"/>
  <c r="Z140" i="14"/>
  <c r="Z177" i="14"/>
  <c r="Z94" i="14"/>
  <c r="Z91" i="14"/>
  <c r="Z82" i="14"/>
  <c r="Z86" i="14"/>
  <c r="Z100" i="14"/>
  <c r="Z81" i="14"/>
  <c r="Z93" i="14"/>
  <c r="Z105" i="14"/>
  <c r="Z107" i="14"/>
  <c r="AC58" i="14"/>
  <c r="AD57" i="14" s="1"/>
  <c r="AC56" i="14"/>
  <c r="U37" i="14"/>
  <c r="AD40" i="14"/>
  <c r="AD49" i="14" s="1"/>
  <c r="AE36" i="14"/>
  <c r="U9" i="8"/>
  <c r="U37" i="8" s="1"/>
  <c r="AA1" i="15"/>
  <c r="Y5" i="15"/>
  <c r="N23" i="8" l="1"/>
  <c r="N24" i="8" s="1"/>
  <c r="AD43" i="14"/>
  <c r="AD47" i="14" s="1"/>
  <c r="AD39" i="14" s="1"/>
  <c r="AD41" i="14"/>
  <c r="AD45" i="14" s="1"/>
  <c r="AC42" i="14"/>
  <c r="AB46" i="14"/>
  <c r="AC45" i="14"/>
  <c r="AC47" i="14"/>
  <c r="AC39" i="14" s="1"/>
  <c r="AA99" i="14"/>
  <c r="AA102" i="14"/>
  <c r="AA98" i="14"/>
  <c r="AA83" i="14"/>
  <c r="AA106" i="14"/>
  <c r="AA95" i="14"/>
  <c r="AA87" i="14"/>
  <c r="AA101" i="14"/>
  <c r="AA81" i="14"/>
  <c r="AA97" i="14"/>
  <c r="AA107" i="14"/>
  <c r="AA105" i="14"/>
  <c r="AA86" i="14"/>
  <c r="AB74" i="14"/>
  <c r="AA117" i="14"/>
  <c r="AA110" i="14"/>
  <c r="AA114" i="14"/>
  <c r="AA125" i="14"/>
  <c r="AA165" i="14"/>
  <c r="AA118" i="14"/>
  <c r="AA111" i="14"/>
  <c r="AA116" i="14"/>
  <c r="AA119" i="14"/>
  <c r="AA146" i="14"/>
  <c r="AA178" i="14"/>
  <c r="AA142" i="14"/>
  <c r="AA138" i="14"/>
  <c r="AA134" i="14"/>
  <c r="AA120" i="14"/>
  <c r="AA130" i="14"/>
  <c r="AA121" i="14"/>
  <c r="AA126" i="14"/>
  <c r="AA122" i="14"/>
  <c r="AA155" i="14"/>
  <c r="AA151" i="14"/>
  <c r="AA147" i="14"/>
  <c r="AA143" i="14"/>
  <c r="AA109" i="14"/>
  <c r="AA113" i="14"/>
  <c r="AA139" i="14"/>
  <c r="AA131" i="14"/>
  <c r="AA169" i="14"/>
  <c r="AA115" i="14"/>
  <c r="AA145" i="14"/>
  <c r="AA160" i="14"/>
  <c r="AA144" i="14"/>
  <c r="AA174" i="14"/>
  <c r="AA170" i="14"/>
  <c r="AA152" i="14"/>
  <c r="AA161" i="14"/>
  <c r="AA150" i="14"/>
  <c r="AA153" i="14"/>
  <c r="AA166" i="14"/>
  <c r="AA179" i="14"/>
  <c r="AA175" i="14"/>
  <c r="AA149" i="14"/>
  <c r="AA171" i="14"/>
  <c r="AA129" i="14"/>
  <c r="AA112" i="14"/>
  <c r="AA124" i="14"/>
  <c r="AA128" i="14"/>
  <c r="AA123" i="14"/>
  <c r="AA127" i="14"/>
  <c r="AA108" i="14"/>
  <c r="AA176" i="14"/>
  <c r="AA136" i="14"/>
  <c r="AA164" i="14"/>
  <c r="AA158" i="14"/>
  <c r="AA173" i="14"/>
  <c r="AA141" i="14"/>
  <c r="AA148" i="14"/>
  <c r="AA163" i="14"/>
  <c r="AA172" i="14"/>
  <c r="AA132" i="14"/>
  <c r="AA157" i="14"/>
  <c r="AA137" i="14"/>
  <c r="AA154" i="14"/>
  <c r="AA162" i="14"/>
  <c r="AA168" i="14"/>
  <c r="AA135" i="14"/>
  <c r="AA156" i="14"/>
  <c r="AA167" i="14"/>
  <c r="AA133" i="14"/>
  <c r="AA159" i="14"/>
  <c r="AA140" i="14"/>
  <c r="AA177" i="14"/>
  <c r="AA88" i="14"/>
  <c r="AA80" i="14"/>
  <c r="AA89" i="14"/>
  <c r="AA100" i="14"/>
  <c r="AA96" i="14"/>
  <c r="AA92" i="14"/>
  <c r="AA93" i="14"/>
  <c r="AA103" i="14"/>
  <c r="AA84" i="14"/>
  <c r="AA85" i="14"/>
  <c r="AA104" i="14"/>
  <c r="AA82" i="14"/>
  <c r="AA91" i="14"/>
  <c r="AA94" i="14"/>
  <c r="AA90" i="14"/>
  <c r="AD58" i="14"/>
  <c r="AE57" i="14" s="1"/>
  <c r="AD56" i="14"/>
  <c r="U38" i="14"/>
  <c r="AF36" i="14"/>
  <c r="AE40" i="14"/>
  <c r="AE49" i="14" s="1"/>
  <c r="AB1" i="15"/>
  <c r="Z4" i="15"/>
  <c r="O23" i="8" l="1"/>
  <c r="O24" i="8" s="1"/>
  <c r="AE43" i="14"/>
  <c r="AE41" i="14"/>
  <c r="AD42" i="14"/>
  <c r="AC46" i="14"/>
  <c r="AB86" i="14"/>
  <c r="AA199" i="14"/>
  <c r="AB107" i="14"/>
  <c r="AB104" i="14"/>
  <c r="AB105" i="14"/>
  <c r="AB94" i="14"/>
  <c r="AB88" i="14"/>
  <c r="AA201" i="14"/>
  <c r="AB82" i="14"/>
  <c r="AA195" i="14"/>
  <c r="AB85" i="14"/>
  <c r="AA198" i="14"/>
  <c r="AB103" i="14"/>
  <c r="AB95" i="14"/>
  <c r="AB106" i="14"/>
  <c r="AB93" i="14"/>
  <c r="AB89" i="14"/>
  <c r="AA202" i="14"/>
  <c r="AB83" i="14"/>
  <c r="AA196" i="14"/>
  <c r="AB90" i="14"/>
  <c r="AA203" i="14"/>
  <c r="AB97" i="14"/>
  <c r="AB92" i="14"/>
  <c r="AB98" i="14"/>
  <c r="AB87" i="14"/>
  <c r="AA200" i="14"/>
  <c r="AB84" i="14"/>
  <c r="AA197" i="14"/>
  <c r="AB96" i="14"/>
  <c r="AB102" i="14"/>
  <c r="AC74" i="14"/>
  <c r="AB113" i="14"/>
  <c r="AB110" i="14"/>
  <c r="AB114" i="14"/>
  <c r="AB154" i="14"/>
  <c r="AB118" i="14"/>
  <c r="AB116" i="14"/>
  <c r="AB117" i="14"/>
  <c r="AB150" i="14"/>
  <c r="AB119" i="14"/>
  <c r="AB146" i="14"/>
  <c r="AB142" i="14"/>
  <c r="AB138" i="14"/>
  <c r="AB134" i="14"/>
  <c r="AB120" i="14"/>
  <c r="AB130" i="14"/>
  <c r="AB121" i="14"/>
  <c r="AB126" i="14"/>
  <c r="AB159" i="14"/>
  <c r="AB122" i="14"/>
  <c r="AB155" i="14"/>
  <c r="AB147" i="14"/>
  <c r="AB143" i="14"/>
  <c r="AB109" i="14"/>
  <c r="AB135" i="14"/>
  <c r="AB169" i="14"/>
  <c r="AB111" i="14"/>
  <c r="AB115" i="14"/>
  <c r="AB139" i="14"/>
  <c r="AB145" i="14"/>
  <c r="AB160" i="14"/>
  <c r="AB178" i="14"/>
  <c r="AB144" i="14"/>
  <c r="AB165" i="14"/>
  <c r="AB174" i="14"/>
  <c r="AB151" i="14"/>
  <c r="AB170" i="14"/>
  <c r="AB152" i="14"/>
  <c r="AB161" i="14"/>
  <c r="AB125" i="14"/>
  <c r="AB153" i="14"/>
  <c r="AB166" i="14"/>
  <c r="AB179" i="14"/>
  <c r="AB175" i="14"/>
  <c r="AB112" i="14"/>
  <c r="AB124" i="14"/>
  <c r="AB123" i="14"/>
  <c r="AB127" i="14"/>
  <c r="AB108" i="14"/>
  <c r="AB128" i="14"/>
  <c r="AB167" i="14"/>
  <c r="AB131" i="14"/>
  <c r="AB129" i="14"/>
  <c r="AB176" i="14"/>
  <c r="AB136" i="14"/>
  <c r="AB164" i="14"/>
  <c r="AB158" i="14"/>
  <c r="AB173" i="14"/>
  <c r="AB172" i="14"/>
  <c r="AB141" i="14"/>
  <c r="AB148" i="14"/>
  <c r="AB163" i="14"/>
  <c r="AB132" i="14"/>
  <c r="AB157" i="14"/>
  <c r="AB137" i="14"/>
  <c r="AB171" i="14"/>
  <c r="AB162" i="14"/>
  <c r="AB168" i="14"/>
  <c r="AB156" i="14"/>
  <c r="AB133" i="14"/>
  <c r="AB149" i="14"/>
  <c r="AB140" i="14"/>
  <c r="AB177" i="14"/>
  <c r="AB80" i="14"/>
  <c r="AA193" i="14"/>
  <c r="AB101" i="14"/>
  <c r="AB81" i="14"/>
  <c r="AA194" i="14"/>
  <c r="AB100" i="14"/>
  <c r="AB99" i="14"/>
  <c r="AB91" i="14"/>
  <c r="AA204" i="14"/>
  <c r="AE58" i="14"/>
  <c r="AF57" i="14" s="1"/>
  <c r="AE56" i="14"/>
  <c r="AG36" i="14"/>
  <c r="AF40" i="14"/>
  <c r="AF49" i="14" s="1"/>
  <c r="V37" i="14"/>
  <c r="W9" i="8"/>
  <c r="W37" i="8" s="1"/>
  <c r="V9" i="8"/>
  <c r="V37" i="8" s="1"/>
  <c r="AC1" i="15"/>
  <c r="Z5" i="15"/>
  <c r="P23" i="8" l="1"/>
  <c r="P24" i="8" s="1"/>
  <c r="AF41" i="14"/>
  <c r="AF45" i="14" s="1"/>
  <c r="AF43" i="14"/>
  <c r="AF47" i="14" s="1"/>
  <c r="AF39" i="14" s="1"/>
  <c r="AE42" i="14"/>
  <c r="AD46" i="14"/>
  <c r="AE45" i="14"/>
  <c r="AE47" i="14"/>
  <c r="AE39" i="14" s="1"/>
  <c r="AC88" i="14"/>
  <c r="AB201" i="14"/>
  <c r="AC106" i="14"/>
  <c r="AC99" i="14"/>
  <c r="AC100" i="14"/>
  <c r="AC96" i="14"/>
  <c r="AC94" i="14"/>
  <c r="AB207" i="14"/>
  <c r="AC84" i="14"/>
  <c r="AB197" i="14"/>
  <c r="AC105" i="14"/>
  <c r="AC101" i="14"/>
  <c r="AC90" i="14"/>
  <c r="AB203" i="14"/>
  <c r="AC93" i="14"/>
  <c r="AB206" i="14"/>
  <c r="AC87" i="14"/>
  <c r="AB200" i="14"/>
  <c r="AC104" i="14"/>
  <c r="AC89" i="14"/>
  <c r="AB202" i="14"/>
  <c r="AC83" i="14"/>
  <c r="AB196" i="14"/>
  <c r="AC85" i="14"/>
  <c r="AB198" i="14"/>
  <c r="AC98" i="14"/>
  <c r="AC95" i="14"/>
  <c r="AB208" i="14"/>
  <c r="AC103" i="14"/>
  <c r="AC81" i="14"/>
  <c r="AB194" i="14"/>
  <c r="AC92" i="14"/>
  <c r="AB205" i="14"/>
  <c r="AC91" i="14"/>
  <c r="AB204" i="14"/>
  <c r="AC107" i="14"/>
  <c r="AD74" i="14"/>
  <c r="AC113" i="14"/>
  <c r="AC110" i="14"/>
  <c r="AC143" i="14"/>
  <c r="AC114" i="14"/>
  <c r="AC118" i="14"/>
  <c r="AC116" i="14"/>
  <c r="AC117" i="14"/>
  <c r="AC150" i="14"/>
  <c r="AC119" i="14"/>
  <c r="AC146" i="14"/>
  <c r="AC142" i="14"/>
  <c r="AC138" i="14"/>
  <c r="AC134" i="14"/>
  <c r="AC120" i="14"/>
  <c r="AC130" i="14"/>
  <c r="AC121" i="14"/>
  <c r="AC126" i="14"/>
  <c r="AC159" i="14"/>
  <c r="AC122" i="14"/>
  <c r="AC109" i="14"/>
  <c r="AC139" i="14"/>
  <c r="AC135" i="14"/>
  <c r="AC164" i="14"/>
  <c r="AC169" i="14"/>
  <c r="AC111" i="14"/>
  <c r="AC115" i="14"/>
  <c r="AC145" i="14"/>
  <c r="AC160" i="14"/>
  <c r="AC178" i="14"/>
  <c r="AC144" i="14"/>
  <c r="AC165" i="14"/>
  <c r="AC174" i="14"/>
  <c r="AC151" i="14"/>
  <c r="AC170" i="14"/>
  <c r="AC152" i="14"/>
  <c r="AC161" i="14"/>
  <c r="AC125" i="14"/>
  <c r="AC153" i="14"/>
  <c r="AC166" i="14"/>
  <c r="AC179" i="14"/>
  <c r="AC112" i="14"/>
  <c r="AC124" i="14"/>
  <c r="AC123" i="14"/>
  <c r="AC127" i="14"/>
  <c r="AC128" i="14"/>
  <c r="AC167" i="14"/>
  <c r="AC140" i="14"/>
  <c r="AC131" i="14"/>
  <c r="AC177" i="14"/>
  <c r="AC129" i="14"/>
  <c r="AC176" i="14"/>
  <c r="AC136" i="14"/>
  <c r="AC155" i="14"/>
  <c r="AC158" i="14"/>
  <c r="AC173" i="14"/>
  <c r="AC175" i="14"/>
  <c r="AC108" i="14"/>
  <c r="AC141" i="14"/>
  <c r="AC148" i="14"/>
  <c r="AC163" i="14"/>
  <c r="AC172" i="14"/>
  <c r="AC132" i="14"/>
  <c r="AC157" i="14"/>
  <c r="AC137" i="14"/>
  <c r="AC171" i="14"/>
  <c r="AC154" i="14"/>
  <c r="AC162" i="14"/>
  <c r="AC168" i="14"/>
  <c r="AC156" i="14"/>
  <c r="AC147" i="14"/>
  <c r="AC133" i="14"/>
  <c r="AC149" i="14"/>
  <c r="AC82" i="14"/>
  <c r="AB195" i="14"/>
  <c r="AC80" i="14"/>
  <c r="AB193" i="14"/>
  <c r="AC97" i="14"/>
  <c r="AC102" i="14"/>
  <c r="AC86" i="14"/>
  <c r="AB199" i="14"/>
  <c r="AF58" i="14"/>
  <c r="AG57" i="14" s="1"/>
  <c r="AF56" i="14"/>
  <c r="V38" i="14"/>
  <c r="AH36" i="14"/>
  <c r="AG40" i="14"/>
  <c r="AG49" i="14" s="1"/>
  <c r="X9" i="8"/>
  <c r="X37" i="8" s="1"/>
  <c r="AD1" i="15"/>
  <c r="AA4" i="15"/>
  <c r="Q23" i="8" l="1"/>
  <c r="Q24" i="8" s="1"/>
  <c r="AG41" i="14"/>
  <c r="AG45" i="14" s="1"/>
  <c r="AG43" i="14"/>
  <c r="AG47" i="14" s="1"/>
  <c r="AG39" i="14" s="1"/>
  <c r="AF42" i="14"/>
  <c r="AE46" i="14"/>
  <c r="AD86" i="14"/>
  <c r="AC199" i="14"/>
  <c r="AD102" i="14"/>
  <c r="AD90" i="14"/>
  <c r="AC203" i="14"/>
  <c r="AD81" i="14"/>
  <c r="AC194" i="14"/>
  <c r="AD94" i="14"/>
  <c r="AC207" i="14"/>
  <c r="AD97" i="14"/>
  <c r="AC210" i="14"/>
  <c r="AE74" i="14"/>
  <c r="AD110" i="14"/>
  <c r="AD121" i="14"/>
  <c r="AD132" i="14"/>
  <c r="AD114" i="14"/>
  <c r="AD118" i="14"/>
  <c r="AD115" i="14"/>
  <c r="AD154" i="14"/>
  <c r="AD116" i="14"/>
  <c r="AD117" i="14"/>
  <c r="AD150" i="14"/>
  <c r="AD119" i="14"/>
  <c r="AD146" i="14"/>
  <c r="AD142" i="14"/>
  <c r="AD138" i="14"/>
  <c r="AD134" i="14"/>
  <c r="AD120" i="14"/>
  <c r="AD130" i="14"/>
  <c r="AD126" i="14"/>
  <c r="AD122" i="14"/>
  <c r="AD147" i="14"/>
  <c r="AD113" i="14"/>
  <c r="AD109" i="14"/>
  <c r="AD173" i="14"/>
  <c r="AD135" i="14"/>
  <c r="AD164" i="14"/>
  <c r="AD169" i="14"/>
  <c r="AD139" i="14"/>
  <c r="AD111" i="14"/>
  <c r="AD145" i="14"/>
  <c r="AD160" i="14"/>
  <c r="AD178" i="14"/>
  <c r="AD144" i="14"/>
  <c r="AD165" i="14"/>
  <c r="AD174" i="14"/>
  <c r="AD151" i="14"/>
  <c r="AD143" i="14"/>
  <c r="AD170" i="14"/>
  <c r="AD152" i="14"/>
  <c r="AD161" i="14"/>
  <c r="AD125" i="14"/>
  <c r="AD112" i="14"/>
  <c r="AD124" i="14"/>
  <c r="AD128" i="14"/>
  <c r="AD123" i="14"/>
  <c r="AD127" i="14"/>
  <c r="AD153" i="14"/>
  <c r="AD167" i="14"/>
  <c r="AD131" i="14"/>
  <c r="AD179" i="14"/>
  <c r="AD129" i="14"/>
  <c r="AD176" i="14"/>
  <c r="AD177" i="14"/>
  <c r="AD136" i="14"/>
  <c r="AD155" i="14"/>
  <c r="AD158" i="14"/>
  <c r="AD166" i="14"/>
  <c r="AD172" i="14"/>
  <c r="AD140" i="14"/>
  <c r="AD175" i="14"/>
  <c r="AD108" i="14"/>
  <c r="AD141" i="14"/>
  <c r="AD148" i="14"/>
  <c r="AD163" i="14"/>
  <c r="AD157" i="14"/>
  <c r="AD137" i="14"/>
  <c r="AD171" i="14"/>
  <c r="AD162" i="14"/>
  <c r="AD168" i="14"/>
  <c r="AD156" i="14"/>
  <c r="AD159" i="14"/>
  <c r="AD133" i="14"/>
  <c r="AD149" i="14"/>
  <c r="AD103" i="14"/>
  <c r="AD96" i="14"/>
  <c r="AC209" i="14"/>
  <c r="AD93" i="14"/>
  <c r="AC206" i="14"/>
  <c r="AD105" i="14"/>
  <c r="AD107" i="14"/>
  <c r="AD100" i="14"/>
  <c r="AD99" i="14"/>
  <c r="AC212" i="14"/>
  <c r="AD95" i="14"/>
  <c r="AC208" i="14"/>
  <c r="AD101" i="14"/>
  <c r="AD106" i="14"/>
  <c r="AD87" i="14"/>
  <c r="AC200" i="14"/>
  <c r="AD84" i="14"/>
  <c r="AC197" i="14"/>
  <c r="AD98" i="14"/>
  <c r="AC211" i="14"/>
  <c r="AD89" i="14"/>
  <c r="AC202" i="14"/>
  <c r="AD85" i="14"/>
  <c r="AC198" i="14"/>
  <c r="AD88" i="14"/>
  <c r="AC201" i="14"/>
  <c r="AD104" i="14"/>
  <c r="AD91" i="14"/>
  <c r="AC204" i="14"/>
  <c r="AD82" i="14"/>
  <c r="AC195" i="14"/>
  <c r="AD80" i="14"/>
  <c r="AC193" i="14"/>
  <c r="AD92" i="14"/>
  <c r="AC205" i="14"/>
  <c r="AD83" i="14"/>
  <c r="AC196" i="14"/>
  <c r="AG58" i="14"/>
  <c r="AH57" i="14" s="1"/>
  <c r="AG56" i="14"/>
  <c r="AH40" i="14"/>
  <c r="AH49" i="14" s="1"/>
  <c r="AI36" i="14"/>
  <c r="W37" i="14"/>
  <c r="Y9" i="8"/>
  <c r="Y37" i="8" s="1"/>
  <c r="AE1" i="15"/>
  <c r="AA5" i="15"/>
  <c r="R23" i="8" l="1"/>
  <c r="R24" i="8" s="1"/>
  <c r="AH43" i="14"/>
  <c r="AH41" i="14"/>
  <c r="M60" i="14"/>
  <c r="AG42" i="14"/>
  <c r="AF46" i="14"/>
  <c r="S286" i="14"/>
  <c r="S285" i="14"/>
  <c r="S284" i="14"/>
  <c r="S289" i="14"/>
  <c r="S287" i="14"/>
  <c r="S291" i="14"/>
  <c r="S288" i="14"/>
  <c r="S290" i="14"/>
  <c r="S283" i="14"/>
  <c r="S292" i="14"/>
  <c r="Q271" i="14"/>
  <c r="Q267" i="14"/>
  <c r="Q265" i="14"/>
  <c r="Q268" i="14"/>
  <c r="Q270" i="14"/>
  <c r="Q269" i="14"/>
  <c r="Q266" i="14"/>
  <c r="Q272" i="14"/>
  <c r="R280" i="14"/>
  <c r="R275" i="14"/>
  <c r="R278" i="14"/>
  <c r="R281" i="14"/>
  <c r="R274" i="14"/>
  <c r="R276" i="14"/>
  <c r="R277" i="14"/>
  <c r="R282" i="14"/>
  <c r="R279" i="14"/>
  <c r="Q263" i="14"/>
  <c r="Q264" i="14"/>
  <c r="R273" i="14"/>
  <c r="L222" i="14"/>
  <c r="L221" i="14"/>
  <c r="L220" i="14"/>
  <c r="M229" i="14"/>
  <c r="M230" i="14"/>
  <c r="M232" i="14"/>
  <c r="M231" i="14"/>
  <c r="N240" i="14"/>
  <c r="N238" i="14"/>
  <c r="N241" i="14"/>
  <c r="N239" i="14"/>
  <c r="N242" i="14"/>
  <c r="O252" i="14"/>
  <c r="O249" i="14"/>
  <c r="O251" i="14"/>
  <c r="O248" i="14"/>
  <c r="O250" i="14"/>
  <c r="O247" i="14"/>
  <c r="P256" i="14"/>
  <c r="P261" i="14"/>
  <c r="P262" i="14"/>
  <c r="P259" i="14"/>
  <c r="P258" i="14"/>
  <c r="P257" i="14"/>
  <c r="P260" i="14"/>
  <c r="L214" i="14"/>
  <c r="L215" i="14"/>
  <c r="L216" i="14"/>
  <c r="L219" i="14"/>
  <c r="L218" i="14"/>
  <c r="L217" i="14"/>
  <c r="M224" i="14"/>
  <c r="M228" i="14"/>
  <c r="M226" i="14"/>
  <c r="M225" i="14"/>
  <c r="M223" i="14"/>
  <c r="M227" i="14"/>
  <c r="N234" i="14"/>
  <c r="N236" i="14"/>
  <c r="N237" i="14"/>
  <c r="N235" i="14"/>
  <c r="N233" i="14"/>
  <c r="O245" i="14"/>
  <c r="O246" i="14"/>
  <c r="O244" i="14"/>
  <c r="O243" i="14"/>
  <c r="P255" i="14"/>
  <c r="P254" i="14"/>
  <c r="P253" i="14"/>
  <c r="AE87" i="14"/>
  <c r="AD200" i="14"/>
  <c r="AE83" i="14"/>
  <c r="AD196" i="14"/>
  <c r="AF74" i="14"/>
  <c r="AE120" i="14"/>
  <c r="AE113" i="14"/>
  <c r="AE110" i="14"/>
  <c r="AE121" i="14"/>
  <c r="AE161" i="14"/>
  <c r="AE114" i="14"/>
  <c r="AE125" i="14"/>
  <c r="AE115" i="14"/>
  <c r="AE158" i="14"/>
  <c r="AE174" i="14"/>
  <c r="AE118" i="14"/>
  <c r="AE154" i="14"/>
  <c r="AE116" i="14"/>
  <c r="AE117" i="14"/>
  <c r="AE150" i="14"/>
  <c r="AE119" i="14"/>
  <c r="AE146" i="14"/>
  <c r="AE142" i="14"/>
  <c r="AE138" i="14"/>
  <c r="AE134" i="14"/>
  <c r="AE130" i="14"/>
  <c r="AE126" i="14"/>
  <c r="AE122" i="14"/>
  <c r="AE151" i="14"/>
  <c r="AE109" i="14"/>
  <c r="AE108" i="14"/>
  <c r="AE140" i="14"/>
  <c r="AE159" i="14"/>
  <c r="AE177" i="14"/>
  <c r="AE173" i="14"/>
  <c r="AE135" i="14"/>
  <c r="AE164" i="14"/>
  <c r="AE169" i="14"/>
  <c r="AE139" i="14"/>
  <c r="AE111" i="14"/>
  <c r="AE145" i="14"/>
  <c r="AE160" i="14"/>
  <c r="AE178" i="14"/>
  <c r="AE144" i="14"/>
  <c r="AE165" i="14"/>
  <c r="AE143" i="14"/>
  <c r="AE170" i="14"/>
  <c r="AE152" i="14"/>
  <c r="AE112" i="14"/>
  <c r="AE124" i="14"/>
  <c r="AE128" i="14"/>
  <c r="AE123" i="14"/>
  <c r="AE127" i="14"/>
  <c r="AE153" i="14"/>
  <c r="AE167" i="14"/>
  <c r="AE131" i="14"/>
  <c r="AE179" i="14"/>
  <c r="AE129" i="14"/>
  <c r="AE176" i="14"/>
  <c r="AE136" i="14"/>
  <c r="AE155" i="14"/>
  <c r="AE175" i="14"/>
  <c r="AE166" i="14"/>
  <c r="AE141" i="14"/>
  <c r="AE148" i="14"/>
  <c r="AE163" i="14"/>
  <c r="AE172" i="14"/>
  <c r="AE132" i="14"/>
  <c r="AE157" i="14"/>
  <c r="AE147" i="14"/>
  <c r="AE137" i="14"/>
  <c r="AE171" i="14"/>
  <c r="AE162" i="14"/>
  <c r="AE168" i="14"/>
  <c r="AE156" i="14"/>
  <c r="AE133" i="14"/>
  <c r="AE149" i="14"/>
  <c r="AE92" i="14"/>
  <c r="AD205" i="14"/>
  <c r="AE84" i="14"/>
  <c r="AD197" i="14"/>
  <c r="AE97" i="14"/>
  <c r="AD210" i="14"/>
  <c r="AE104" i="14"/>
  <c r="AE88" i="14"/>
  <c r="AD201" i="14"/>
  <c r="AE85" i="14"/>
  <c r="AD198" i="14"/>
  <c r="L193" i="14"/>
  <c r="L200" i="14"/>
  <c r="L212" i="14"/>
  <c r="L208" i="14"/>
  <c r="L197" i="14"/>
  <c r="L198" i="14"/>
  <c r="L199" i="14"/>
  <c r="L211" i="14"/>
  <c r="L207" i="14"/>
  <c r="L205" i="14"/>
  <c r="L210" i="14"/>
  <c r="L194" i="14"/>
  <c r="L213" i="14"/>
  <c r="L202" i="14"/>
  <c r="L195" i="14"/>
  <c r="L204" i="14"/>
  <c r="L196" i="14"/>
  <c r="L206" i="14"/>
  <c r="L203" i="14"/>
  <c r="L201" i="14"/>
  <c r="L209" i="14"/>
  <c r="AE82" i="14"/>
  <c r="AD195" i="14"/>
  <c r="AE91" i="14"/>
  <c r="AD204" i="14"/>
  <c r="AE103" i="14"/>
  <c r="AD216" i="14"/>
  <c r="AE94" i="14"/>
  <c r="AD207" i="14"/>
  <c r="AE101" i="14"/>
  <c r="AD214" i="14"/>
  <c r="AE106" i="14"/>
  <c r="AE93" i="14"/>
  <c r="AD206" i="14"/>
  <c r="AE81" i="14"/>
  <c r="AD194" i="14"/>
  <c r="AE95" i="14"/>
  <c r="AD208" i="14"/>
  <c r="AE90" i="14"/>
  <c r="AD203" i="14"/>
  <c r="AE99" i="14"/>
  <c r="AD212" i="14"/>
  <c r="AE100" i="14"/>
  <c r="AD213" i="14"/>
  <c r="AE107" i="14"/>
  <c r="AE102" i="14"/>
  <c r="AD215" i="14"/>
  <c r="AE80" i="14"/>
  <c r="AD193" i="14"/>
  <c r="AE105" i="14"/>
  <c r="AE98" i="14"/>
  <c r="AD211" i="14"/>
  <c r="AE89" i="14"/>
  <c r="AD202" i="14"/>
  <c r="AE86" i="14"/>
  <c r="AD199" i="14"/>
  <c r="AE96" i="14"/>
  <c r="AD209" i="14"/>
  <c r="AH58" i="14"/>
  <c r="AI57" i="14" s="1"/>
  <c r="AH56" i="14"/>
  <c r="AI40" i="14"/>
  <c r="AI49" i="14" s="1"/>
  <c r="AJ36" i="14"/>
  <c r="W38" i="14"/>
  <c r="Z9" i="8"/>
  <c r="Z37" i="8" s="1"/>
  <c r="AF1" i="15"/>
  <c r="AB4" i="15"/>
  <c r="S23" i="8"/>
  <c r="S24" i="8" s="1"/>
  <c r="AH42" i="14" l="1"/>
  <c r="AG46" i="14"/>
  <c r="AI43" i="14"/>
  <c r="AI41" i="14"/>
  <c r="AH45" i="14"/>
  <c r="M61" i="14"/>
  <c r="AH47" i="14"/>
  <c r="AH39" i="14" s="1"/>
  <c r="M63" i="14"/>
  <c r="AF81" i="14"/>
  <c r="AE194" i="14"/>
  <c r="AF86" i="14"/>
  <c r="AE199" i="14"/>
  <c r="AF82" i="14"/>
  <c r="AE195" i="14"/>
  <c r="AF96" i="14"/>
  <c r="AE209" i="14"/>
  <c r="AF85" i="14"/>
  <c r="AE198" i="14"/>
  <c r="AF91" i="14"/>
  <c r="AE204" i="14"/>
  <c r="AF89" i="14"/>
  <c r="AE202" i="14"/>
  <c r="AF102" i="14"/>
  <c r="AE215" i="14"/>
  <c r="AF88" i="14"/>
  <c r="AE201" i="14"/>
  <c r="AF106" i="14"/>
  <c r="AE219" i="14"/>
  <c r="AF101" i="14"/>
  <c r="AE214" i="14"/>
  <c r="AF95" i="14"/>
  <c r="AE208" i="14"/>
  <c r="AF103" i="14"/>
  <c r="AE216" i="14"/>
  <c r="AF98" i="14"/>
  <c r="AE211" i="14"/>
  <c r="AF104" i="14"/>
  <c r="AE217" i="14"/>
  <c r="AF94" i="14"/>
  <c r="AE207" i="14"/>
  <c r="AG74" i="14"/>
  <c r="AF109" i="14"/>
  <c r="AF222" i="14" s="1"/>
  <c r="AF120" i="14"/>
  <c r="AF113" i="14"/>
  <c r="AF110" i="14"/>
  <c r="AF223" i="14" s="1"/>
  <c r="AF150" i="14"/>
  <c r="AF114" i="14"/>
  <c r="AF129" i="14"/>
  <c r="AF125" i="14"/>
  <c r="AF162" i="14"/>
  <c r="AF115" i="14"/>
  <c r="AF118" i="14"/>
  <c r="AF116" i="14"/>
  <c r="AF117" i="14"/>
  <c r="AF119" i="14"/>
  <c r="AF146" i="14"/>
  <c r="AF142" i="14"/>
  <c r="AF138" i="14"/>
  <c r="AF121" i="14"/>
  <c r="AF134" i="14"/>
  <c r="AF130" i="14"/>
  <c r="AF126" i="14"/>
  <c r="AF122" i="14"/>
  <c r="AF155" i="14"/>
  <c r="AF108" i="14"/>
  <c r="AF221" i="14" s="1"/>
  <c r="AF140" i="14"/>
  <c r="AF159" i="14"/>
  <c r="AF177" i="14"/>
  <c r="AF173" i="14"/>
  <c r="AF135" i="14"/>
  <c r="AF164" i="14"/>
  <c r="AF169" i="14"/>
  <c r="AF139" i="14"/>
  <c r="AF111" i="14"/>
  <c r="AF224" i="14" s="1"/>
  <c r="AF145" i="14"/>
  <c r="AF160" i="14"/>
  <c r="AF178" i="14"/>
  <c r="AF144" i="14"/>
  <c r="AF165" i="14"/>
  <c r="AF174" i="14"/>
  <c r="AF151" i="14"/>
  <c r="AF143" i="14"/>
  <c r="AF170" i="14"/>
  <c r="AF152" i="14"/>
  <c r="AF161" i="14"/>
  <c r="AF112" i="14"/>
  <c r="AF124" i="14"/>
  <c r="AF128" i="14"/>
  <c r="AF123" i="14"/>
  <c r="AF127" i="14"/>
  <c r="AF147" i="14"/>
  <c r="AF153" i="14"/>
  <c r="AF167" i="14"/>
  <c r="AF131" i="14"/>
  <c r="AF179" i="14"/>
  <c r="AF133" i="14"/>
  <c r="AF149" i="14"/>
  <c r="AF176" i="14"/>
  <c r="AF136" i="14"/>
  <c r="AF158" i="14"/>
  <c r="AF166" i="14"/>
  <c r="AF175" i="14"/>
  <c r="AF141" i="14"/>
  <c r="AF148" i="14"/>
  <c r="AF163" i="14"/>
  <c r="AF172" i="14"/>
  <c r="AF132" i="14"/>
  <c r="AF157" i="14"/>
  <c r="AF154" i="14"/>
  <c r="AF137" i="14"/>
  <c r="AF171" i="14"/>
  <c r="AF168" i="14"/>
  <c r="AF156" i="14"/>
  <c r="AF97" i="14"/>
  <c r="AE210" i="14"/>
  <c r="AF93" i="14"/>
  <c r="AE206" i="14"/>
  <c r="AF84" i="14"/>
  <c r="AE197" i="14"/>
  <c r="AF83" i="14"/>
  <c r="AE196" i="14"/>
  <c r="L192" i="14"/>
  <c r="M7" i="15" s="1"/>
  <c r="AF99" i="14"/>
  <c r="AE212" i="14"/>
  <c r="AF90" i="14"/>
  <c r="AE203" i="14"/>
  <c r="AF80" i="14"/>
  <c r="AE193" i="14"/>
  <c r="AF107" i="14"/>
  <c r="AE220" i="14"/>
  <c r="AF87" i="14"/>
  <c r="AE200" i="14"/>
  <c r="AF105" i="14"/>
  <c r="AE218" i="14"/>
  <c r="AF100" i="14"/>
  <c r="AE213" i="14"/>
  <c r="AF92" i="14"/>
  <c r="AE205" i="14"/>
  <c r="AI58" i="14"/>
  <c r="AJ57" i="14" s="1"/>
  <c r="AI56" i="14"/>
  <c r="AK36" i="14"/>
  <c r="AJ40" i="14"/>
  <c r="AJ49" i="14" s="1"/>
  <c r="X37" i="14"/>
  <c r="AA9" i="8"/>
  <c r="AA37" i="8" s="1"/>
  <c r="AG1" i="15"/>
  <c r="AB5" i="15"/>
  <c r="T23" i="8"/>
  <c r="T24" i="8" s="1"/>
  <c r="M8" i="15" l="1"/>
  <c r="B7" i="19"/>
  <c r="AI45" i="14"/>
  <c r="AI47" i="14"/>
  <c r="AI39" i="14" s="1"/>
  <c r="AJ43" i="14"/>
  <c r="AJ47" i="14" s="1"/>
  <c r="AJ41" i="14"/>
  <c r="AJ45" i="14" s="1"/>
  <c r="AI42" i="14"/>
  <c r="AH46" i="14"/>
  <c r="M62" i="14"/>
  <c r="AG106" i="14"/>
  <c r="AF219" i="14"/>
  <c r="AG103" i="14"/>
  <c r="AF216" i="14"/>
  <c r="AG88" i="14"/>
  <c r="AF201" i="14"/>
  <c r="AG93" i="14"/>
  <c r="AF206" i="14"/>
  <c r="AG102" i="14"/>
  <c r="AF215" i="14"/>
  <c r="AH74" i="14"/>
  <c r="AG109" i="14"/>
  <c r="AG222" i="14" s="1"/>
  <c r="AG113" i="14"/>
  <c r="AG226" i="14" s="1"/>
  <c r="AG139" i="14"/>
  <c r="AG110" i="14"/>
  <c r="AG223" i="14" s="1"/>
  <c r="AG121" i="14"/>
  <c r="AG234" i="14" s="1"/>
  <c r="AG133" i="14"/>
  <c r="AG246" i="14" s="1"/>
  <c r="AG129" i="14"/>
  <c r="AG166" i="14"/>
  <c r="AG125" i="14"/>
  <c r="AG114" i="14"/>
  <c r="AG227" i="14" s="1"/>
  <c r="AG115" i="14"/>
  <c r="AG228" i="14" s="1"/>
  <c r="AG118" i="14"/>
  <c r="AG150" i="14"/>
  <c r="AG263" i="14" s="1"/>
  <c r="AG116" i="14"/>
  <c r="AG117" i="14"/>
  <c r="AG119" i="14"/>
  <c r="AG146" i="14"/>
  <c r="AG142" i="14"/>
  <c r="AG255" i="14" s="1"/>
  <c r="AG120" i="14"/>
  <c r="AG233" i="14" s="1"/>
  <c r="AG138" i="14"/>
  <c r="AG134" i="14"/>
  <c r="AG130" i="14"/>
  <c r="AG243" i="14" s="1"/>
  <c r="AG126" i="14"/>
  <c r="AG159" i="14"/>
  <c r="AG122" i="14"/>
  <c r="AG235" i="14" s="1"/>
  <c r="AG131" i="14"/>
  <c r="AG244" i="14" s="1"/>
  <c r="AG108" i="14"/>
  <c r="AG221" i="14" s="1"/>
  <c r="AG140" i="14"/>
  <c r="AG253" i="14" s="1"/>
  <c r="AG177" i="14"/>
  <c r="AG173" i="14"/>
  <c r="AG135" i="14"/>
  <c r="AG164" i="14"/>
  <c r="AG169" i="14"/>
  <c r="AG111" i="14"/>
  <c r="AG224" i="14" s="1"/>
  <c r="AG145" i="14"/>
  <c r="AG160" i="14"/>
  <c r="AG273" i="14" s="1"/>
  <c r="AG178" i="14"/>
  <c r="AG144" i="14"/>
  <c r="AG165" i="14"/>
  <c r="AG174" i="14"/>
  <c r="AG151" i="14"/>
  <c r="AG264" i="14" s="1"/>
  <c r="AG143" i="14"/>
  <c r="AG170" i="14"/>
  <c r="AG152" i="14"/>
  <c r="AG112" i="14"/>
  <c r="AG225" i="14" s="1"/>
  <c r="AG124" i="14"/>
  <c r="AG237" i="14" s="1"/>
  <c r="AG128" i="14"/>
  <c r="AG123" i="14"/>
  <c r="AG236" i="14" s="1"/>
  <c r="AG127" i="14"/>
  <c r="AG161" i="14"/>
  <c r="AG147" i="14"/>
  <c r="AG175" i="14"/>
  <c r="AG153" i="14"/>
  <c r="AG167" i="14"/>
  <c r="AG179" i="14"/>
  <c r="AG149" i="14"/>
  <c r="AG176" i="14"/>
  <c r="AG155" i="14"/>
  <c r="AG136" i="14"/>
  <c r="AG158" i="14"/>
  <c r="AG141" i="14"/>
  <c r="AG254" i="14" s="1"/>
  <c r="AG148" i="14"/>
  <c r="AG163" i="14"/>
  <c r="AG172" i="14"/>
  <c r="AG132" i="14"/>
  <c r="AG245" i="14" s="1"/>
  <c r="AG157" i="14"/>
  <c r="AG154" i="14"/>
  <c r="AG137" i="14"/>
  <c r="AG171" i="14"/>
  <c r="AG162" i="14"/>
  <c r="AG156" i="14"/>
  <c r="AG168" i="14"/>
  <c r="AG94" i="14"/>
  <c r="AF207" i="14"/>
  <c r="AG89" i="14"/>
  <c r="AF202" i="14"/>
  <c r="AG83" i="14"/>
  <c r="AF196" i="14"/>
  <c r="AG101" i="14"/>
  <c r="AF214" i="14"/>
  <c r="AG104" i="14"/>
  <c r="AF217" i="14"/>
  <c r="AG91" i="14"/>
  <c r="AF204" i="14"/>
  <c r="AG105" i="14"/>
  <c r="AF218" i="14"/>
  <c r="AG95" i="14"/>
  <c r="AF208" i="14"/>
  <c r="AJ39" i="14"/>
  <c r="AG85" i="14"/>
  <c r="AF198" i="14"/>
  <c r="AG87" i="14"/>
  <c r="AF200" i="14"/>
  <c r="AG96" i="14"/>
  <c r="AF209" i="14"/>
  <c r="AG100" i="14"/>
  <c r="AF213" i="14"/>
  <c r="AG82" i="14"/>
  <c r="AF195" i="14"/>
  <c r="AG84" i="14"/>
  <c r="AF197" i="14"/>
  <c r="AG97" i="14"/>
  <c r="AF210" i="14"/>
  <c r="AG92" i="14"/>
  <c r="AF205" i="14"/>
  <c r="AG107" i="14"/>
  <c r="AF220" i="14"/>
  <c r="AG80" i="14"/>
  <c r="AF193" i="14"/>
  <c r="AG98" i="14"/>
  <c r="AF211" i="14"/>
  <c r="AG86" i="14"/>
  <c r="AF199" i="14"/>
  <c r="AG99" i="14"/>
  <c r="AF212" i="14"/>
  <c r="AG90" i="14"/>
  <c r="AF203" i="14"/>
  <c r="AG81" i="14"/>
  <c r="AF194" i="14"/>
  <c r="AJ58" i="14"/>
  <c r="AK57" i="14" s="1"/>
  <c r="AJ56" i="14"/>
  <c r="AK40" i="14"/>
  <c r="AK49" i="14" s="1"/>
  <c r="AL36" i="14"/>
  <c r="X38" i="14"/>
  <c r="AB9" i="8"/>
  <c r="AB37" i="8" s="1"/>
  <c r="AH1" i="15"/>
  <c r="AC4" i="15"/>
  <c r="U23" i="8"/>
  <c r="U24" i="8" s="1"/>
  <c r="AK43" i="14" l="1"/>
  <c r="AK47" i="14" s="1"/>
  <c r="AK39" i="14" s="1"/>
  <c r="AK41" i="14"/>
  <c r="AK45" i="14" s="1"/>
  <c r="AJ42" i="14"/>
  <c r="AI46" i="14"/>
  <c r="AH82" i="14"/>
  <c r="AG195" i="14"/>
  <c r="AH91" i="14"/>
  <c r="AG204" i="14"/>
  <c r="AH107" i="14"/>
  <c r="AG220" i="14"/>
  <c r="AI74" i="14"/>
  <c r="AH109" i="14"/>
  <c r="AH222" i="14" s="1"/>
  <c r="AH120" i="14"/>
  <c r="AH233" i="14" s="1"/>
  <c r="AH113" i="14"/>
  <c r="AH226" i="14" s="1"/>
  <c r="AH117" i="14"/>
  <c r="AH230" i="14" s="1"/>
  <c r="AH128" i="14"/>
  <c r="AH241" i="14" s="1"/>
  <c r="AH168" i="14"/>
  <c r="AH281" i="14" s="1"/>
  <c r="AH110" i="14"/>
  <c r="AH223" i="14" s="1"/>
  <c r="AH114" i="14"/>
  <c r="AH227" i="14" s="1"/>
  <c r="AH137" i="14"/>
  <c r="AH250" i="14" s="1"/>
  <c r="AH133" i="14"/>
  <c r="AH246" i="14" s="1"/>
  <c r="AH170" i="14"/>
  <c r="AH283" i="14" s="1"/>
  <c r="AH129" i="14"/>
  <c r="AH242" i="14" s="1"/>
  <c r="AH125" i="14"/>
  <c r="AH238" i="14" s="1"/>
  <c r="AH115" i="14"/>
  <c r="AH228" i="14" s="1"/>
  <c r="AH118" i="14"/>
  <c r="AH231" i="14" s="1"/>
  <c r="AH150" i="14"/>
  <c r="AH263" i="14" s="1"/>
  <c r="AH116" i="14"/>
  <c r="AH229" i="14" s="1"/>
  <c r="AH119" i="14"/>
  <c r="AH232" i="14" s="1"/>
  <c r="AH146" i="14"/>
  <c r="AH259" i="14" s="1"/>
  <c r="AH142" i="14"/>
  <c r="AH255" i="14" s="1"/>
  <c r="AH121" i="14"/>
  <c r="AH234" i="14" s="1"/>
  <c r="AH138" i="14"/>
  <c r="AH251" i="14" s="1"/>
  <c r="AH134" i="14"/>
  <c r="AH247" i="14" s="1"/>
  <c r="AH130" i="14"/>
  <c r="AH243" i="14" s="1"/>
  <c r="AH126" i="14"/>
  <c r="AH239" i="14" s="1"/>
  <c r="AH122" i="14"/>
  <c r="AH235" i="14" s="1"/>
  <c r="AH131" i="14"/>
  <c r="AH244" i="14" s="1"/>
  <c r="AH159" i="14"/>
  <c r="AH272" i="14" s="1"/>
  <c r="AH108" i="14"/>
  <c r="AH221" i="14" s="1"/>
  <c r="AH140" i="14"/>
  <c r="AH253" i="14" s="1"/>
  <c r="AH177" i="14"/>
  <c r="AH290" i="14" s="1"/>
  <c r="AH173" i="14"/>
  <c r="AH286" i="14" s="1"/>
  <c r="AH135" i="14"/>
  <c r="AH248" i="14" s="1"/>
  <c r="AH164" i="14"/>
  <c r="AH277" i="14" s="1"/>
  <c r="AH169" i="14"/>
  <c r="AH282" i="14" s="1"/>
  <c r="AH139" i="14"/>
  <c r="AH252" i="14" s="1"/>
  <c r="AH111" i="14"/>
  <c r="AH224" i="14" s="1"/>
  <c r="AH145" i="14"/>
  <c r="AH258" i="14" s="1"/>
  <c r="AH160" i="14"/>
  <c r="AH273" i="14" s="1"/>
  <c r="AH178" i="14"/>
  <c r="AH291" i="14" s="1"/>
  <c r="AH144" i="14"/>
  <c r="AH257" i="14" s="1"/>
  <c r="AH165" i="14"/>
  <c r="AH278" i="14" s="1"/>
  <c r="AH174" i="14"/>
  <c r="AH287" i="14" s="1"/>
  <c r="AH151" i="14"/>
  <c r="AH264" i="14" s="1"/>
  <c r="AH143" i="14"/>
  <c r="AH256" i="14" s="1"/>
  <c r="AH112" i="14"/>
  <c r="AH225" i="14" s="1"/>
  <c r="AH124" i="14"/>
  <c r="AH237" i="14" s="1"/>
  <c r="AH123" i="14"/>
  <c r="AH236" i="14" s="1"/>
  <c r="AH127" i="14"/>
  <c r="AH240" i="14" s="1"/>
  <c r="AH149" i="14"/>
  <c r="AH262" i="14" s="1"/>
  <c r="AH161" i="14"/>
  <c r="AH274" i="14" s="1"/>
  <c r="AH175" i="14"/>
  <c r="AH288" i="14" s="1"/>
  <c r="AH147" i="14"/>
  <c r="AH260" i="14" s="1"/>
  <c r="AH156" i="14"/>
  <c r="AH269" i="14" s="1"/>
  <c r="AH153" i="14"/>
  <c r="AH266" i="14" s="1"/>
  <c r="AH167" i="14"/>
  <c r="AH280" i="14" s="1"/>
  <c r="AH179" i="14"/>
  <c r="AH292" i="14" s="1"/>
  <c r="AH176" i="14"/>
  <c r="AH289" i="14" s="1"/>
  <c r="AH155" i="14"/>
  <c r="AH268" i="14" s="1"/>
  <c r="AH136" i="14"/>
  <c r="AH249" i="14" s="1"/>
  <c r="AH158" i="14"/>
  <c r="AH271" i="14" s="1"/>
  <c r="AH166" i="14"/>
  <c r="AH279" i="14" s="1"/>
  <c r="AH152" i="14"/>
  <c r="AH265" i="14" s="1"/>
  <c r="AH141" i="14"/>
  <c r="AH254" i="14" s="1"/>
  <c r="AH148" i="14"/>
  <c r="AH261" i="14" s="1"/>
  <c r="AH163" i="14"/>
  <c r="AH276" i="14" s="1"/>
  <c r="AH172" i="14"/>
  <c r="AH285" i="14" s="1"/>
  <c r="AH132" i="14"/>
  <c r="AH245" i="14" s="1"/>
  <c r="AH157" i="14"/>
  <c r="AH270" i="14" s="1"/>
  <c r="AH154" i="14"/>
  <c r="AH267" i="14" s="1"/>
  <c r="AH171" i="14"/>
  <c r="AH284" i="14" s="1"/>
  <c r="AH162" i="14"/>
  <c r="AH275" i="14" s="1"/>
  <c r="AH102" i="14"/>
  <c r="AG215" i="14"/>
  <c r="AH97" i="14"/>
  <c r="AG210" i="14"/>
  <c r="AH83" i="14"/>
  <c r="AG196" i="14"/>
  <c r="AH93" i="14"/>
  <c r="AG206" i="14"/>
  <c r="AH100" i="14"/>
  <c r="AG213" i="14"/>
  <c r="AH104" i="14"/>
  <c r="AG217" i="14"/>
  <c r="AH89" i="14"/>
  <c r="AG202" i="14"/>
  <c r="AH96" i="14"/>
  <c r="AG209" i="14"/>
  <c r="AH101" i="14"/>
  <c r="AG214" i="14"/>
  <c r="AH86" i="14"/>
  <c r="AG199" i="14"/>
  <c r="AH88" i="14"/>
  <c r="AG201" i="14"/>
  <c r="AH99" i="14"/>
  <c r="AG212" i="14"/>
  <c r="AH94" i="14"/>
  <c r="AG207" i="14"/>
  <c r="AH98" i="14"/>
  <c r="AG211" i="14"/>
  <c r="AH103" i="14"/>
  <c r="AG216" i="14"/>
  <c r="AH95" i="14"/>
  <c r="AG208" i="14"/>
  <c r="AH105" i="14"/>
  <c r="AG218" i="14"/>
  <c r="AH92" i="14"/>
  <c r="AG205" i="14"/>
  <c r="AH84" i="14"/>
  <c r="AG197" i="14"/>
  <c r="AH87" i="14"/>
  <c r="AG200" i="14"/>
  <c r="AH85" i="14"/>
  <c r="AG198" i="14"/>
  <c r="AH81" i="14"/>
  <c r="AG194" i="14"/>
  <c r="AH90" i="14"/>
  <c r="AG203" i="14"/>
  <c r="AH80" i="14"/>
  <c r="AG193" i="14"/>
  <c r="AH106" i="14"/>
  <c r="AG219" i="14"/>
  <c r="AK58" i="14"/>
  <c r="AL57" i="14" s="1"/>
  <c r="AK56" i="14"/>
  <c r="Y37" i="14"/>
  <c r="AM36" i="14"/>
  <c r="AL40" i="14"/>
  <c r="AL49" i="14" s="1"/>
  <c r="C11" i="16"/>
  <c r="H5" i="8"/>
  <c r="M9" i="15"/>
  <c r="H7" i="8" s="1"/>
  <c r="H35" i="8" s="1"/>
  <c r="M10" i="15"/>
  <c r="H8" i="8" s="1"/>
  <c r="H36" i="8" s="1"/>
  <c r="AC9" i="8"/>
  <c r="AC37" i="8" s="1"/>
  <c r="AI1" i="15"/>
  <c r="AC5" i="15"/>
  <c r="V23" i="8"/>
  <c r="V24" i="8" s="1"/>
  <c r="AL43" i="14" l="1"/>
  <c r="AL41" i="14"/>
  <c r="AL45" i="14" s="1"/>
  <c r="AK42" i="14"/>
  <c r="AJ46" i="14"/>
  <c r="AI99" i="14"/>
  <c r="AH212" i="14"/>
  <c r="AI98" i="14"/>
  <c r="AH211" i="14"/>
  <c r="AI88" i="14"/>
  <c r="AH201" i="14"/>
  <c r="AI106" i="14"/>
  <c r="AH219" i="14"/>
  <c r="AI94" i="14"/>
  <c r="AH207" i="14"/>
  <c r="AI95" i="14"/>
  <c r="AH208" i="14"/>
  <c r="AI86" i="14"/>
  <c r="AH199" i="14"/>
  <c r="AI89" i="14"/>
  <c r="AH202" i="14"/>
  <c r="AI101" i="14"/>
  <c r="AH214" i="14"/>
  <c r="AI103" i="14"/>
  <c r="AH216" i="14"/>
  <c r="AJ74" i="14"/>
  <c r="AI116" i="14"/>
  <c r="AI229" i="14" s="1"/>
  <c r="AI109" i="14"/>
  <c r="AI222" i="14" s="1"/>
  <c r="AI113" i="14"/>
  <c r="AI226" i="14" s="1"/>
  <c r="AI117" i="14"/>
  <c r="AI230" i="14" s="1"/>
  <c r="AI157" i="14"/>
  <c r="AI270" i="14" s="1"/>
  <c r="AI110" i="14"/>
  <c r="AI223" i="14" s="1"/>
  <c r="AI141" i="14"/>
  <c r="AI254" i="14" s="1"/>
  <c r="AI137" i="14"/>
  <c r="AI250" i="14" s="1"/>
  <c r="AI133" i="14"/>
  <c r="AI246" i="14" s="1"/>
  <c r="AI129" i="14"/>
  <c r="AI242" i="14" s="1"/>
  <c r="AI114" i="14"/>
  <c r="AI227" i="14" s="1"/>
  <c r="AI125" i="14"/>
  <c r="AI238" i="14" s="1"/>
  <c r="AI115" i="14"/>
  <c r="AI228" i="14" s="1"/>
  <c r="AI118" i="14"/>
  <c r="AI231" i="14" s="1"/>
  <c r="AI154" i="14"/>
  <c r="AI267" i="14" s="1"/>
  <c r="AI150" i="14"/>
  <c r="AI263" i="14" s="1"/>
  <c r="AI119" i="14"/>
  <c r="AI232" i="14" s="1"/>
  <c r="AI146" i="14"/>
  <c r="AI259" i="14" s="1"/>
  <c r="AI120" i="14"/>
  <c r="AI233" i="14" s="1"/>
  <c r="AI142" i="14"/>
  <c r="AI255" i="14" s="1"/>
  <c r="AI121" i="14"/>
  <c r="AI234" i="14" s="1"/>
  <c r="AI138" i="14"/>
  <c r="AI251" i="14" s="1"/>
  <c r="AI134" i="14"/>
  <c r="AI247" i="14" s="1"/>
  <c r="AI130" i="14"/>
  <c r="AI243" i="14" s="1"/>
  <c r="AI122" i="14"/>
  <c r="AI235" i="14" s="1"/>
  <c r="AI136" i="14"/>
  <c r="AI249" i="14" s="1"/>
  <c r="AI158" i="14"/>
  <c r="AI271" i="14" s="1"/>
  <c r="AI131" i="14"/>
  <c r="AI244" i="14" s="1"/>
  <c r="AI159" i="14"/>
  <c r="AI272" i="14" s="1"/>
  <c r="AI108" i="14"/>
  <c r="AI221" i="14" s="1"/>
  <c r="AI126" i="14"/>
  <c r="AI239" i="14" s="1"/>
  <c r="AI140" i="14"/>
  <c r="AI253" i="14" s="1"/>
  <c r="AI177" i="14"/>
  <c r="AI290" i="14" s="1"/>
  <c r="AI173" i="14"/>
  <c r="AI286" i="14" s="1"/>
  <c r="AI135" i="14"/>
  <c r="AI248" i="14" s="1"/>
  <c r="AI164" i="14"/>
  <c r="AI277" i="14" s="1"/>
  <c r="AI169" i="14"/>
  <c r="AI282" i="14" s="1"/>
  <c r="AI139" i="14"/>
  <c r="AI252" i="14" s="1"/>
  <c r="AI111" i="14"/>
  <c r="AI224" i="14" s="1"/>
  <c r="AI145" i="14"/>
  <c r="AI258" i="14" s="1"/>
  <c r="AI160" i="14"/>
  <c r="AI273" i="14" s="1"/>
  <c r="AI178" i="14"/>
  <c r="AI291" i="14" s="1"/>
  <c r="AI144" i="14"/>
  <c r="AI257" i="14" s="1"/>
  <c r="AI165" i="14"/>
  <c r="AI278" i="14" s="1"/>
  <c r="AI174" i="14"/>
  <c r="AI287" i="14" s="1"/>
  <c r="AI151" i="14"/>
  <c r="AI264" i="14" s="1"/>
  <c r="AI170" i="14"/>
  <c r="AI283" i="14" s="1"/>
  <c r="AI143" i="14"/>
  <c r="AI256" i="14" s="1"/>
  <c r="AI112" i="14"/>
  <c r="AI225" i="14" s="1"/>
  <c r="AI124" i="14"/>
  <c r="AI237" i="14" s="1"/>
  <c r="AI128" i="14"/>
  <c r="AI241" i="14" s="1"/>
  <c r="AI123" i="14"/>
  <c r="AI236" i="14" s="1"/>
  <c r="AI156" i="14"/>
  <c r="AI269" i="14" s="1"/>
  <c r="AI149" i="14"/>
  <c r="AI262" i="14" s="1"/>
  <c r="AI161" i="14"/>
  <c r="AI274" i="14" s="1"/>
  <c r="AI172" i="14"/>
  <c r="AI285" i="14" s="1"/>
  <c r="AI147" i="14"/>
  <c r="AI260" i="14" s="1"/>
  <c r="AI153" i="14"/>
  <c r="AI266" i="14" s="1"/>
  <c r="AI167" i="14"/>
  <c r="AI280" i="14" s="1"/>
  <c r="AI179" i="14"/>
  <c r="AI292" i="14" s="1"/>
  <c r="AI176" i="14"/>
  <c r="AI289" i="14" s="1"/>
  <c r="AI155" i="14"/>
  <c r="AI268" i="14" s="1"/>
  <c r="AI166" i="14"/>
  <c r="AI279" i="14" s="1"/>
  <c r="AI175" i="14"/>
  <c r="AI288" i="14" s="1"/>
  <c r="AI152" i="14"/>
  <c r="AI265" i="14" s="1"/>
  <c r="AI127" i="14"/>
  <c r="AI240" i="14" s="1"/>
  <c r="AI148" i="14"/>
  <c r="AI261" i="14" s="1"/>
  <c r="AI163" i="14"/>
  <c r="AI276" i="14" s="1"/>
  <c r="AI132" i="14"/>
  <c r="AI245" i="14" s="1"/>
  <c r="AI171" i="14"/>
  <c r="AI284" i="14" s="1"/>
  <c r="AI162" i="14"/>
  <c r="AI275" i="14" s="1"/>
  <c r="AI168" i="14"/>
  <c r="AI281" i="14" s="1"/>
  <c r="AI83" i="14"/>
  <c r="AH196" i="14"/>
  <c r="AI104" i="14"/>
  <c r="AH217" i="14"/>
  <c r="AI93" i="14"/>
  <c r="AH206" i="14"/>
  <c r="AI85" i="14"/>
  <c r="AH198" i="14"/>
  <c r="AI107" i="14"/>
  <c r="AH220" i="14"/>
  <c r="AI80" i="14"/>
  <c r="AH193" i="14"/>
  <c r="AI100" i="14"/>
  <c r="AH213" i="14"/>
  <c r="AI81" i="14"/>
  <c r="AH194" i="14"/>
  <c r="AI97" i="14"/>
  <c r="AH210" i="14"/>
  <c r="AI105" i="14"/>
  <c r="AH218" i="14"/>
  <c r="AI96" i="14"/>
  <c r="AH209" i="14"/>
  <c r="AI87" i="14"/>
  <c r="AH200" i="14"/>
  <c r="AI91" i="14"/>
  <c r="AH204" i="14"/>
  <c r="AI92" i="14"/>
  <c r="AH205" i="14"/>
  <c r="AI102" i="14"/>
  <c r="AH215" i="14"/>
  <c r="AI90" i="14"/>
  <c r="AH203" i="14"/>
  <c r="AI84" i="14"/>
  <c r="AH197" i="14"/>
  <c r="AI82" i="14"/>
  <c r="AH195" i="14"/>
  <c r="AL58" i="14"/>
  <c r="AM57" i="14" s="1"/>
  <c r="AL56" i="14"/>
  <c r="AN36" i="14"/>
  <c r="AM40" i="14"/>
  <c r="AM49" i="14" s="1"/>
  <c r="H6" i="8"/>
  <c r="H34" i="8" s="1"/>
  <c r="Y38" i="14"/>
  <c r="AD9" i="8"/>
  <c r="AD37" i="8" s="1"/>
  <c r="AJ1" i="15"/>
  <c r="AD4" i="15"/>
  <c r="W23" i="8"/>
  <c r="W24" i="8" s="1"/>
  <c r="AM43" i="14" l="1"/>
  <c r="AM47" i="14" s="1"/>
  <c r="AM39" i="14" s="1"/>
  <c r="AM41" i="14"/>
  <c r="AL42" i="14"/>
  <c r="AK46" i="14"/>
  <c r="AL47" i="14"/>
  <c r="AL39" i="14" s="1"/>
  <c r="AJ96" i="14"/>
  <c r="AI209" i="14"/>
  <c r="AJ105" i="14"/>
  <c r="AI218" i="14"/>
  <c r="AJ107" i="14"/>
  <c r="AI220" i="14"/>
  <c r="AJ89" i="14"/>
  <c r="AI202" i="14"/>
  <c r="AJ80" i="14"/>
  <c r="AI193" i="14"/>
  <c r="AJ86" i="14"/>
  <c r="AI199" i="14"/>
  <c r="AJ101" i="14"/>
  <c r="AI214" i="14"/>
  <c r="AJ95" i="14"/>
  <c r="AI208" i="14"/>
  <c r="AJ85" i="14"/>
  <c r="AI198" i="14"/>
  <c r="AJ97" i="14"/>
  <c r="AI210" i="14"/>
  <c r="AJ94" i="14"/>
  <c r="AI207" i="14"/>
  <c r="AJ103" i="14"/>
  <c r="AI216" i="14"/>
  <c r="AJ104" i="14"/>
  <c r="AI217" i="14"/>
  <c r="AJ83" i="14"/>
  <c r="AI196" i="14"/>
  <c r="AJ106" i="14"/>
  <c r="AI219" i="14"/>
  <c r="AJ100" i="14"/>
  <c r="AI213" i="14"/>
  <c r="AJ84" i="14"/>
  <c r="AI197" i="14"/>
  <c r="AH192" i="14"/>
  <c r="AI7" i="15" s="1"/>
  <c r="X7" i="19" s="1"/>
  <c r="AJ92" i="14"/>
  <c r="AI205" i="14"/>
  <c r="AJ88" i="14"/>
  <c r="AI201" i="14"/>
  <c r="AK74" i="14"/>
  <c r="AJ116" i="14"/>
  <c r="AJ229" i="14" s="1"/>
  <c r="AJ109" i="14"/>
  <c r="AJ222" i="14" s="1"/>
  <c r="AJ113" i="14"/>
  <c r="AJ226" i="14" s="1"/>
  <c r="AJ146" i="14"/>
  <c r="AJ259" i="14" s="1"/>
  <c r="AJ110" i="14"/>
  <c r="AJ223" i="14" s="1"/>
  <c r="AJ145" i="14"/>
  <c r="AJ258" i="14" s="1"/>
  <c r="AJ141" i="14"/>
  <c r="AJ254" i="14" s="1"/>
  <c r="AJ137" i="14"/>
  <c r="AJ250" i="14" s="1"/>
  <c r="AJ133" i="14"/>
  <c r="AJ246" i="14" s="1"/>
  <c r="AJ129" i="14"/>
  <c r="AJ242" i="14" s="1"/>
  <c r="AJ114" i="14"/>
  <c r="AJ227" i="14" s="1"/>
  <c r="AJ125" i="14"/>
  <c r="AJ238" i="14" s="1"/>
  <c r="AJ115" i="14"/>
  <c r="AJ228" i="14" s="1"/>
  <c r="AJ117" i="14"/>
  <c r="AJ230" i="14" s="1"/>
  <c r="AJ118" i="14"/>
  <c r="AJ231" i="14" s="1"/>
  <c r="AJ150" i="14"/>
  <c r="AJ263" i="14" s="1"/>
  <c r="AJ119" i="14"/>
  <c r="AJ232" i="14" s="1"/>
  <c r="AJ120" i="14"/>
  <c r="AJ233" i="14" s="1"/>
  <c r="AJ142" i="14"/>
  <c r="AJ255" i="14" s="1"/>
  <c r="AJ121" i="14"/>
  <c r="AJ234" i="14" s="1"/>
  <c r="AJ138" i="14"/>
  <c r="AJ251" i="14" s="1"/>
  <c r="AJ134" i="14"/>
  <c r="AJ247" i="14" s="1"/>
  <c r="AJ126" i="14"/>
  <c r="AJ239" i="14" s="1"/>
  <c r="AJ168" i="14"/>
  <c r="AJ281" i="14" s="1"/>
  <c r="AJ122" i="14"/>
  <c r="AJ235" i="14" s="1"/>
  <c r="AJ136" i="14"/>
  <c r="AJ249" i="14" s="1"/>
  <c r="AJ158" i="14"/>
  <c r="AJ271" i="14" s="1"/>
  <c r="AJ131" i="14"/>
  <c r="AJ244" i="14" s="1"/>
  <c r="AJ159" i="14"/>
  <c r="AJ272" i="14" s="1"/>
  <c r="AJ108" i="14"/>
  <c r="AJ221" i="14" s="1"/>
  <c r="AJ140" i="14"/>
  <c r="AJ253" i="14" s="1"/>
  <c r="AJ177" i="14"/>
  <c r="AJ290" i="14" s="1"/>
  <c r="AJ173" i="14"/>
  <c r="AJ286" i="14" s="1"/>
  <c r="AJ135" i="14"/>
  <c r="AJ248" i="14" s="1"/>
  <c r="AJ164" i="14"/>
  <c r="AJ277" i="14" s="1"/>
  <c r="AJ130" i="14"/>
  <c r="AJ243" i="14" s="1"/>
  <c r="AJ169" i="14"/>
  <c r="AJ282" i="14" s="1"/>
  <c r="AJ139" i="14"/>
  <c r="AJ252" i="14" s="1"/>
  <c r="AJ111" i="14"/>
  <c r="AJ224" i="14" s="1"/>
  <c r="AJ160" i="14"/>
  <c r="AJ273" i="14" s="1"/>
  <c r="AJ178" i="14"/>
  <c r="AJ291" i="14" s="1"/>
  <c r="AJ144" i="14"/>
  <c r="AJ257" i="14" s="1"/>
  <c r="AJ165" i="14"/>
  <c r="AJ278" i="14" s="1"/>
  <c r="AJ174" i="14"/>
  <c r="AJ287" i="14" s="1"/>
  <c r="AJ151" i="14"/>
  <c r="AJ264" i="14" s="1"/>
  <c r="AJ170" i="14"/>
  <c r="AJ283" i="14" s="1"/>
  <c r="AJ112" i="14"/>
  <c r="AJ225" i="14" s="1"/>
  <c r="AJ124" i="14"/>
  <c r="AJ237" i="14" s="1"/>
  <c r="AJ128" i="14"/>
  <c r="AJ241" i="14" s="1"/>
  <c r="AJ123" i="14"/>
  <c r="AJ236" i="14" s="1"/>
  <c r="AJ156" i="14"/>
  <c r="AJ269" i="14" s="1"/>
  <c r="AJ149" i="14"/>
  <c r="AJ262" i="14" s="1"/>
  <c r="AJ161" i="14"/>
  <c r="AJ274" i="14" s="1"/>
  <c r="AJ143" i="14"/>
  <c r="AJ256" i="14" s="1"/>
  <c r="AJ147" i="14"/>
  <c r="AJ260" i="14" s="1"/>
  <c r="AJ153" i="14"/>
  <c r="AJ266" i="14" s="1"/>
  <c r="AJ167" i="14"/>
  <c r="AJ280" i="14" s="1"/>
  <c r="AJ179" i="14"/>
  <c r="AJ292" i="14" s="1"/>
  <c r="AJ176" i="14"/>
  <c r="AJ289" i="14" s="1"/>
  <c r="AJ155" i="14"/>
  <c r="AJ268" i="14" s="1"/>
  <c r="AJ166" i="14"/>
  <c r="AJ279" i="14" s="1"/>
  <c r="AJ175" i="14"/>
  <c r="AJ288" i="14" s="1"/>
  <c r="AJ152" i="14"/>
  <c r="AJ265" i="14" s="1"/>
  <c r="AJ148" i="14"/>
  <c r="AJ261" i="14" s="1"/>
  <c r="AJ163" i="14"/>
  <c r="AJ276" i="14" s="1"/>
  <c r="AJ172" i="14"/>
  <c r="AJ285" i="14" s="1"/>
  <c r="AJ132" i="14"/>
  <c r="AJ245" i="14" s="1"/>
  <c r="AJ157" i="14"/>
  <c r="AJ270" i="14" s="1"/>
  <c r="AJ154" i="14"/>
  <c r="AJ267" i="14" s="1"/>
  <c r="AJ127" i="14"/>
  <c r="AJ240" i="14" s="1"/>
  <c r="AJ171" i="14"/>
  <c r="AJ284" i="14" s="1"/>
  <c r="AJ162" i="14"/>
  <c r="AJ275" i="14" s="1"/>
  <c r="AJ102" i="14"/>
  <c r="AI215" i="14"/>
  <c r="AJ91" i="14"/>
  <c r="AI204" i="14"/>
  <c r="AJ98" i="14"/>
  <c r="AI211" i="14"/>
  <c r="AJ82" i="14"/>
  <c r="AI195" i="14"/>
  <c r="AJ81" i="14"/>
  <c r="AI194" i="14"/>
  <c r="AJ93" i="14"/>
  <c r="AI206" i="14"/>
  <c r="AJ90" i="14"/>
  <c r="AI203" i="14"/>
  <c r="AJ87" i="14"/>
  <c r="AI200" i="14"/>
  <c r="AJ99" i="14"/>
  <c r="AI212" i="14"/>
  <c r="AM58" i="14"/>
  <c r="AN57" i="14" s="1"/>
  <c r="AM56" i="14"/>
  <c r="Z37" i="14"/>
  <c r="AO36" i="14"/>
  <c r="AN40" i="14"/>
  <c r="AN49" i="14" s="1"/>
  <c r="AE9" i="8"/>
  <c r="AE37" i="8" s="1"/>
  <c r="AK1" i="15"/>
  <c r="AD5" i="15"/>
  <c r="X23" i="8"/>
  <c r="X24" i="8" s="1"/>
  <c r="AN43" i="14" l="1"/>
  <c r="AN41" i="14"/>
  <c r="AN45" i="14" s="1"/>
  <c r="AM42" i="14"/>
  <c r="AL46" i="14"/>
  <c r="AM45" i="14"/>
  <c r="AK88" i="14"/>
  <c r="AJ201" i="14"/>
  <c r="AK106" i="14"/>
  <c r="AJ219" i="14"/>
  <c r="AK94" i="14"/>
  <c r="AJ207" i="14"/>
  <c r="AK95" i="14"/>
  <c r="AJ208" i="14"/>
  <c r="AK103" i="14"/>
  <c r="AJ216" i="14"/>
  <c r="AK101" i="14"/>
  <c r="AJ214" i="14"/>
  <c r="AK92" i="14"/>
  <c r="AJ205" i="14"/>
  <c r="AK102" i="14"/>
  <c r="AJ215" i="14"/>
  <c r="AK86" i="14"/>
  <c r="AJ199" i="14"/>
  <c r="AK97" i="14"/>
  <c r="AJ210" i="14"/>
  <c r="AI192" i="14"/>
  <c r="AJ7" i="15" s="1"/>
  <c r="Y7" i="19" s="1"/>
  <c r="AK90" i="14"/>
  <c r="AJ203" i="14"/>
  <c r="AK80" i="14"/>
  <c r="AJ193" i="14"/>
  <c r="AK98" i="14"/>
  <c r="AJ211" i="14"/>
  <c r="AK91" i="14"/>
  <c r="AJ204" i="14"/>
  <c r="AK84" i="14"/>
  <c r="AJ197" i="14"/>
  <c r="AK89" i="14"/>
  <c r="AJ202" i="14"/>
  <c r="AK85" i="14"/>
  <c r="AJ198" i="14"/>
  <c r="AK99" i="14"/>
  <c r="AJ212" i="14"/>
  <c r="AK107" i="14"/>
  <c r="AJ220" i="14"/>
  <c r="AK100" i="14"/>
  <c r="AJ213" i="14"/>
  <c r="AK104" i="14"/>
  <c r="AJ217" i="14"/>
  <c r="AK87" i="14"/>
  <c r="AJ200" i="14"/>
  <c r="AK93" i="14"/>
  <c r="AJ206" i="14"/>
  <c r="AK81" i="14"/>
  <c r="AJ194" i="14"/>
  <c r="AK82" i="14"/>
  <c r="AJ195" i="14"/>
  <c r="AK105" i="14"/>
  <c r="AJ218" i="14"/>
  <c r="AL74" i="14"/>
  <c r="AK109" i="14"/>
  <c r="AK222" i="14" s="1"/>
  <c r="AK113" i="14"/>
  <c r="AK226" i="14" s="1"/>
  <c r="AK135" i="14"/>
  <c r="AK248" i="14" s="1"/>
  <c r="AK117" i="14"/>
  <c r="AK230" i="14" s="1"/>
  <c r="AK110" i="14"/>
  <c r="AK223" i="14" s="1"/>
  <c r="AK121" i="14"/>
  <c r="AK234" i="14" s="1"/>
  <c r="AK149" i="14"/>
  <c r="AK262" i="14" s="1"/>
  <c r="AK145" i="14"/>
  <c r="AK258" i="14" s="1"/>
  <c r="AK141" i="14"/>
  <c r="AK254" i="14" s="1"/>
  <c r="AK137" i="14"/>
  <c r="AK250" i="14" s="1"/>
  <c r="AK133" i="14"/>
  <c r="AK246" i="14" s="1"/>
  <c r="AK129" i="14"/>
  <c r="AK242" i="14" s="1"/>
  <c r="AK114" i="14"/>
  <c r="AK227" i="14" s="1"/>
  <c r="AK125" i="14"/>
  <c r="AK238" i="14" s="1"/>
  <c r="AK115" i="14"/>
  <c r="AK228" i="14" s="1"/>
  <c r="AK116" i="14"/>
  <c r="AK229" i="14" s="1"/>
  <c r="AK118" i="14"/>
  <c r="AK231" i="14" s="1"/>
  <c r="AK154" i="14"/>
  <c r="AK267" i="14" s="1"/>
  <c r="AK150" i="14"/>
  <c r="AK263" i="14" s="1"/>
  <c r="AK146" i="14"/>
  <c r="AK259" i="14" s="1"/>
  <c r="AK119" i="14"/>
  <c r="AK232" i="14" s="1"/>
  <c r="AK120" i="14"/>
  <c r="AK233" i="14" s="1"/>
  <c r="AK142" i="14"/>
  <c r="AK255" i="14" s="1"/>
  <c r="AK138" i="14"/>
  <c r="AK251" i="14" s="1"/>
  <c r="AK130" i="14"/>
  <c r="AK243" i="14" s="1"/>
  <c r="AK127" i="14"/>
  <c r="AK240" i="14" s="1"/>
  <c r="AK168" i="14"/>
  <c r="AK281" i="14" s="1"/>
  <c r="AK122" i="14"/>
  <c r="AK235" i="14" s="1"/>
  <c r="AK136" i="14"/>
  <c r="AK249" i="14" s="1"/>
  <c r="AK158" i="14"/>
  <c r="AK271" i="14" s="1"/>
  <c r="AK131" i="14"/>
  <c r="AK244" i="14" s="1"/>
  <c r="AK126" i="14"/>
  <c r="AK239" i="14" s="1"/>
  <c r="AK159" i="14"/>
  <c r="AK272" i="14" s="1"/>
  <c r="AK108" i="14"/>
  <c r="AK221" i="14" s="1"/>
  <c r="AK140" i="14"/>
  <c r="AK253" i="14" s="1"/>
  <c r="AK177" i="14"/>
  <c r="AK290" i="14" s="1"/>
  <c r="AK173" i="14"/>
  <c r="AK286" i="14" s="1"/>
  <c r="AK164" i="14"/>
  <c r="AK277" i="14" s="1"/>
  <c r="AK169" i="14"/>
  <c r="AK282" i="14" s="1"/>
  <c r="AK139" i="14"/>
  <c r="AK252" i="14" s="1"/>
  <c r="AK111" i="14"/>
  <c r="AK224" i="14" s="1"/>
  <c r="AK134" i="14"/>
  <c r="AK247" i="14" s="1"/>
  <c r="AK160" i="14"/>
  <c r="AK273" i="14" s="1"/>
  <c r="AK178" i="14"/>
  <c r="AK291" i="14" s="1"/>
  <c r="AK144" i="14"/>
  <c r="AK257" i="14" s="1"/>
  <c r="AK165" i="14"/>
  <c r="AK278" i="14" s="1"/>
  <c r="AK174" i="14"/>
  <c r="AK287" i="14" s="1"/>
  <c r="AK151" i="14"/>
  <c r="AK264" i="14" s="1"/>
  <c r="AK112" i="14"/>
  <c r="AK225" i="14" s="1"/>
  <c r="AK124" i="14"/>
  <c r="AK237" i="14" s="1"/>
  <c r="AK128" i="14"/>
  <c r="AK241" i="14" s="1"/>
  <c r="AK123" i="14"/>
  <c r="AK236" i="14" s="1"/>
  <c r="AK156" i="14"/>
  <c r="AK269" i="14" s="1"/>
  <c r="AK170" i="14"/>
  <c r="AK283" i="14" s="1"/>
  <c r="AK161" i="14"/>
  <c r="AK274" i="14" s="1"/>
  <c r="AK143" i="14"/>
  <c r="AK256" i="14" s="1"/>
  <c r="AK147" i="14"/>
  <c r="AK260" i="14" s="1"/>
  <c r="AK153" i="14"/>
  <c r="AK266" i="14" s="1"/>
  <c r="AK167" i="14"/>
  <c r="AK280" i="14" s="1"/>
  <c r="AK179" i="14"/>
  <c r="AK292" i="14" s="1"/>
  <c r="AK176" i="14"/>
  <c r="AK289" i="14" s="1"/>
  <c r="AK155" i="14"/>
  <c r="AK268" i="14" s="1"/>
  <c r="AK166" i="14"/>
  <c r="AK279" i="14" s="1"/>
  <c r="AK175" i="14"/>
  <c r="AK288" i="14" s="1"/>
  <c r="AK152" i="14"/>
  <c r="AK265" i="14" s="1"/>
  <c r="AK148" i="14"/>
  <c r="AK261" i="14" s="1"/>
  <c r="AK163" i="14"/>
  <c r="AK276" i="14" s="1"/>
  <c r="AK172" i="14"/>
  <c r="AK285" i="14" s="1"/>
  <c r="AK132" i="14"/>
  <c r="AK245" i="14" s="1"/>
  <c r="AK157" i="14"/>
  <c r="AK270" i="14" s="1"/>
  <c r="AK171" i="14"/>
  <c r="AK284" i="14" s="1"/>
  <c r="AK162" i="14"/>
  <c r="AK275" i="14" s="1"/>
  <c r="AK83" i="14"/>
  <c r="AJ196" i="14"/>
  <c r="AK96" i="14"/>
  <c r="AJ209" i="14"/>
  <c r="AN58" i="14"/>
  <c r="AO57" i="14" s="1"/>
  <c r="AN56" i="14"/>
  <c r="AO40" i="14"/>
  <c r="AO49" i="14" s="1"/>
  <c r="AP36" i="14"/>
  <c r="Z38" i="14"/>
  <c r="AF9" i="8"/>
  <c r="AF37" i="8" s="1"/>
  <c r="AL1" i="15"/>
  <c r="AE4" i="15"/>
  <c r="Y23" i="8"/>
  <c r="Y24" i="8" s="1"/>
  <c r="AO43" i="14" l="1"/>
  <c r="AO47" i="14" s="1"/>
  <c r="AO39" i="14" s="1"/>
  <c r="AO41" i="14"/>
  <c r="AN42" i="14"/>
  <c r="AM46" i="14"/>
  <c r="AN47" i="14"/>
  <c r="AN39" i="14" s="1"/>
  <c r="AL85" i="14"/>
  <c r="AK198" i="14"/>
  <c r="AL91" i="14"/>
  <c r="AK204" i="14"/>
  <c r="AL102" i="14"/>
  <c r="AK215" i="14"/>
  <c r="AL80" i="14"/>
  <c r="AK193" i="14"/>
  <c r="AL92" i="14"/>
  <c r="AK205" i="14"/>
  <c r="AL99" i="14"/>
  <c r="AK212" i="14"/>
  <c r="AL82" i="14"/>
  <c r="AK195" i="14"/>
  <c r="AL84" i="14"/>
  <c r="AK197" i="14"/>
  <c r="AL101" i="14"/>
  <c r="AK214" i="14"/>
  <c r="AL107" i="14"/>
  <c r="AK220" i="14"/>
  <c r="AM74" i="14"/>
  <c r="AL116" i="14"/>
  <c r="AL229" i="14" s="1"/>
  <c r="AL109" i="14"/>
  <c r="AL222" i="14" s="1"/>
  <c r="AL113" i="14"/>
  <c r="AL226" i="14" s="1"/>
  <c r="AL124" i="14"/>
  <c r="AL237" i="14" s="1"/>
  <c r="AL164" i="14"/>
  <c r="AL277" i="14" s="1"/>
  <c r="AL117" i="14"/>
  <c r="AL230" i="14" s="1"/>
  <c r="AL110" i="14"/>
  <c r="AL223" i="14" s="1"/>
  <c r="AL149" i="14"/>
  <c r="AL262" i="14" s="1"/>
  <c r="AL177" i="14"/>
  <c r="AL290" i="14" s="1"/>
  <c r="AL145" i="14"/>
  <c r="AL258" i="14" s="1"/>
  <c r="AL141" i="14"/>
  <c r="AL254" i="14" s="1"/>
  <c r="AL137" i="14"/>
  <c r="AL250" i="14" s="1"/>
  <c r="AL133" i="14"/>
  <c r="AL246" i="14" s="1"/>
  <c r="AL129" i="14"/>
  <c r="AL242" i="14" s="1"/>
  <c r="AL114" i="14"/>
  <c r="AL227" i="14" s="1"/>
  <c r="AL125" i="14"/>
  <c r="AL238" i="14" s="1"/>
  <c r="AL115" i="14"/>
  <c r="AL228" i="14" s="1"/>
  <c r="AL158" i="14"/>
  <c r="AL271" i="14" s="1"/>
  <c r="AL118" i="14"/>
  <c r="AL231" i="14" s="1"/>
  <c r="AL154" i="14"/>
  <c r="AL267" i="14" s="1"/>
  <c r="AL146" i="14"/>
  <c r="AL259" i="14" s="1"/>
  <c r="AL119" i="14"/>
  <c r="AL232" i="14" s="1"/>
  <c r="AL120" i="14"/>
  <c r="AL233" i="14" s="1"/>
  <c r="AL121" i="14"/>
  <c r="AL234" i="14" s="1"/>
  <c r="AL142" i="14"/>
  <c r="AL255" i="14" s="1"/>
  <c r="AL134" i="14"/>
  <c r="AL247" i="14" s="1"/>
  <c r="AL163" i="14"/>
  <c r="AL276" i="14" s="1"/>
  <c r="AL127" i="14"/>
  <c r="AL240" i="14" s="1"/>
  <c r="AL168" i="14"/>
  <c r="AL281" i="14" s="1"/>
  <c r="AL122" i="14"/>
  <c r="AL235" i="14" s="1"/>
  <c r="AL136" i="14"/>
  <c r="AL249" i="14" s="1"/>
  <c r="AL131" i="14"/>
  <c r="AL244" i="14" s="1"/>
  <c r="AL126" i="14"/>
  <c r="AL239" i="14" s="1"/>
  <c r="AL159" i="14"/>
  <c r="AL272" i="14" s="1"/>
  <c r="AL108" i="14"/>
  <c r="AL221" i="14" s="1"/>
  <c r="AL140" i="14"/>
  <c r="AL253" i="14" s="1"/>
  <c r="AL135" i="14"/>
  <c r="AL248" i="14" s="1"/>
  <c r="AL173" i="14"/>
  <c r="AL286" i="14" s="1"/>
  <c r="AL130" i="14"/>
  <c r="AL243" i="14" s="1"/>
  <c r="AL169" i="14"/>
  <c r="AL282" i="14" s="1"/>
  <c r="AL139" i="14"/>
  <c r="AL252" i="14" s="1"/>
  <c r="AL111" i="14"/>
  <c r="AL224" i="14" s="1"/>
  <c r="AL160" i="14"/>
  <c r="AL273" i="14" s="1"/>
  <c r="AL150" i="14"/>
  <c r="AL263" i="14" s="1"/>
  <c r="AL178" i="14"/>
  <c r="AL291" i="14" s="1"/>
  <c r="AL144" i="14"/>
  <c r="AL257" i="14" s="1"/>
  <c r="AL165" i="14"/>
  <c r="AL278" i="14" s="1"/>
  <c r="AL174" i="14"/>
  <c r="AL287" i="14" s="1"/>
  <c r="AL112" i="14"/>
  <c r="AL225" i="14" s="1"/>
  <c r="AL128" i="14"/>
  <c r="AL241" i="14" s="1"/>
  <c r="AL123" i="14"/>
  <c r="AL236" i="14" s="1"/>
  <c r="AL156" i="14"/>
  <c r="AL269" i="14" s="1"/>
  <c r="AL170" i="14"/>
  <c r="AL283" i="14" s="1"/>
  <c r="AL175" i="14"/>
  <c r="AL288" i="14" s="1"/>
  <c r="AL161" i="14"/>
  <c r="AL274" i="14" s="1"/>
  <c r="AL143" i="14"/>
  <c r="AL256" i="14" s="1"/>
  <c r="AL147" i="14"/>
  <c r="AL260" i="14" s="1"/>
  <c r="AL153" i="14"/>
  <c r="AL266" i="14" s="1"/>
  <c r="AL167" i="14"/>
  <c r="AL280" i="14" s="1"/>
  <c r="AL179" i="14"/>
  <c r="AL292" i="14" s="1"/>
  <c r="AL176" i="14"/>
  <c r="AL289" i="14" s="1"/>
  <c r="AL155" i="14"/>
  <c r="AL268" i="14" s="1"/>
  <c r="AL166" i="14"/>
  <c r="AL279" i="14" s="1"/>
  <c r="AL152" i="14"/>
  <c r="AL265" i="14" s="1"/>
  <c r="AL148" i="14"/>
  <c r="AL261" i="14" s="1"/>
  <c r="AL172" i="14"/>
  <c r="AL285" i="14" s="1"/>
  <c r="AL132" i="14"/>
  <c r="AL245" i="14" s="1"/>
  <c r="AL151" i="14"/>
  <c r="AL264" i="14" s="1"/>
  <c r="AL157" i="14"/>
  <c r="AL270" i="14" s="1"/>
  <c r="AL171" i="14"/>
  <c r="AL284" i="14" s="1"/>
  <c r="AL162" i="14"/>
  <c r="AL275" i="14" s="1"/>
  <c r="AL138" i="14"/>
  <c r="AL251" i="14" s="1"/>
  <c r="AL103" i="14"/>
  <c r="AK216" i="14"/>
  <c r="AL93" i="14"/>
  <c r="AK206" i="14"/>
  <c r="AL105" i="14"/>
  <c r="AK218" i="14"/>
  <c r="AL95" i="14"/>
  <c r="AK208" i="14"/>
  <c r="AL98" i="14"/>
  <c r="AK211" i="14"/>
  <c r="AL87" i="14"/>
  <c r="AK200" i="14"/>
  <c r="AL86" i="14"/>
  <c r="AK199" i="14"/>
  <c r="AL94" i="14"/>
  <c r="AK207" i="14"/>
  <c r="AL97" i="14"/>
  <c r="AK210" i="14"/>
  <c r="AL104" i="14"/>
  <c r="AK217" i="14"/>
  <c r="AL89" i="14"/>
  <c r="AK202" i="14"/>
  <c r="AL90" i="14"/>
  <c r="AK203" i="14"/>
  <c r="AL106" i="14"/>
  <c r="AK219" i="14"/>
  <c r="AJ192" i="14"/>
  <c r="AK7" i="15" s="1"/>
  <c r="Z7" i="19" s="1"/>
  <c r="AL96" i="14"/>
  <c r="AK209" i="14"/>
  <c r="AL81" i="14"/>
  <c r="AK194" i="14"/>
  <c r="AL100" i="14"/>
  <c r="AK213" i="14"/>
  <c r="AL83" i="14"/>
  <c r="AK196" i="14"/>
  <c r="AL88" i="14"/>
  <c r="AK201" i="14"/>
  <c r="AO58" i="14"/>
  <c r="AP57" i="14" s="1"/>
  <c r="AO56" i="14"/>
  <c r="AA37" i="14"/>
  <c r="AP40" i="14"/>
  <c r="AP49" i="14" s="1"/>
  <c r="AQ36" i="14"/>
  <c r="AG9" i="8"/>
  <c r="AG37" i="8" s="1"/>
  <c r="AM1" i="15"/>
  <c r="AE5" i="15"/>
  <c r="Z23" i="8"/>
  <c r="Z24" i="8" s="1"/>
  <c r="AP43" i="14" l="1"/>
  <c r="AP41" i="14"/>
  <c r="AP45" i="14" s="1"/>
  <c r="AO42" i="14"/>
  <c r="AN46" i="14"/>
  <c r="AO45" i="14"/>
  <c r="AM104" i="14"/>
  <c r="AL217" i="14"/>
  <c r="AM97" i="14"/>
  <c r="AL210" i="14"/>
  <c r="AM94" i="14"/>
  <c r="AL207" i="14"/>
  <c r="AM86" i="14"/>
  <c r="AL199" i="14"/>
  <c r="AM84" i="14"/>
  <c r="AL197" i="14"/>
  <c r="AM98" i="14"/>
  <c r="AL211" i="14"/>
  <c r="AM90" i="14"/>
  <c r="AL203" i="14"/>
  <c r="AM95" i="14"/>
  <c r="AL208" i="14"/>
  <c r="AM93" i="14"/>
  <c r="AL206" i="14"/>
  <c r="AM82" i="14"/>
  <c r="AL195" i="14"/>
  <c r="AM112" i="14"/>
  <c r="AM225" i="14" s="1"/>
  <c r="AM109" i="14"/>
  <c r="AM222" i="14" s="1"/>
  <c r="AM113" i="14"/>
  <c r="AM226" i="14" s="1"/>
  <c r="AM153" i="14"/>
  <c r="AM266" i="14" s="1"/>
  <c r="AM110" i="14"/>
  <c r="AM223" i="14" s="1"/>
  <c r="AM149" i="14"/>
  <c r="AM262" i="14" s="1"/>
  <c r="AM145" i="14"/>
  <c r="AM258" i="14" s="1"/>
  <c r="AM141" i="14"/>
  <c r="AM254" i="14" s="1"/>
  <c r="AM137" i="14"/>
  <c r="AM250" i="14" s="1"/>
  <c r="AM133" i="14"/>
  <c r="AM246" i="14" s="1"/>
  <c r="AM129" i="14"/>
  <c r="AM242" i="14" s="1"/>
  <c r="AM114" i="14"/>
  <c r="AM227" i="14" s="1"/>
  <c r="AM117" i="14"/>
  <c r="AM230" i="14" s="1"/>
  <c r="AM125" i="14"/>
  <c r="AM238" i="14" s="1"/>
  <c r="AM115" i="14"/>
  <c r="AM228" i="14" s="1"/>
  <c r="AM116" i="14"/>
  <c r="AM229" i="14" s="1"/>
  <c r="AM158" i="14"/>
  <c r="AM271" i="14" s="1"/>
  <c r="AM118" i="14"/>
  <c r="AM231" i="14" s="1"/>
  <c r="AM150" i="14"/>
  <c r="AM263" i="14" s="1"/>
  <c r="AM119" i="14"/>
  <c r="AM232" i="14" s="1"/>
  <c r="AM120" i="14"/>
  <c r="AM233" i="14" s="1"/>
  <c r="AM121" i="14"/>
  <c r="AM234" i="14" s="1"/>
  <c r="AM138" i="14"/>
  <c r="AM251" i="14" s="1"/>
  <c r="AM132" i="14"/>
  <c r="AM245" i="14" s="1"/>
  <c r="AM163" i="14"/>
  <c r="AM276" i="14" s="1"/>
  <c r="AM127" i="14"/>
  <c r="AM240" i="14" s="1"/>
  <c r="AM168" i="14"/>
  <c r="AM281" i="14" s="1"/>
  <c r="AM122" i="14"/>
  <c r="AM235" i="14" s="1"/>
  <c r="AM136" i="14"/>
  <c r="AM249" i="14" s="1"/>
  <c r="AM131" i="14"/>
  <c r="AM244" i="14" s="1"/>
  <c r="AM126" i="14"/>
  <c r="AM239" i="14" s="1"/>
  <c r="AM159" i="14"/>
  <c r="AM272" i="14" s="1"/>
  <c r="AM177" i="14"/>
  <c r="AM290" i="14" s="1"/>
  <c r="AM108" i="14"/>
  <c r="AM221" i="14" s="1"/>
  <c r="AM140" i="14"/>
  <c r="AM253" i="14" s="1"/>
  <c r="AM135" i="14"/>
  <c r="AM248" i="14" s="1"/>
  <c r="AM164" i="14"/>
  <c r="AM277" i="14" s="1"/>
  <c r="AM173" i="14"/>
  <c r="AM286" i="14" s="1"/>
  <c r="AM130" i="14"/>
  <c r="AM243" i="14" s="1"/>
  <c r="AM169" i="14"/>
  <c r="AM282" i="14" s="1"/>
  <c r="AM139" i="14"/>
  <c r="AM252" i="14" s="1"/>
  <c r="AM111" i="14"/>
  <c r="AM224" i="14" s="1"/>
  <c r="AM134" i="14"/>
  <c r="AM247" i="14" s="1"/>
  <c r="AM160" i="14"/>
  <c r="AM273" i="14" s="1"/>
  <c r="AM178" i="14"/>
  <c r="AM291" i="14" s="1"/>
  <c r="AM124" i="14"/>
  <c r="AM237" i="14" s="1"/>
  <c r="AM128" i="14"/>
  <c r="AM241" i="14" s="1"/>
  <c r="AM156" i="14"/>
  <c r="AM269" i="14" s="1"/>
  <c r="AM170" i="14"/>
  <c r="AM283" i="14" s="1"/>
  <c r="AM161" i="14"/>
  <c r="AM274" i="14" s="1"/>
  <c r="AM143" i="14"/>
  <c r="AM256" i="14" s="1"/>
  <c r="AM147" i="14"/>
  <c r="AM260" i="14" s="1"/>
  <c r="AM176" i="14"/>
  <c r="AM289" i="14" s="1"/>
  <c r="AM167" i="14"/>
  <c r="AM280" i="14" s="1"/>
  <c r="AM179" i="14"/>
  <c r="AM292" i="14" s="1"/>
  <c r="AM155" i="14"/>
  <c r="AM268" i="14" s="1"/>
  <c r="AM166" i="14"/>
  <c r="AM279" i="14" s="1"/>
  <c r="AM175" i="14"/>
  <c r="AM288" i="14" s="1"/>
  <c r="AM152" i="14"/>
  <c r="AM265" i="14" s="1"/>
  <c r="AM144" i="14"/>
  <c r="AM257" i="14" s="1"/>
  <c r="AM148" i="14"/>
  <c r="AM261" i="14" s="1"/>
  <c r="AM172" i="14"/>
  <c r="AM285" i="14" s="1"/>
  <c r="AM151" i="14"/>
  <c r="AM264" i="14" s="1"/>
  <c r="AM146" i="14"/>
  <c r="AM259" i="14" s="1"/>
  <c r="AM142" i="14"/>
  <c r="AM255" i="14" s="1"/>
  <c r="AM165" i="14"/>
  <c r="AM278" i="14" s="1"/>
  <c r="AM154" i="14"/>
  <c r="AM267" i="14" s="1"/>
  <c r="AM157" i="14"/>
  <c r="AM270" i="14" s="1"/>
  <c r="AM123" i="14"/>
  <c r="AM236" i="14" s="1"/>
  <c r="AM174" i="14"/>
  <c r="AM287" i="14" s="1"/>
  <c r="AM171" i="14"/>
  <c r="AM284" i="14" s="1"/>
  <c r="AM162" i="14"/>
  <c r="AM275" i="14" s="1"/>
  <c r="AN74" i="14"/>
  <c r="AM101" i="14"/>
  <c r="AL214" i="14"/>
  <c r="AM99" i="14"/>
  <c r="AL212" i="14"/>
  <c r="AM105" i="14"/>
  <c r="AL218" i="14"/>
  <c r="AM92" i="14"/>
  <c r="AL205" i="14"/>
  <c r="AM106" i="14"/>
  <c r="AL219" i="14"/>
  <c r="AK192" i="14"/>
  <c r="AL7" i="15" s="1"/>
  <c r="AA7" i="19" s="1"/>
  <c r="AM88" i="14"/>
  <c r="AL201" i="14"/>
  <c r="AM80" i="14"/>
  <c r="AL193" i="14"/>
  <c r="AM89" i="14"/>
  <c r="AL202" i="14"/>
  <c r="AM107" i="14"/>
  <c r="AL220" i="14"/>
  <c r="AM81" i="14"/>
  <c r="AL194" i="14"/>
  <c r="AM102" i="14"/>
  <c r="AL215" i="14"/>
  <c r="AM83" i="14"/>
  <c r="AL196" i="14"/>
  <c r="AM100" i="14"/>
  <c r="AL213" i="14"/>
  <c r="AM87" i="14"/>
  <c r="AL200" i="14"/>
  <c r="AM96" i="14"/>
  <c r="AL209" i="14"/>
  <c r="AM91" i="14"/>
  <c r="AL204" i="14"/>
  <c r="AM103" i="14"/>
  <c r="AL216" i="14"/>
  <c r="AM85" i="14"/>
  <c r="AL198" i="14"/>
  <c r="AP58" i="14"/>
  <c r="AQ57" i="14" s="1"/>
  <c r="AP56" i="14"/>
  <c r="AQ40" i="14"/>
  <c r="AQ49" i="14" s="1"/>
  <c r="AR36" i="14"/>
  <c r="AA38" i="14"/>
  <c r="AH9" i="8"/>
  <c r="AH37" i="8" s="1"/>
  <c r="AN1" i="15"/>
  <c r="AF4" i="15"/>
  <c r="AA23" i="8"/>
  <c r="AA24" i="8" s="1"/>
  <c r="AQ41" i="14" l="1"/>
  <c r="AQ45" i="14" s="1"/>
  <c r="AQ43" i="14"/>
  <c r="AQ47" i="14" s="1"/>
  <c r="AQ39" i="14" s="1"/>
  <c r="AP42" i="14"/>
  <c r="AO46" i="14"/>
  <c r="AP47" i="14"/>
  <c r="AP39" i="14" s="1"/>
  <c r="AN102" i="14"/>
  <c r="AM215" i="14"/>
  <c r="AN101" i="14"/>
  <c r="AM214" i="14"/>
  <c r="AN95" i="14"/>
  <c r="AM208" i="14"/>
  <c r="AN106" i="14"/>
  <c r="AM219" i="14"/>
  <c r="AN92" i="14"/>
  <c r="AM205" i="14"/>
  <c r="AN90" i="14"/>
  <c r="AM203" i="14"/>
  <c r="AN99" i="14"/>
  <c r="AM212" i="14"/>
  <c r="AN107" i="14"/>
  <c r="AM220" i="14"/>
  <c r="AN98" i="14"/>
  <c r="AM211" i="14"/>
  <c r="AN81" i="14"/>
  <c r="AM194" i="14"/>
  <c r="AN88" i="14"/>
  <c r="AM201" i="14"/>
  <c r="AN84" i="14"/>
  <c r="AM197" i="14"/>
  <c r="AN80" i="14"/>
  <c r="AM193" i="14"/>
  <c r="AN85" i="14"/>
  <c r="AM198" i="14"/>
  <c r="AN86" i="14"/>
  <c r="AM199" i="14"/>
  <c r="AN93" i="14"/>
  <c r="AM206" i="14"/>
  <c r="AN87" i="14"/>
  <c r="AM200" i="14"/>
  <c r="AN94" i="14"/>
  <c r="AM207" i="14"/>
  <c r="AL192" i="14"/>
  <c r="AM7" i="15" s="1"/>
  <c r="AB7" i="19" s="1"/>
  <c r="AN96" i="14"/>
  <c r="AM209" i="14"/>
  <c r="AN105" i="14"/>
  <c r="AM218" i="14"/>
  <c r="AN100" i="14"/>
  <c r="AM213" i="14"/>
  <c r="AN97" i="14"/>
  <c r="AM210" i="14"/>
  <c r="AN89" i="14"/>
  <c r="AM202" i="14"/>
  <c r="AN82" i="14"/>
  <c r="AM195" i="14"/>
  <c r="AO74" i="14"/>
  <c r="AN112" i="14"/>
  <c r="AN225" i="14" s="1"/>
  <c r="AN109" i="14"/>
  <c r="AN222" i="14" s="1"/>
  <c r="AN142" i="14"/>
  <c r="AN255" i="14" s="1"/>
  <c r="AN113" i="14"/>
  <c r="AN226" i="14" s="1"/>
  <c r="AN110" i="14"/>
  <c r="AN223" i="14" s="1"/>
  <c r="AN153" i="14"/>
  <c r="AN266" i="14" s="1"/>
  <c r="AN149" i="14"/>
  <c r="AN262" i="14" s="1"/>
  <c r="AN145" i="14"/>
  <c r="AN258" i="14" s="1"/>
  <c r="AN141" i="14"/>
  <c r="AN254" i="14" s="1"/>
  <c r="AN137" i="14"/>
  <c r="AN250" i="14" s="1"/>
  <c r="AN133" i="14"/>
  <c r="AN246" i="14" s="1"/>
  <c r="AN129" i="14"/>
  <c r="AN242" i="14" s="1"/>
  <c r="AN114" i="14"/>
  <c r="AN227" i="14" s="1"/>
  <c r="AN117" i="14"/>
  <c r="AN230" i="14" s="1"/>
  <c r="AN125" i="14"/>
  <c r="AN238" i="14" s="1"/>
  <c r="AN115" i="14"/>
  <c r="AN228" i="14" s="1"/>
  <c r="AN116" i="14"/>
  <c r="AN229" i="14" s="1"/>
  <c r="AN118" i="14"/>
  <c r="AN231" i="14" s="1"/>
  <c r="AN146" i="14"/>
  <c r="AN259" i="14" s="1"/>
  <c r="AN119" i="14"/>
  <c r="AN232" i="14" s="1"/>
  <c r="AN120" i="14"/>
  <c r="AN233" i="14" s="1"/>
  <c r="AN121" i="14"/>
  <c r="AN234" i="14" s="1"/>
  <c r="AN157" i="14"/>
  <c r="AN270" i="14" s="1"/>
  <c r="AN172" i="14"/>
  <c r="AN285" i="14" s="1"/>
  <c r="AN132" i="14"/>
  <c r="AN245" i="14" s="1"/>
  <c r="AN163" i="14"/>
  <c r="AN276" i="14" s="1"/>
  <c r="AN127" i="14"/>
  <c r="AN240" i="14" s="1"/>
  <c r="AN158" i="14"/>
  <c r="AN271" i="14" s="1"/>
  <c r="AN168" i="14"/>
  <c r="AN281" i="14" s="1"/>
  <c r="AN122" i="14"/>
  <c r="AN235" i="14" s="1"/>
  <c r="AN136" i="14"/>
  <c r="AN249" i="14" s="1"/>
  <c r="AN131" i="14"/>
  <c r="AN244" i="14" s="1"/>
  <c r="AN126" i="14"/>
  <c r="AN239" i="14" s="1"/>
  <c r="AN159" i="14"/>
  <c r="AN272" i="14" s="1"/>
  <c r="AN177" i="14"/>
  <c r="AN290" i="14" s="1"/>
  <c r="AN108" i="14"/>
  <c r="AN221" i="14" s="1"/>
  <c r="AN140" i="14"/>
  <c r="AN253" i="14" s="1"/>
  <c r="AN135" i="14"/>
  <c r="AN248" i="14" s="1"/>
  <c r="AN164" i="14"/>
  <c r="AN277" i="14" s="1"/>
  <c r="AN173" i="14"/>
  <c r="AN286" i="14" s="1"/>
  <c r="AN130" i="14"/>
  <c r="AN243" i="14" s="1"/>
  <c r="AN169" i="14"/>
  <c r="AN282" i="14" s="1"/>
  <c r="AN139" i="14"/>
  <c r="AN252" i="14" s="1"/>
  <c r="AN111" i="14"/>
  <c r="AN224" i="14" s="1"/>
  <c r="AN134" i="14"/>
  <c r="AN247" i="14" s="1"/>
  <c r="AN150" i="14"/>
  <c r="AN263" i="14" s="1"/>
  <c r="AN160" i="14"/>
  <c r="AN273" i="14" s="1"/>
  <c r="AN124" i="14"/>
  <c r="AN237" i="14" s="1"/>
  <c r="AN128" i="14"/>
  <c r="AN241" i="14" s="1"/>
  <c r="AN151" i="14"/>
  <c r="AN264" i="14" s="1"/>
  <c r="AN156" i="14"/>
  <c r="AN269" i="14" s="1"/>
  <c r="AN170" i="14"/>
  <c r="AN283" i="14" s="1"/>
  <c r="AN161" i="14"/>
  <c r="AN274" i="14" s="1"/>
  <c r="AN143" i="14"/>
  <c r="AN256" i="14" s="1"/>
  <c r="AN147" i="14"/>
  <c r="AN260" i="14" s="1"/>
  <c r="AN167" i="14"/>
  <c r="AN280" i="14" s="1"/>
  <c r="AN179" i="14"/>
  <c r="AN292" i="14" s="1"/>
  <c r="AN176" i="14"/>
  <c r="AN289" i="14" s="1"/>
  <c r="AN155" i="14"/>
  <c r="AN268" i="14" s="1"/>
  <c r="AN138" i="14"/>
  <c r="AN251" i="14" s="1"/>
  <c r="AN166" i="14"/>
  <c r="AN279" i="14" s="1"/>
  <c r="AN178" i="14"/>
  <c r="AN291" i="14" s="1"/>
  <c r="AN175" i="14"/>
  <c r="AN288" i="14" s="1"/>
  <c r="AN152" i="14"/>
  <c r="AN265" i="14" s="1"/>
  <c r="AN144" i="14"/>
  <c r="AN257" i="14" s="1"/>
  <c r="AN148" i="14"/>
  <c r="AN261" i="14" s="1"/>
  <c r="AN165" i="14"/>
  <c r="AN278" i="14" s="1"/>
  <c r="AN154" i="14"/>
  <c r="AN267" i="14" s="1"/>
  <c r="AN123" i="14"/>
  <c r="AN236" i="14" s="1"/>
  <c r="AN174" i="14"/>
  <c r="AN287" i="14" s="1"/>
  <c r="AN171" i="14"/>
  <c r="AN284" i="14" s="1"/>
  <c r="AN162" i="14"/>
  <c r="AN275" i="14" s="1"/>
  <c r="AN103" i="14"/>
  <c r="AM216" i="14"/>
  <c r="AN91" i="14"/>
  <c r="AM204" i="14"/>
  <c r="AN83" i="14"/>
  <c r="AM196" i="14"/>
  <c r="AN104" i="14"/>
  <c r="AM217" i="14"/>
  <c r="AQ58" i="14"/>
  <c r="AR57" i="14" s="1"/>
  <c r="AQ56" i="14"/>
  <c r="AS36" i="14"/>
  <c r="AR40" i="14"/>
  <c r="AR49" i="14" s="1"/>
  <c r="AB37" i="14"/>
  <c r="AI9" i="8"/>
  <c r="AI37" i="8" s="1"/>
  <c r="AO1" i="15"/>
  <c r="AF5" i="15"/>
  <c r="AB23" i="8"/>
  <c r="AB24" i="8" s="1"/>
  <c r="AR43" i="14" l="1"/>
  <c r="AR47" i="14" s="1"/>
  <c r="AR39" i="14" s="1"/>
  <c r="AR41" i="14"/>
  <c r="AR45" i="14" s="1"/>
  <c r="AQ42" i="14"/>
  <c r="AP46" i="14"/>
  <c r="AO85" i="14"/>
  <c r="AN198" i="14"/>
  <c r="AO81" i="14"/>
  <c r="AN194" i="14"/>
  <c r="AO99" i="14"/>
  <c r="AN212" i="14"/>
  <c r="AO87" i="14"/>
  <c r="AN200" i="14"/>
  <c r="AO90" i="14"/>
  <c r="AN203" i="14"/>
  <c r="AO86" i="14"/>
  <c r="AN199" i="14"/>
  <c r="AO82" i="14"/>
  <c r="AN195" i="14"/>
  <c r="AO92" i="14"/>
  <c r="AN205" i="14"/>
  <c r="AO94" i="14"/>
  <c r="AN207" i="14"/>
  <c r="AO91" i="14"/>
  <c r="AN204" i="14"/>
  <c r="AO106" i="14"/>
  <c r="AN219" i="14"/>
  <c r="AO84" i="14"/>
  <c r="AN197" i="14"/>
  <c r="AO97" i="14"/>
  <c r="AN210" i="14"/>
  <c r="AO104" i="14"/>
  <c r="AN217" i="14"/>
  <c r="AO89" i="14"/>
  <c r="AN202" i="14"/>
  <c r="AO95" i="14"/>
  <c r="AN208" i="14"/>
  <c r="AO80" i="14"/>
  <c r="AN193" i="14"/>
  <c r="AO88" i="14"/>
  <c r="AN201" i="14"/>
  <c r="AO98" i="14"/>
  <c r="AN211" i="14"/>
  <c r="AO100" i="14"/>
  <c r="AN213" i="14"/>
  <c r="AO107" i="14"/>
  <c r="AN220" i="14"/>
  <c r="AO101" i="14"/>
  <c r="AN214" i="14"/>
  <c r="AO93" i="14"/>
  <c r="AN206" i="14"/>
  <c r="AO103" i="14"/>
  <c r="AN216" i="14"/>
  <c r="AO105" i="14"/>
  <c r="AN218" i="14"/>
  <c r="AM192" i="14"/>
  <c r="AN7" i="15" s="1"/>
  <c r="AC7" i="19" s="1"/>
  <c r="AO83" i="14"/>
  <c r="AN196" i="14"/>
  <c r="AP74" i="14"/>
  <c r="AO109" i="14"/>
  <c r="AO222" i="14" s="1"/>
  <c r="AO120" i="14"/>
  <c r="AO233" i="14" s="1"/>
  <c r="AO131" i="14"/>
  <c r="AO244" i="14" s="1"/>
  <c r="AO113" i="14"/>
  <c r="AO226" i="14" s="1"/>
  <c r="AO117" i="14"/>
  <c r="AO230" i="14" s="1"/>
  <c r="AO124" i="14"/>
  <c r="AO237" i="14" s="1"/>
  <c r="AO157" i="14"/>
  <c r="AO270" i="14" s="1"/>
  <c r="AO110" i="14"/>
  <c r="AO223" i="14" s="1"/>
  <c r="AO153" i="14"/>
  <c r="AO266" i="14" s="1"/>
  <c r="AO149" i="14"/>
  <c r="AO262" i="14" s="1"/>
  <c r="AO145" i="14"/>
  <c r="AO258" i="14" s="1"/>
  <c r="AO141" i="14"/>
  <c r="AO254" i="14" s="1"/>
  <c r="AO137" i="14"/>
  <c r="AO250" i="14" s="1"/>
  <c r="AO133" i="14"/>
  <c r="AO246" i="14" s="1"/>
  <c r="AO129" i="14"/>
  <c r="AO242" i="14" s="1"/>
  <c r="AO114" i="14"/>
  <c r="AO227" i="14" s="1"/>
  <c r="AO125" i="14"/>
  <c r="AO238" i="14" s="1"/>
  <c r="AO115" i="14"/>
  <c r="AO228" i="14" s="1"/>
  <c r="AO116" i="14"/>
  <c r="AO229" i="14" s="1"/>
  <c r="AO118" i="14"/>
  <c r="AO231" i="14" s="1"/>
  <c r="AO150" i="14"/>
  <c r="AO263" i="14" s="1"/>
  <c r="AO119" i="14"/>
  <c r="AO232" i="14" s="1"/>
  <c r="AO121" i="14"/>
  <c r="AO234" i="14" s="1"/>
  <c r="AO123" i="14"/>
  <c r="AO236" i="14" s="1"/>
  <c r="AO146" i="14"/>
  <c r="AO259" i="14" s="1"/>
  <c r="AO176" i="14"/>
  <c r="AO289" i="14" s="1"/>
  <c r="AO172" i="14"/>
  <c r="AO285" i="14" s="1"/>
  <c r="AO132" i="14"/>
  <c r="AO245" i="14" s="1"/>
  <c r="AO163" i="14"/>
  <c r="AO276" i="14" s="1"/>
  <c r="AO127" i="14"/>
  <c r="AO240" i="14" s="1"/>
  <c r="AO158" i="14"/>
  <c r="AO271" i="14" s="1"/>
  <c r="AO168" i="14"/>
  <c r="AO281" i="14" s="1"/>
  <c r="AO122" i="14"/>
  <c r="AO235" i="14" s="1"/>
  <c r="AO136" i="14"/>
  <c r="AO249" i="14" s="1"/>
  <c r="AO126" i="14"/>
  <c r="AO239" i="14" s="1"/>
  <c r="AO159" i="14"/>
  <c r="AO272" i="14" s="1"/>
  <c r="AO177" i="14"/>
  <c r="AO290" i="14" s="1"/>
  <c r="AO108" i="14"/>
  <c r="AO221" i="14" s="1"/>
  <c r="AO140" i="14"/>
  <c r="AO253" i="14" s="1"/>
  <c r="AO135" i="14"/>
  <c r="AO248" i="14" s="1"/>
  <c r="AO164" i="14"/>
  <c r="AO277" i="14" s="1"/>
  <c r="AO173" i="14"/>
  <c r="AO286" i="14" s="1"/>
  <c r="AO130" i="14"/>
  <c r="AO243" i="14" s="1"/>
  <c r="AO169" i="14"/>
  <c r="AO282" i="14" s="1"/>
  <c r="AO139" i="14"/>
  <c r="AO252" i="14" s="1"/>
  <c r="AO111" i="14"/>
  <c r="AO224" i="14" s="1"/>
  <c r="AO134" i="14"/>
  <c r="AO247" i="14" s="1"/>
  <c r="AO112" i="14"/>
  <c r="AO225" i="14" s="1"/>
  <c r="AO151" i="14"/>
  <c r="AO264" i="14" s="1"/>
  <c r="AO178" i="14"/>
  <c r="AO291" i="14" s="1"/>
  <c r="AO128" i="14"/>
  <c r="AO241" i="14" s="1"/>
  <c r="AO138" i="14"/>
  <c r="AO251" i="14" s="1"/>
  <c r="AO156" i="14"/>
  <c r="AO269" i="14" s="1"/>
  <c r="AO170" i="14"/>
  <c r="AO283" i="14" s="1"/>
  <c r="AO161" i="14"/>
  <c r="AO274" i="14" s="1"/>
  <c r="AO143" i="14"/>
  <c r="AO256" i="14" s="1"/>
  <c r="AO147" i="14"/>
  <c r="AO260" i="14" s="1"/>
  <c r="AO167" i="14"/>
  <c r="AO280" i="14" s="1"/>
  <c r="AO179" i="14"/>
  <c r="AO292" i="14" s="1"/>
  <c r="AO160" i="14"/>
  <c r="AO273" i="14" s="1"/>
  <c r="AO155" i="14"/>
  <c r="AO268" i="14" s="1"/>
  <c r="AO166" i="14"/>
  <c r="AO279" i="14" s="1"/>
  <c r="AO175" i="14"/>
  <c r="AO288" i="14" s="1"/>
  <c r="AO152" i="14"/>
  <c r="AO265" i="14" s="1"/>
  <c r="AO144" i="14"/>
  <c r="AO257" i="14" s="1"/>
  <c r="AO148" i="14"/>
  <c r="AO261" i="14" s="1"/>
  <c r="AO142" i="14"/>
  <c r="AO255" i="14" s="1"/>
  <c r="AO165" i="14"/>
  <c r="AO278" i="14" s="1"/>
  <c r="AO154" i="14"/>
  <c r="AO267" i="14" s="1"/>
  <c r="AO162" i="14"/>
  <c r="AO275" i="14" s="1"/>
  <c r="AO174" i="14"/>
  <c r="AO287" i="14" s="1"/>
  <c r="AO171" i="14"/>
  <c r="AO284" i="14" s="1"/>
  <c r="AO96" i="14"/>
  <c r="AN209" i="14"/>
  <c r="AO102" i="14"/>
  <c r="AN215" i="14"/>
  <c r="AR58" i="14"/>
  <c r="AS57" i="14" s="1"/>
  <c r="AR56" i="14"/>
  <c r="AB38" i="14"/>
  <c r="AS40" i="14"/>
  <c r="AS49" i="14" s="1"/>
  <c r="AT36" i="14"/>
  <c r="AJ9" i="8"/>
  <c r="AJ37" i="8" s="1"/>
  <c r="AP1" i="15"/>
  <c r="AG4" i="15"/>
  <c r="AC23" i="8"/>
  <c r="AC24" i="8" s="1"/>
  <c r="AS43" i="14" l="1"/>
  <c r="AS47" i="14" s="1"/>
  <c r="AS39" i="14" s="1"/>
  <c r="AS41" i="14"/>
  <c r="AS45" i="14" s="1"/>
  <c r="AR42" i="14"/>
  <c r="AQ46" i="14"/>
  <c r="AP106" i="14"/>
  <c r="AO219" i="14"/>
  <c r="AP97" i="14"/>
  <c r="AO210" i="14"/>
  <c r="AP82" i="14"/>
  <c r="AO195" i="14"/>
  <c r="AN192" i="14"/>
  <c r="AO7" i="15" s="1"/>
  <c r="AD7" i="19" s="1"/>
  <c r="AP89" i="14"/>
  <c r="AO202" i="14"/>
  <c r="AP86" i="14"/>
  <c r="AO199" i="14"/>
  <c r="AP105" i="14"/>
  <c r="AO218" i="14"/>
  <c r="AP90" i="14"/>
  <c r="AO203" i="14"/>
  <c r="AP98" i="14"/>
  <c r="AO211" i="14"/>
  <c r="AP95" i="14"/>
  <c r="AO208" i="14"/>
  <c r="AQ74" i="14"/>
  <c r="AP119" i="14"/>
  <c r="AP232" i="14" s="1"/>
  <c r="AP112" i="14"/>
  <c r="AP225" i="14" s="1"/>
  <c r="AP109" i="14"/>
  <c r="AP222" i="14" s="1"/>
  <c r="AP120" i="14"/>
  <c r="AP233" i="14" s="1"/>
  <c r="AP160" i="14"/>
  <c r="AP273" i="14" s="1"/>
  <c r="AP113" i="14"/>
  <c r="AP226" i="14" s="1"/>
  <c r="AP128" i="14"/>
  <c r="AP241" i="14" s="1"/>
  <c r="AP124" i="14"/>
  <c r="AP237" i="14" s="1"/>
  <c r="AP161" i="14"/>
  <c r="AP274" i="14" s="1"/>
  <c r="AP173" i="14"/>
  <c r="AP286" i="14" s="1"/>
  <c r="AP110" i="14"/>
  <c r="AP223" i="14" s="1"/>
  <c r="AP149" i="14"/>
  <c r="AP262" i="14" s="1"/>
  <c r="AP145" i="14"/>
  <c r="AP258" i="14" s="1"/>
  <c r="AP141" i="14"/>
  <c r="AP254" i="14" s="1"/>
  <c r="AP137" i="14"/>
  <c r="AP250" i="14" s="1"/>
  <c r="AP133" i="14"/>
  <c r="AP246" i="14" s="1"/>
  <c r="AP117" i="14"/>
  <c r="AP230" i="14" s="1"/>
  <c r="AP129" i="14"/>
  <c r="AP242" i="14" s="1"/>
  <c r="AP114" i="14"/>
  <c r="AP227" i="14" s="1"/>
  <c r="AP125" i="14"/>
  <c r="AP238" i="14" s="1"/>
  <c r="AP115" i="14"/>
  <c r="AP228" i="14" s="1"/>
  <c r="AP116" i="14"/>
  <c r="AP229" i="14" s="1"/>
  <c r="AP118" i="14"/>
  <c r="AP231" i="14" s="1"/>
  <c r="AP154" i="14"/>
  <c r="AP267" i="14" s="1"/>
  <c r="AP123" i="14"/>
  <c r="AP236" i="14" s="1"/>
  <c r="AP146" i="14"/>
  <c r="AP259" i="14" s="1"/>
  <c r="AP157" i="14"/>
  <c r="AP270" i="14" s="1"/>
  <c r="AP176" i="14"/>
  <c r="AP289" i="14" s="1"/>
  <c r="AP172" i="14"/>
  <c r="AP285" i="14" s="1"/>
  <c r="AP132" i="14"/>
  <c r="AP245" i="14" s="1"/>
  <c r="AP163" i="14"/>
  <c r="AP276" i="14" s="1"/>
  <c r="AP127" i="14"/>
  <c r="AP240" i="14" s="1"/>
  <c r="AP158" i="14"/>
  <c r="AP271" i="14" s="1"/>
  <c r="AP168" i="14"/>
  <c r="AP281" i="14" s="1"/>
  <c r="AP122" i="14"/>
  <c r="AP235" i="14" s="1"/>
  <c r="AP136" i="14"/>
  <c r="AP249" i="14" s="1"/>
  <c r="AP131" i="14"/>
  <c r="AP244" i="14" s="1"/>
  <c r="AP126" i="14"/>
  <c r="AP239" i="14" s="1"/>
  <c r="AP159" i="14"/>
  <c r="AP272" i="14" s="1"/>
  <c r="AP177" i="14"/>
  <c r="AP290" i="14" s="1"/>
  <c r="AP108" i="14"/>
  <c r="AP221" i="14" s="1"/>
  <c r="AP140" i="14"/>
  <c r="AP253" i="14" s="1"/>
  <c r="AP135" i="14"/>
  <c r="AP248" i="14" s="1"/>
  <c r="AP164" i="14"/>
  <c r="AP277" i="14" s="1"/>
  <c r="AP130" i="14"/>
  <c r="AP243" i="14" s="1"/>
  <c r="AP169" i="14"/>
  <c r="AP282" i="14" s="1"/>
  <c r="AP139" i="14"/>
  <c r="AP252" i="14" s="1"/>
  <c r="AP111" i="14"/>
  <c r="AP224" i="14" s="1"/>
  <c r="AP121" i="14"/>
  <c r="AP234" i="14" s="1"/>
  <c r="AP138" i="14"/>
  <c r="AP251" i="14" s="1"/>
  <c r="AP162" i="14"/>
  <c r="AP275" i="14" s="1"/>
  <c r="AP151" i="14"/>
  <c r="AP264" i="14" s="1"/>
  <c r="AP178" i="14"/>
  <c r="AP291" i="14" s="1"/>
  <c r="AP156" i="14"/>
  <c r="AP269" i="14" s="1"/>
  <c r="AP170" i="14"/>
  <c r="AP283" i="14" s="1"/>
  <c r="AP134" i="14"/>
  <c r="AP247" i="14" s="1"/>
  <c r="AP143" i="14"/>
  <c r="AP256" i="14" s="1"/>
  <c r="AP147" i="14"/>
  <c r="AP260" i="14" s="1"/>
  <c r="AP153" i="14"/>
  <c r="AP266" i="14" s="1"/>
  <c r="AP179" i="14"/>
  <c r="AP292" i="14" s="1"/>
  <c r="AP167" i="14"/>
  <c r="AP280" i="14" s="1"/>
  <c r="AP150" i="14"/>
  <c r="AP263" i="14" s="1"/>
  <c r="AP155" i="14"/>
  <c r="AP268" i="14" s="1"/>
  <c r="AP166" i="14"/>
  <c r="AP279" i="14" s="1"/>
  <c r="AP175" i="14"/>
  <c r="AP288" i="14" s="1"/>
  <c r="AP152" i="14"/>
  <c r="AP265" i="14" s="1"/>
  <c r="AP144" i="14"/>
  <c r="AP257" i="14" s="1"/>
  <c r="AP148" i="14"/>
  <c r="AP261" i="14" s="1"/>
  <c r="AP142" i="14"/>
  <c r="AP255" i="14" s="1"/>
  <c r="AP165" i="14"/>
  <c r="AP278" i="14" s="1"/>
  <c r="AP174" i="14"/>
  <c r="AP287" i="14" s="1"/>
  <c r="AP171" i="14"/>
  <c r="AP284" i="14" s="1"/>
  <c r="AP80" i="14"/>
  <c r="AO193" i="14"/>
  <c r="AP93" i="14"/>
  <c r="AO206" i="14"/>
  <c r="AP87" i="14"/>
  <c r="AO200" i="14"/>
  <c r="AP88" i="14"/>
  <c r="AO201" i="14"/>
  <c r="AP83" i="14"/>
  <c r="AO196" i="14"/>
  <c r="AP84" i="14"/>
  <c r="AO197" i="14"/>
  <c r="AP101" i="14"/>
  <c r="AO214" i="14"/>
  <c r="AP99" i="14"/>
  <c r="AO212" i="14"/>
  <c r="AP91" i="14"/>
  <c r="AO204" i="14"/>
  <c r="AP103" i="14"/>
  <c r="AO216" i="14"/>
  <c r="AP107" i="14"/>
  <c r="AO220" i="14"/>
  <c r="AP81" i="14"/>
  <c r="AO194" i="14"/>
  <c r="AP104" i="14"/>
  <c r="AO217" i="14"/>
  <c r="AP94" i="14"/>
  <c r="AO207" i="14"/>
  <c r="AP92" i="14"/>
  <c r="AO205" i="14"/>
  <c r="AP102" i="14"/>
  <c r="AO215" i="14"/>
  <c r="AP96" i="14"/>
  <c r="AO209" i="14"/>
  <c r="AP100" i="14"/>
  <c r="AO213" i="14"/>
  <c r="AP85" i="14"/>
  <c r="AO198" i="14"/>
  <c r="AS58" i="14"/>
  <c r="AT57" i="14" s="1"/>
  <c r="AS56" i="14"/>
  <c r="AC37" i="14"/>
  <c r="AT40" i="14"/>
  <c r="AT49" i="14" s="1"/>
  <c r="AU36" i="14"/>
  <c r="AK9" i="8"/>
  <c r="AK37" i="8" s="1"/>
  <c r="AQ1" i="15"/>
  <c r="AG5" i="15"/>
  <c r="AD23" i="8"/>
  <c r="AD24" i="8" s="1"/>
  <c r="AT43" i="14" l="1"/>
  <c r="AT41" i="14"/>
  <c r="N60" i="14"/>
  <c r="AS42" i="14"/>
  <c r="AR46" i="14"/>
  <c r="AQ91" i="14"/>
  <c r="AP204" i="14"/>
  <c r="AR74" i="14"/>
  <c r="AQ108" i="14"/>
  <c r="AQ221" i="14" s="1"/>
  <c r="AQ119" i="14"/>
  <c r="AQ232" i="14" s="1"/>
  <c r="AQ112" i="14"/>
  <c r="AQ225" i="14" s="1"/>
  <c r="AQ109" i="14"/>
  <c r="AQ222" i="14" s="1"/>
  <c r="AQ149" i="14"/>
  <c r="AQ262" i="14" s="1"/>
  <c r="AQ113" i="14"/>
  <c r="AQ226" i="14" s="1"/>
  <c r="AQ132" i="14"/>
  <c r="AQ245" i="14" s="1"/>
  <c r="AQ128" i="14"/>
  <c r="AQ241" i="14" s="1"/>
  <c r="AQ165" i="14"/>
  <c r="AQ278" i="14" s="1"/>
  <c r="AQ124" i="14"/>
  <c r="AQ237" i="14" s="1"/>
  <c r="AQ110" i="14"/>
  <c r="AQ223" i="14" s="1"/>
  <c r="AQ145" i="14"/>
  <c r="AQ258" i="14" s="1"/>
  <c r="AQ141" i="14"/>
  <c r="AQ254" i="14" s="1"/>
  <c r="AQ137" i="14"/>
  <c r="AQ250" i="14" s="1"/>
  <c r="AQ133" i="14"/>
  <c r="AQ246" i="14" s="1"/>
  <c r="AQ117" i="14"/>
  <c r="AQ230" i="14" s="1"/>
  <c r="AQ129" i="14"/>
  <c r="AQ242" i="14" s="1"/>
  <c r="AQ114" i="14"/>
  <c r="AQ227" i="14" s="1"/>
  <c r="AQ125" i="14"/>
  <c r="AQ238" i="14" s="1"/>
  <c r="AQ115" i="14"/>
  <c r="AQ228" i="14" s="1"/>
  <c r="AQ116" i="14"/>
  <c r="AQ229" i="14" s="1"/>
  <c r="AQ158" i="14"/>
  <c r="AQ271" i="14" s="1"/>
  <c r="AQ118" i="14"/>
  <c r="AQ231" i="14" s="1"/>
  <c r="AQ120" i="14"/>
  <c r="AQ233" i="14" s="1"/>
  <c r="AQ123" i="14"/>
  <c r="AQ236" i="14" s="1"/>
  <c r="AQ146" i="14"/>
  <c r="AQ259" i="14" s="1"/>
  <c r="AQ157" i="14"/>
  <c r="AQ270" i="14" s="1"/>
  <c r="AQ176" i="14"/>
  <c r="AQ289" i="14" s="1"/>
  <c r="AQ172" i="14"/>
  <c r="AQ285" i="14" s="1"/>
  <c r="AQ163" i="14"/>
  <c r="AQ276" i="14" s="1"/>
  <c r="AQ127" i="14"/>
  <c r="AQ240" i="14" s="1"/>
  <c r="AQ168" i="14"/>
  <c r="AQ281" i="14" s="1"/>
  <c r="AQ122" i="14"/>
  <c r="AQ235" i="14" s="1"/>
  <c r="AQ136" i="14"/>
  <c r="AQ249" i="14" s="1"/>
  <c r="AQ131" i="14"/>
  <c r="AQ244" i="14" s="1"/>
  <c r="AQ126" i="14"/>
  <c r="AQ239" i="14" s="1"/>
  <c r="AQ159" i="14"/>
  <c r="AQ272" i="14" s="1"/>
  <c r="AQ177" i="14"/>
  <c r="AQ290" i="14" s="1"/>
  <c r="AQ140" i="14"/>
  <c r="AQ253" i="14" s="1"/>
  <c r="AQ173" i="14"/>
  <c r="AQ286" i="14" s="1"/>
  <c r="AQ135" i="14"/>
  <c r="AQ248" i="14" s="1"/>
  <c r="AQ164" i="14"/>
  <c r="AQ277" i="14" s="1"/>
  <c r="AQ130" i="14"/>
  <c r="AQ243" i="14" s="1"/>
  <c r="AQ169" i="14"/>
  <c r="AQ282" i="14" s="1"/>
  <c r="AQ139" i="14"/>
  <c r="AQ252" i="14" s="1"/>
  <c r="AQ111" i="14"/>
  <c r="AQ224" i="14" s="1"/>
  <c r="AQ121" i="14"/>
  <c r="AQ234" i="14" s="1"/>
  <c r="AQ162" i="14"/>
  <c r="AQ275" i="14" s="1"/>
  <c r="AQ138" i="14"/>
  <c r="AQ251" i="14" s="1"/>
  <c r="AQ151" i="14"/>
  <c r="AQ264" i="14" s="1"/>
  <c r="AQ171" i="14"/>
  <c r="AQ284" i="14" s="1"/>
  <c r="AQ156" i="14"/>
  <c r="AQ269" i="14" s="1"/>
  <c r="AQ170" i="14"/>
  <c r="AQ283" i="14" s="1"/>
  <c r="AQ161" i="14"/>
  <c r="AQ274" i="14" s="1"/>
  <c r="AQ134" i="14"/>
  <c r="AQ247" i="14" s="1"/>
  <c r="AQ143" i="14"/>
  <c r="AQ256" i="14" s="1"/>
  <c r="AQ147" i="14"/>
  <c r="AQ260" i="14" s="1"/>
  <c r="AQ153" i="14"/>
  <c r="AQ266" i="14" s="1"/>
  <c r="AQ167" i="14"/>
  <c r="AQ280" i="14" s="1"/>
  <c r="AQ150" i="14"/>
  <c r="AQ263" i="14" s="1"/>
  <c r="AQ179" i="14"/>
  <c r="AQ292" i="14" s="1"/>
  <c r="AQ160" i="14"/>
  <c r="AQ273" i="14" s="1"/>
  <c r="AQ155" i="14"/>
  <c r="AQ268" i="14" s="1"/>
  <c r="AQ166" i="14"/>
  <c r="AQ279" i="14" s="1"/>
  <c r="AQ178" i="14"/>
  <c r="AQ291" i="14" s="1"/>
  <c r="AQ175" i="14"/>
  <c r="AQ288" i="14" s="1"/>
  <c r="AQ152" i="14"/>
  <c r="AQ265" i="14" s="1"/>
  <c r="AQ144" i="14"/>
  <c r="AQ257" i="14" s="1"/>
  <c r="AQ148" i="14"/>
  <c r="AQ261" i="14" s="1"/>
  <c r="AQ142" i="14"/>
  <c r="AQ255" i="14" s="1"/>
  <c r="AQ154" i="14"/>
  <c r="AQ267" i="14" s="1"/>
  <c r="AQ174" i="14"/>
  <c r="AQ287" i="14" s="1"/>
  <c r="AQ90" i="14"/>
  <c r="AP203" i="14"/>
  <c r="AQ87" i="14"/>
  <c r="AP200" i="14"/>
  <c r="AQ99" i="14"/>
  <c r="AP212" i="14"/>
  <c r="AQ101" i="14"/>
  <c r="AP214" i="14"/>
  <c r="AQ105" i="14"/>
  <c r="AP218" i="14"/>
  <c r="AQ84" i="14"/>
  <c r="AP197" i="14"/>
  <c r="AO192" i="14"/>
  <c r="AP7" i="15" s="1"/>
  <c r="AE7" i="19" s="1"/>
  <c r="AQ93" i="14"/>
  <c r="AP206" i="14"/>
  <c r="AQ80" i="14"/>
  <c r="AP193" i="14"/>
  <c r="AQ86" i="14"/>
  <c r="AP199" i="14"/>
  <c r="AQ98" i="14"/>
  <c r="AP211" i="14"/>
  <c r="AQ95" i="14"/>
  <c r="AP208" i="14"/>
  <c r="AQ89" i="14"/>
  <c r="AP202" i="14"/>
  <c r="AQ103" i="14"/>
  <c r="AP216" i="14"/>
  <c r="AQ107" i="14"/>
  <c r="AP220" i="14"/>
  <c r="AQ83" i="14"/>
  <c r="AP196" i="14"/>
  <c r="AQ96" i="14"/>
  <c r="AP209" i="14"/>
  <c r="AQ92" i="14"/>
  <c r="AP205" i="14"/>
  <c r="AQ82" i="14"/>
  <c r="AP195" i="14"/>
  <c r="AQ102" i="14"/>
  <c r="AP215" i="14"/>
  <c r="AQ85" i="14"/>
  <c r="AP198" i="14"/>
  <c r="AQ100" i="14"/>
  <c r="AP213" i="14"/>
  <c r="AQ94" i="14"/>
  <c r="AP207" i="14"/>
  <c r="AQ97" i="14"/>
  <c r="AP210" i="14"/>
  <c r="AQ81" i="14"/>
  <c r="AP194" i="14"/>
  <c r="AQ88" i="14"/>
  <c r="AP201" i="14"/>
  <c r="AQ104" i="14"/>
  <c r="AP217" i="14"/>
  <c r="AQ106" i="14"/>
  <c r="AP219" i="14"/>
  <c r="AT58" i="14"/>
  <c r="AU57" i="14" s="1"/>
  <c r="AT56" i="14"/>
  <c r="AV36" i="14"/>
  <c r="AU40" i="14"/>
  <c r="AU49" i="14" s="1"/>
  <c r="AC38" i="14"/>
  <c r="AL9" i="8"/>
  <c r="AL37" i="8" s="1"/>
  <c r="AH4" i="15"/>
  <c r="AE23" i="8"/>
  <c r="AE24" i="8" s="1"/>
  <c r="AU43" i="14" l="1"/>
  <c r="AU41" i="14"/>
  <c r="AT42" i="14"/>
  <c r="AS46" i="14"/>
  <c r="AT45" i="14"/>
  <c r="N61" i="14"/>
  <c r="AT47" i="14"/>
  <c r="AT39" i="14" s="1"/>
  <c r="N63" i="14"/>
  <c r="AR99" i="14"/>
  <c r="AQ212" i="14"/>
  <c r="AR102" i="14"/>
  <c r="AQ215" i="14"/>
  <c r="AR82" i="14"/>
  <c r="AQ195" i="14"/>
  <c r="AR85" i="14"/>
  <c r="AQ198" i="14"/>
  <c r="AR89" i="14"/>
  <c r="AQ202" i="14"/>
  <c r="AR96" i="14"/>
  <c r="AQ209" i="14"/>
  <c r="AR83" i="14"/>
  <c r="AQ196" i="14"/>
  <c r="AR98" i="14"/>
  <c r="AQ211" i="14"/>
  <c r="AR107" i="14"/>
  <c r="AQ220" i="14"/>
  <c r="AR93" i="14"/>
  <c r="AQ206" i="14"/>
  <c r="AP192" i="14"/>
  <c r="AQ7" i="15" s="1"/>
  <c r="AF7" i="19" s="1"/>
  <c r="AR80" i="14"/>
  <c r="AQ193" i="14"/>
  <c r="AR81" i="14"/>
  <c r="AQ194" i="14"/>
  <c r="AR86" i="14"/>
  <c r="AQ199" i="14"/>
  <c r="AR84" i="14"/>
  <c r="AQ197" i="14"/>
  <c r="AR97" i="14"/>
  <c r="AQ210" i="14"/>
  <c r="AR95" i="14"/>
  <c r="AQ208" i="14"/>
  <c r="AR105" i="14"/>
  <c r="AQ218" i="14"/>
  <c r="AR90" i="14"/>
  <c r="AQ203" i="14"/>
  <c r="AR92" i="14"/>
  <c r="AQ205" i="14"/>
  <c r="AR106" i="14"/>
  <c r="AQ219" i="14"/>
  <c r="AR104" i="14"/>
  <c r="AQ217" i="14"/>
  <c r="AR94" i="14"/>
  <c r="AQ207" i="14"/>
  <c r="AS74" i="14"/>
  <c r="AR108" i="14"/>
  <c r="AR221" i="14" s="1"/>
  <c r="AR112" i="14"/>
  <c r="AR225" i="14" s="1"/>
  <c r="AR138" i="14"/>
  <c r="AR251" i="14" s="1"/>
  <c r="AR109" i="14"/>
  <c r="AR222" i="14" s="1"/>
  <c r="AR120" i="14"/>
  <c r="AR233" i="14" s="1"/>
  <c r="AR111" i="14"/>
  <c r="AR224" i="14" s="1"/>
  <c r="AR136" i="14"/>
  <c r="AR249" i="14" s="1"/>
  <c r="AR132" i="14"/>
  <c r="AR245" i="14" s="1"/>
  <c r="AR169" i="14"/>
  <c r="AR282" i="14" s="1"/>
  <c r="AR128" i="14"/>
  <c r="AR241" i="14" s="1"/>
  <c r="AR124" i="14"/>
  <c r="AR237" i="14" s="1"/>
  <c r="AR110" i="14"/>
  <c r="AR223" i="14" s="1"/>
  <c r="AR149" i="14"/>
  <c r="AR262" i="14" s="1"/>
  <c r="AR145" i="14"/>
  <c r="AR258" i="14" s="1"/>
  <c r="AR141" i="14"/>
  <c r="AR254" i="14" s="1"/>
  <c r="AR137" i="14"/>
  <c r="AR250" i="14" s="1"/>
  <c r="AR133" i="14"/>
  <c r="AR246" i="14" s="1"/>
  <c r="AR117" i="14"/>
  <c r="AR230" i="14" s="1"/>
  <c r="AR129" i="14"/>
  <c r="AR242" i="14" s="1"/>
  <c r="AR114" i="14"/>
  <c r="AR227" i="14" s="1"/>
  <c r="AR125" i="14"/>
  <c r="AR238" i="14" s="1"/>
  <c r="AR115" i="14"/>
  <c r="AR228" i="14" s="1"/>
  <c r="AR116" i="14"/>
  <c r="AR229" i="14" s="1"/>
  <c r="AR113" i="14"/>
  <c r="AR226" i="14" s="1"/>
  <c r="AR118" i="14"/>
  <c r="AR231" i="14" s="1"/>
  <c r="AR119" i="14"/>
  <c r="AR232" i="14" s="1"/>
  <c r="AR147" i="14"/>
  <c r="AR260" i="14" s="1"/>
  <c r="AR167" i="14"/>
  <c r="AR280" i="14" s="1"/>
  <c r="AR123" i="14"/>
  <c r="AR236" i="14" s="1"/>
  <c r="AR146" i="14"/>
  <c r="AR259" i="14" s="1"/>
  <c r="AR157" i="14"/>
  <c r="AR270" i="14" s="1"/>
  <c r="AR176" i="14"/>
  <c r="AR289" i="14" s="1"/>
  <c r="AR172" i="14"/>
  <c r="AR285" i="14" s="1"/>
  <c r="AR158" i="14"/>
  <c r="AR271" i="14" s="1"/>
  <c r="AR163" i="14"/>
  <c r="AR276" i="14" s="1"/>
  <c r="AR127" i="14"/>
  <c r="AR240" i="14" s="1"/>
  <c r="AR168" i="14"/>
  <c r="AR281" i="14" s="1"/>
  <c r="AR122" i="14"/>
  <c r="AR235" i="14" s="1"/>
  <c r="AR131" i="14"/>
  <c r="AR244" i="14" s="1"/>
  <c r="AR126" i="14"/>
  <c r="AR239" i="14" s="1"/>
  <c r="AR159" i="14"/>
  <c r="AR272" i="14" s="1"/>
  <c r="AR177" i="14"/>
  <c r="AR290" i="14" s="1"/>
  <c r="AR140" i="14"/>
  <c r="AR253" i="14" s="1"/>
  <c r="AR173" i="14"/>
  <c r="AR286" i="14" s="1"/>
  <c r="AR135" i="14"/>
  <c r="AR248" i="14" s="1"/>
  <c r="AR164" i="14"/>
  <c r="AR277" i="14" s="1"/>
  <c r="AR130" i="14"/>
  <c r="AR243" i="14" s="1"/>
  <c r="AR121" i="14"/>
  <c r="AR234" i="14" s="1"/>
  <c r="AR171" i="14"/>
  <c r="AR284" i="14" s="1"/>
  <c r="AR162" i="14"/>
  <c r="AR275" i="14" s="1"/>
  <c r="AR151" i="14"/>
  <c r="AR264" i="14" s="1"/>
  <c r="AR179" i="14"/>
  <c r="AR292" i="14" s="1"/>
  <c r="AR156" i="14"/>
  <c r="AR269" i="14" s="1"/>
  <c r="AR170" i="14"/>
  <c r="AR283" i="14" s="1"/>
  <c r="AR161" i="14"/>
  <c r="AR274" i="14" s="1"/>
  <c r="AR134" i="14"/>
  <c r="AR247" i="14" s="1"/>
  <c r="AR143" i="14"/>
  <c r="AR256" i="14" s="1"/>
  <c r="AR153" i="14"/>
  <c r="AR266" i="14" s="1"/>
  <c r="AR139" i="14"/>
  <c r="AR252" i="14" s="1"/>
  <c r="AR150" i="14"/>
  <c r="AR263" i="14" s="1"/>
  <c r="AR160" i="14"/>
  <c r="AR273" i="14" s="1"/>
  <c r="AR155" i="14"/>
  <c r="AR268" i="14" s="1"/>
  <c r="AR166" i="14"/>
  <c r="AR279" i="14" s="1"/>
  <c r="AR178" i="14"/>
  <c r="AR291" i="14" s="1"/>
  <c r="AR175" i="14"/>
  <c r="AR288" i="14" s="1"/>
  <c r="AR152" i="14"/>
  <c r="AR265" i="14" s="1"/>
  <c r="AR144" i="14"/>
  <c r="AR257" i="14" s="1"/>
  <c r="AR148" i="14"/>
  <c r="AR261" i="14" s="1"/>
  <c r="AR142" i="14"/>
  <c r="AR255" i="14" s="1"/>
  <c r="AR165" i="14"/>
  <c r="AR278" i="14" s="1"/>
  <c r="AR154" i="14"/>
  <c r="AR267" i="14" s="1"/>
  <c r="AR174" i="14"/>
  <c r="AR287" i="14" s="1"/>
  <c r="AR87" i="14"/>
  <c r="AQ200" i="14"/>
  <c r="AR103" i="14"/>
  <c r="AQ216" i="14"/>
  <c r="AR88" i="14"/>
  <c r="AQ201" i="14"/>
  <c r="AR101" i="14"/>
  <c r="AQ214" i="14"/>
  <c r="AR100" i="14"/>
  <c r="AQ213" i="14"/>
  <c r="AR91" i="14"/>
  <c r="AQ204" i="14"/>
  <c r="AU58" i="14"/>
  <c r="AV57" i="14" s="1"/>
  <c r="AU56" i="14"/>
  <c r="AD37" i="14"/>
  <c r="AW36" i="14"/>
  <c r="AV40" i="14"/>
  <c r="AV49" i="14" s="1"/>
  <c r="AH5" i="15"/>
  <c r="AF23" i="8"/>
  <c r="AF24" i="8" s="1"/>
  <c r="AV41" i="14" l="1"/>
  <c r="AV45" i="14" s="1"/>
  <c r="AV43" i="14"/>
  <c r="AV47" i="14" s="1"/>
  <c r="AV39" i="14" s="1"/>
  <c r="AU42" i="14"/>
  <c r="AT46" i="14"/>
  <c r="N62" i="14"/>
  <c r="AU45" i="14"/>
  <c r="AU47" i="14"/>
  <c r="AU39" i="14" s="1"/>
  <c r="AS80" i="14"/>
  <c r="AR193" i="14"/>
  <c r="AS84" i="14"/>
  <c r="AR197" i="14"/>
  <c r="AS98" i="14"/>
  <c r="AR211" i="14"/>
  <c r="AS105" i="14"/>
  <c r="AR218" i="14"/>
  <c r="AS81" i="14"/>
  <c r="AR194" i="14"/>
  <c r="AS83" i="14"/>
  <c r="AR196" i="14"/>
  <c r="AS86" i="14"/>
  <c r="AR199" i="14"/>
  <c r="AS96" i="14"/>
  <c r="AR209" i="14"/>
  <c r="AS95" i="14"/>
  <c r="AR208" i="14"/>
  <c r="AS107" i="14"/>
  <c r="AR220" i="14"/>
  <c r="AS92" i="14"/>
  <c r="AR205" i="14"/>
  <c r="AQ192" i="14"/>
  <c r="AS89" i="14"/>
  <c r="AR202" i="14"/>
  <c r="AS100" i="14"/>
  <c r="AR213" i="14"/>
  <c r="AT74" i="14"/>
  <c r="AS108" i="14"/>
  <c r="AS221" i="14" s="1"/>
  <c r="AS119" i="14"/>
  <c r="AS232" i="14" s="1"/>
  <c r="AS112" i="14"/>
  <c r="AS225" i="14" s="1"/>
  <c r="AS116" i="14"/>
  <c r="AS229" i="14" s="1"/>
  <c r="AS127" i="14"/>
  <c r="AS240" i="14" s="1"/>
  <c r="AS167" i="14"/>
  <c r="AS280" i="14" s="1"/>
  <c r="AS109" i="14"/>
  <c r="AS222" i="14" s="1"/>
  <c r="AS113" i="14"/>
  <c r="AS226" i="14" s="1"/>
  <c r="AS140" i="14"/>
  <c r="AS253" i="14" s="1"/>
  <c r="AS111" i="14"/>
  <c r="AS224" i="14" s="1"/>
  <c r="AS136" i="14"/>
  <c r="AS249" i="14" s="1"/>
  <c r="AS132" i="14"/>
  <c r="AS245" i="14" s="1"/>
  <c r="AS128" i="14"/>
  <c r="AS241" i="14" s="1"/>
  <c r="AS124" i="14"/>
  <c r="AS237" i="14" s="1"/>
  <c r="AS110" i="14"/>
  <c r="AS223" i="14" s="1"/>
  <c r="AS153" i="14"/>
  <c r="AS266" i="14" s="1"/>
  <c r="AS149" i="14"/>
  <c r="AS262" i="14" s="1"/>
  <c r="AS145" i="14"/>
  <c r="AS258" i="14" s="1"/>
  <c r="AS141" i="14"/>
  <c r="AS254" i="14" s="1"/>
  <c r="AS137" i="14"/>
  <c r="AS250" i="14" s="1"/>
  <c r="AS133" i="14"/>
  <c r="AS246" i="14" s="1"/>
  <c r="AS117" i="14"/>
  <c r="AS230" i="14" s="1"/>
  <c r="AS129" i="14"/>
  <c r="AS242" i="14" s="1"/>
  <c r="AS114" i="14"/>
  <c r="AS227" i="14" s="1"/>
  <c r="AS115" i="14"/>
  <c r="AS228" i="14" s="1"/>
  <c r="AS118" i="14"/>
  <c r="AS231" i="14" s="1"/>
  <c r="AS120" i="14"/>
  <c r="AS233" i="14" s="1"/>
  <c r="AS156" i="14"/>
  <c r="AS269" i="14" s="1"/>
  <c r="AS147" i="14"/>
  <c r="AS260" i="14" s="1"/>
  <c r="AS123" i="14"/>
  <c r="AS236" i="14" s="1"/>
  <c r="AS146" i="14"/>
  <c r="AS259" i="14" s="1"/>
  <c r="AS157" i="14"/>
  <c r="AS270" i="14" s="1"/>
  <c r="AS176" i="14"/>
  <c r="AS289" i="14" s="1"/>
  <c r="AS172" i="14"/>
  <c r="AS285" i="14" s="1"/>
  <c r="AS158" i="14"/>
  <c r="AS271" i="14" s="1"/>
  <c r="AS163" i="14"/>
  <c r="AS276" i="14" s="1"/>
  <c r="AS168" i="14"/>
  <c r="AS281" i="14" s="1"/>
  <c r="AS122" i="14"/>
  <c r="AS235" i="14" s="1"/>
  <c r="AS131" i="14"/>
  <c r="AS244" i="14" s="1"/>
  <c r="AS126" i="14"/>
  <c r="AS239" i="14" s="1"/>
  <c r="AS159" i="14"/>
  <c r="AS272" i="14" s="1"/>
  <c r="AS177" i="14"/>
  <c r="AS290" i="14" s="1"/>
  <c r="AS173" i="14"/>
  <c r="AS286" i="14" s="1"/>
  <c r="AS135" i="14"/>
  <c r="AS248" i="14" s="1"/>
  <c r="AS164" i="14"/>
  <c r="AS277" i="14" s="1"/>
  <c r="AS130" i="14"/>
  <c r="AS243" i="14" s="1"/>
  <c r="AS169" i="14"/>
  <c r="AS282" i="14" s="1"/>
  <c r="AS125" i="14"/>
  <c r="AS238" i="14" s="1"/>
  <c r="AS121" i="14"/>
  <c r="AS234" i="14" s="1"/>
  <c r="AS171" i="14"/>
  <c r="AS284" i="14" s="1"/>
  <c r="AS138" i="14"/>
  <c r="AS251" i="14" s="1"/>
  <c r="AS162" i="14"/>
  <c r="AS275" i="14" s="1"/>
  <c r="AS151" i="14"/>
  <c r="AS264" i="14" s="1"/>
  <c r="AS170" i="14"/>
  <c r="AS283" i="14" s="1"/>
  <c r="AS161" i="14"/>
  <c r="AS274" i="14" s="1"/>
  <c r="AS134" i="14"/>
  <c r="AS247" i="14" s="1"/>
  <c r="AS143" i="14"/>
  <c r="AS256" i="14" s="1"/>
  <c r="AS139" i="14"/>
  <c r="AS252" i="14" s="1"/>
  <c r="AS150" i="14"/>
  <c r="AS263" i="14" s="1"/>
  <c r="AS179" i="14"/>
  <c r="AS292" i="14" s="1"/>
  <c r="AS160" i="14"/>
  <c r="AS273" i="14" s="1"/>
  <c r="AS155" i="14"/>
  <c r="AS268" i="14" s="1"/>
  <c r="AS174" i="14"/>
  <c r="AS287" i="14" s="1"/>
  <c r="AS166" i="14"/>
  <c r="AS279" i="14" s="1"/>
  <c r="AS178" i="14"/>
  <c r="AS291" i="14" s="1"/>
  <c r="AS175" i="14"/>
  <c r="AS288" i="14" s="1"/>
  <c r="AS152" i="14"/>
  <c r="AS265" i="14" s="1"/>
  <c r="AS144" i="14"/>
  <c r="AS257" i="14" s="1"/>
  <c r="AS148" i="14"/>
  <c r="AS261" i="14" s="1"/>
  <c r="AS142" i="14"/>
  <c r="AS255" i="14" s="1"/>
  <c r="AS165" i="14"/>
  <c r="AS278" i="14" s="1"/>
  <c r="AS154" i="14"/>
  <c r="AS267" i="14" s="1"/>
  <c r="AS97" i="14"/>
  <c r="AR210" i="14"/>
  <c r="AS85" i="14"/>
  <c r="AR198" i="14"/>
  <c r="AS91" i="14"/>
  <c r="AR204" i="14"/>
  <c r="AS94" i="14"/>
  <c r="AR207" i="14"/>
  <c r="AS88" i="14"/>
  <c r="AR201" i="14"/>
  <c r="AS82" i="14"/>
  <c r="AR195" i="14"/>
  <c r="AS101" i="14"/>
  <c r="AR214" i="14"/>
  <c r="AS104" i="14"/>
  <c r="AR217" i="14"/>
  <c r="AS103" i="14"/>
  <c r="AR216" i="14"/>
  <c r="AS102" i="14"/>
  <c r="AR215" i="14"/>
  <c r="AS106" i="14"/>
  <c r="AR219" i="14"/>
  <c r="AS90" i="14"/>
  <c r="AR203" i="14"/>
  <c r="AS93" i="14"/>
  <c r="AR206" i="14"/>
  <c r="AS87" i="14"/>
  <c r="AR200" i="14"/>
  <c r="AS99" i="14"/>
  <c r="AR212" i="14"/>
  <c r="AV58" i="14"/>
  <c r="AW57" i="14" s="1"/>
  <c r="AV56" i="14"/>
  <c r="AD38" i="14"/>
  <c r="AX36" i="14"/>
  <c r="AW40" i="14"/>
  <c r="AW49" i="14" s="1"/>
  <c r="AI4" i="15"/>
  <c r="AG23" i="8"/>
  <c r="AG24" i="8" s="1"/>
  <c r="AW41" i="14" l="1"/>
  <c r="AW43" i="14"/>
  <c r="AV42" i="14"/>
  <c r="AU46" i="14"/>
  <c r="AT88" i="14"/>
  <c r="AS201" i="14"/>
  <c r="AT96" i="14"/>
  <c r="AS209" i="14"/>
  <c r="AT101" i="14"/>
  <c r="AS214" i="14"/>
  <c r="AT86" i="14"/>
  <c r="AS199" i="14"/>
  <c r="AT103" i="14"/>
  <c r="AS216" i="14"/>
  <c r="AT83" i="14"/>
  <c r="AS196" i="14"/>
  <c r="AU74" i="14"/>
  <c r="AT115" i="14"/>
  <c r="AT228" i="14" s="1"/>
  <c r="AT108" i="14"/>
  <c r="AT221" i="14" s="1"/>
  <c r="AT112" i="14"/>
  <c r="AT225" i="14" s="1"/>
  <c r="AT116" i="14"/>
  <c r="AT229" i="14" s="1"/>
  <c r="AT156" i="14"/>
  <c r="AT269" i="14" s="1"/>
  <c r="AT109" i="14"/>
  <c r="AT222" i="14" s="1"/>
  <c r="AT144" i="14"/>
  <c r="AT257" i="14" s="1"/>
  <c r="AT140" i="14"/>
  <c r="AT253" i="14" s="1"/>
  <c r="AT111" i="14"/>
  <c r="AT224" i="14" s="1"/>
  <c r="AT136" i="14"/>
  <c r="AT249" i="14" s="1"/>
  <c r="AT132" i="14"/>
  <c r="AT245" i="14" s="1"/>
  <c r="AT128" i="14"/>
  <c r="AT241" i="14" s="1"/>
  <c r="AT124" i="14"/>
  <c r="AT237" i="14" s="1"/>
  <c r="AT110" i="14"/>
  <c r="AT223" i="14" s="1"/>
  <c r="AT149" i="14"/>
  <c r="AT262" i="14" s="1"/>
  <c r="AT145" i="14"/>
  <c r="AT258" i="14" s="1"/>
  <c r="AT141" i="14"/>
  <c r="AT254" i="14" s="1"/>
  <c r="AT137" i="14"/>
  <c r="AT250" i="14" s="1"/>
  <c r="AT133" i="14"/>
  <c r="AT246" i="14" s="1"/>
  <c r="AT117" i="14"/>
  <c r="AT230" i="14" s="1"/>
  <c r="AT114" i="14"/>
  <c r="AT227" i="14" s="1"/>
  <c r="AT125" i="14"/>
  <c r="AT238" i="14" s="1"/>
  <c r="AT113" i="14"/>
  <c r="AT226" i="14" s="1"/>
  <c r="AT118" i="14"/>
  <c r="AT231" i="14" s="1"/>
  <c r="AT119" i="14"/>
  <c r="AT232" i="14" s="1"/>
  <c r="AT167" i="14"/>
  <c r="AT280" i="14" s="1"/>
  <c r="AT147" i="14"/>
  <c r="AT260" i="14" s="1"/>
  <c r="AT123" i="14"/>
  <c r="AT236" i="14" s="1"/>
  <c r="AT146" i="14"/>
  <c r="AT259" i="14" s="1"/>
  <c r="AT157" i="14"/>
  <c r="AT270" i="14" s="1"/>
  <c r="AT176" i="14"/>
  <c r="AT289" i="14" s="1"/>
  <c r="AT172" i="14"/>
  <c r="AT285" i="14" s="1"/>
  <c r="AT127" i="14"/>
  <c r="AT240" i="14" s="1"/>
  <c r="AT158" i="14"/>
  <c r="AT271" i="14" s="1"/>
  <c r="AT163" i="14"/>
  <c r="AT276" i="14" s="1"/>
  <c r="AT168" i="14"/>
  <c r="AT281" i="14" s="1"/>
  <c r="AT122" i="14"/>
  <c r="AT235" i="14" s="1"/>
  <c r="AT131" i="14"/>
  <c r="AT244" i="14" s="1"/>
  <c r="AT126" i="14"/>
  <c r="AT239" i="14" s="1"/>
  <c r="AT159" i="14"/>
  <c r="AT272" i="14" s="1"/>
  <c r="AT177" i="14"/>
  <c r="AT290" i="14" s="1"/>
  <c r="AT173" i="14"/>
  <c r="AT286" i="14" s="1"/>
  <c r="AT135" i="14"/>
  <c r="AT248" i="14" s="1"/>
  <c r="AT164" i="14"/>
  <c r="AT277" i="14" s="1"/>
  <c r="AT121" i="14"/>
  <c r="AT234" i="14" s="1"/>
  <c r="AT120" i="14"/>
  <c r="AT233" i="14" s="1"/>
  <c r="AT171" i="14"/>
  <c r="AT284" i="14" s="1"/>
  <c r="AT138" i="14"/>
  <c r="AT251" i="14" s="1"/>
  <c r="AT162" i="14"/>
  <c r="AT275" i="14" s="1"/>
  <c r="AT151" i="14"/>
  <c r="AT264" i="14" s="1"/>
  <c r="AT129" i="14"/>
  <c r="AT242" i="14" s="1"/>
  <c r="AT170" i="14"/>
  <c r="AT283" i="14" s="1"/>
  <c r="AT161" i="14"/>
  <c r="AT274" i="14" s="1"/>
  <c r="AT134" i="14"/>
  <c r="AT247" i="14" s="1"/>
  <c r="AT143" i="14"/>
  <c r="AT256" i="14" s="1"/>
  <c r="AT153" i="14"/>
  <c r="AT266" i="14" s="1"/>
  <c r="AT139" i="14"/>
  <c r="AT252" i="14" s="1"/>
  <c r="AT150" i="14"/>
  <c r="AT263" i="14" s="1"/>
  <c r="AT169" i="14"/>
  <c r="AT282" i="14" s="1"/>
  <c r="AT179" i="14"/>
  <c r="AT292" i="14" s="1"/>
  <c r="AT160" i="14"/>
  <c r="AT273" i="14" s="1"/>
  <c r="AT130" i="14"/>
  <c r="AT243" i="14" s="1"/>
  <c r="AT155" i="14"/>
  <c r="AT268" i="14" s="1"/>
  <c r="AT174" i="14"/>
  <c r="AT287" i="14" s="1"/>
  <c r="AT166" i="14"/>
  <c r="AT279" i="14" s="1"/>
  <c r="AT178" i="14"/>
  <c r="AT291" i="14" s="1"/>
  <c r="AT175" i="14"/>
  <c r="AT288" i="14" s="1"/>
  <c r="AT152" i="14"/>
  <c r="AT265" i="14" s="1"/>
  <c r="AT148" i="14"/>
  <c r="AT261" i="14" s="1"/>
  <c r="AT142" i="14"/>
  <c r="AT255" i="14" s="1"/>
  <c r="AT165" i="14"/>
  <c r="AT278" i="14" s="1"/>
  <c r="AT154" i="14"/>
  <c r="AT267" i="14" s="1"/>
  <c r="AT92" i="14"/>
  <c r="AS205" i="14"/>
  <c r="AT94" i="14"/>
  <c r="AS207" i="14"/>
  <c r="AT81" i="14"/>
  <c r="AS194" i="14"/>
  <c r="AT89" i="14"/>
  <c r="AS202" i="14"/>
  <c r="AT97" i="14"/>
  <c r="AS210" i="14"/>
  <c r="AT87" i="14"/>
  <c r="AS200" i="14"/>
  <c r="AT105" i="14"/>
  <c r="AS218" i="14"/>
  <c r="AT100" i="14"/>
  <c r="AS213" i="14"/>
  <c r="AT93" i="14"/>
  <c r="AS206" i="14"/>
  <c r="AT95" i="14"/>
  <c r="AS208" i="14"/>
  <c r="AT98" i="14"/>
  <c r="AS211" i="14"/>
  <c r="AT90" i="14"/>
  <c r="AS203" i="14"/>
  <c r="AT104" i="14"/>
  <c r="AS217" i="14"/>
  <c r="AT82" i="14"/>
  <c r="AS195" i="14"/>
  <c r="AT85" i="14"/>
  <c r="AS198" i="14"/>
  <c r="AT107" i="14"/>
  <c r="AS220" i="14"/>
  <c r="AT106" i="14"/>
  <c r="AS219" i="14"/>
  <c r="AT84" i="14"/>
  <c r="AS197" i="14"/>
  <c r="AT91" i="14"/>
  <c r="AS204" i="14"/>
  <c r="AR192" i="14"/>
  <c r="AT99" i="14"/>
  <c r="AS212" i="14"/>
  <c r="AT102" i="14"/>
  <c r="AS215" i="14"/>
  <c r="AT80" i="14"/>
  <c r="AS193" i="14"/>
  <c r="AW58" i="14"/>
  <c r="AX57" i="14" s="1"/>
  <c r="AW56" i="14"/>
  <c r="AX40" i="14"/>
  <c r="AX49" i="14" s="1"/>
  <c r="AY36" i="14"/>
  <c r="AE37" i="14"/>
  <c r="AI5" i="15"/>
  <c r="AH23" i="8"/>
  <c r="AH24" i="8" s="1"/>
  <c r="AX41" i="14" l="1"/>
  <c r="AX45" i="14" s="1"/>
  <c r="AX43" i="14"/>
  <c r="AX47" i="14" s="1"/>
  <c r="AX39" i="14" s="1"/>
  <c r="AW42" i="14"/>
  <c r="AV46" i="14"/>
  <c r="AW47" i="14"/>
  <c r="AW39" i="14" s="1"/>
  <c r="AW45" i="14"/>
  <c r="AU105" i="14"/>
  <c r="AT218" i="14"/>
  <c r="AU107" i="14"/>
  <c r="AT220" i="14"/>
  <c r="AU95" i="14"/>
  <c r="AT208" i="14"/>
  <c r="AS192" i="14"/>
  <c r="AU82" i="14"/>
  <c r="AT195" i="14"/>
  <c r="AV74" i="14"/>
  <c r="AU115" i="14"/>
  <c r="AU228" i="14" s="1"/>
  <c r="AU108" i="14"/>
  <c r="AU221" i="14" s="1"/>
  <c r="AU112" i="14"/>
  <c r="AU225" i="14" s="1"/>
  <c r="AU145" i="14"/>
  <c r="AU258" i="14" s="1"/>
  <c r="AU109" i="14"/>
  <c r="AU222" i="14" s="1"/>
  <c r="AU148" i="14"/>
  <c r="AU261" i="14" s="1"/>
  <c r="AU144" i="14"/>
  <c r="AU257" i="14" s="1"/>
  <c r="AU140" i="14"/>
  <c r="AU253" i="14" s="1"/>
  <c r="AU111" i="14"/>
  <c r="AU224" i="14" s="1"/>
  <c r="AU136" i="14"/>
  <c r="AU249" i="14" s="1"/>
  <c r="AU132" i="14"/>
  <c r="AU245" i="14" s="1"/>
  <c r="AU128" i="14"/>
  <c r="AU241" i="14" s="1"/>
  <c r="AU124" i="14"/>
  <c r="AU237" i="14" s="1"/>
  <c r="AU110" i="14"/>
  <c r="AU223" i="14" s="1"/>
  <c r="AU153" i="14"/>
  <c r="AU266" i="14" s="1"/>
  <c r="AU149" i="14"/>
  <c r="AU262" i="14" s="1"/>
  <c r="AU141" i="14"/>
  <c r="AU254" i="14" s="1"/>
  <c r="AU137" i="14"/>
  <c r="AU250" i="14" s="1"/>
  <c r="AU116" i="14"/>
  <c r="AU229" i="14" s="1"/>
  <c r="AU117" i="14"/>
  <c r="AU230" i="14" s="1"/>
  <c r="AU129" i="14"/>
  <c r="AU242" i="14" s="1"/>
  <c r="AU114" i="14"/>
  <c r="AU227" i="14" s="1"/>
  <c r="AU113" i="14"/>
  <c r="AU226" i="14" s="1"/>
  <c r="AU162" i="14"/>
  <c r="AU275" i="14" s="1"/>
  <c r="AU156" i="14"/>
  <c r="AU269" i="14" s="1"/>
  <c r="AU167" i="14"/>
  <c r="AU280" i="14" s="1"/>
  <c r="AU147" i="14"/>
  <c r="AU260" i="14" s="1"/>
  <c r="AU123" i="14"/>
  <c r="AU236" i="14" s="1"/>
  <c r="AU146" i="14"/>
  <c r="AU259" i="14" s="1"/>
  <c r="AU157" i="14"/>
  <c r="AU270" i="14" s="1"/>
  <c r="AU176" i="14"/>
  <c r="AU289" i="14" s="1"/>
  <c r="AU172" i="14"/>
  <c r="AU285" i="14" s="1"/>
  <c r="AU127" i="14"/>
  <c r="AU240" i="14" s="1"/>
  <c r="AU158" i="14"/>
  <c r="AU271" i="14" s="1"/>
  <c r="AU163" i="14"/>
  <c r="AU276" i="14" s="1"/>
  <c r="AU168" i="14"/>
  <c r="AU281" i="14" s="1"/>
  <c r="AU122" i="14"/>
  <c r="AU235" i="14" s="1"/>
  <c r="AU131" i="14"/>
  <c r="AU244" i="14" s="1"/>
  <c r="AU119" i="14"/>
  <c r="AU232" i="14" s="1"/>
  <c r="AU126" i="14"/>
  <c r="AU239" i="14" s="1"/>
  <c r="AU159" i="14"/>
  <c r="AU272" i="14" s="1"/>
  <c r="AU177" i="14"/>
  <c r="AU290" i="14" s="1"/>
  <c r="AU173" i="14"/>
  <c r="AU286" i="14" s="1"/>
  <c r="AU135" i="14"/>
  <c r="AU248" i="14" s="1"/>
  <c r="AU164" i="14"/>
  <c r="AU277" i="14" s="1"/>
  <c r="AU125" i="14"/>
  <c r="AU238" i="14" s="1"/>
  <c r="AU121" i="14"/>
  <c r="AU234" i="14" s="1"/>
  <c r="AU118" i="14"/>
  <c r="AU231" i="14" s="1"/>
  <c r="AU120" i="14"/>
  <c r="AU233" i="14" s="1"/>
  <c r="AU174" i="14"/>
  <c r="AU287" i="14" s="1"/>
  <c r="AU171" i="14"/>
  <c r="AU284" i="14" s="1"/>
  <c r="AU138" i="14"/>
  <c r="AU251" i="14" s="1"/>
  <c r="AU154" i="14"/>
  <c r="AU267" i="14" s="1"/>
  <c r="AU151" i="14"/>
  <c r="AU264" i="14" s="1"/>
  <c r="AU170" i="14"/>
  <c r="AU283" i="14" s="1"/>
  <c r="AU133" i="14"/>
  <c r="AU246" i="14" s="1"/>
  <c r="AU161" i="14"/>
  <c r="AU274" i="14" s="1"/>
  <c r="AU134" i="14"/>
  <c r="AU247" i="14" s="1"/>
  <c r="AU143" i="14"/>
  <c r="AU256" i="14" s="1"/>
  <c r="AU139" i="14"/>
  <c r="AU252" i="14" s="1"/>
  <c r="AU150" i="14"/>
  <c r="AU263" i="14" s="1"/>
  <c r="AU169" i="14"/>
  <c r="AU282" i="14" s="1"/>
  <c r="AU179" i="14"/>
  <c r="AU292" i="14" s="1"/>
  <c r="AU160" i="14"/>
  <c r="AU273" i="14" s="1"/>
  <c r="AU130" i="14"/>
  <c r="AU243" i="14" s="1"/>
  <c r="AU155" i="14"/>
  <c r="AU268" i="14" s="1"/>
  <c r="AU166" i="14"/>
  <c r="AU279" i="14" s="1"/>
  <c r="AU178" i="14"/>
  <c r="AU291" i="14" s="1"/>
  <c r="AU175" i="14"/>
  <c r="AU288" i="14" s="1"/>
  <c r="AU152" i="14"/>
  <c r="AU265" i="14" s="1"/>
  <c r="AU142" i="14"/>
  <c r="AU255" i="14" s="1"/>
  <c r="AU165" i="14"/>
  <c r="AU278" i="14" s="1"/>
  <c r="AU93" i="14"/>
  <c r="AT206" i="14"/>
  <c r="AU100" i="14"/>
  <c r="AT213" i="14"/>
  <c r="AU97" i="14"/>
  <c r="AT210" i="14"/>
  <c r="AU104" i="14"/>
  <c r="AT217" i="14"/>
  <c r="AU90" i="14"/>
  <c r="AT203" i="14"/>
  <c r="AU98" i="14"/>
  <c r="AT211" i="14"/>
  <c r="AU83" i="14"/>
  <c r="AT196" i="14"/>
  <c r="AU87" i="14"/>
  <c r="AT200" i="14"/>
  <c r="AU99" i="14"/>
  <c r="AT212" i="14"/>
  <c r="AU103" i="14"/>
  <c r="AT216" i="14"/>
  <c r="AU89" i="14"/>
  <c r="AT202" i="14"/>
  <c r="AU86" i="14"/>
  <c r="AT199" i="14"/>
  <c r="AU94" i="14"/>
  <c r="AT207" i="14"/>
  <c r="AU92" i="14"/>
  <c r="AT205" i="14"/>
  <c r="AU101" i="14"/>
  <c r="AT214" i="14"/>
  <c r="AU84" i="14"/>
  <c r="AT197" i="14"/>
  <c r="AU85" i="14"/>
  <c r="AT198" i="14"/>
  <c r="AU81" i="14"/>
  <c r="AT194" i="14"/>
  <c r="AU91" i="14"/>
  <c r="AT204" i="14"/>
  <c r="AU96" i="14"/>
  <c r="AT209" i="14"/>
  <c r="AU80" i="14"/>
  <c r="AT193" i="14"/>
  <c r="AU106" i="14"/>
  <c r="AT219" i="14"/>
  <c r="AU102" i="14"/>
  <c r="AT215" i="14"/>
  <c r="AU88" i="14"/>
  <c r="AT201" i="14"/>
  <c r="AX58" i="14"/>
  <c r="AY57" i="14" s="1"/>
  <c r="AX56" i="14"/>
  <c r="AE38" i="14"/>
  <c r="AZ36" i="14"/>
  <c r="AY40" i="14"/>
  <c r="AY49" i="14" s="1"/>
  <c r="AJ4" i="15"/>
  <c r="AI23" i="8"/>
  <c r="AI24" i="8" s="1"/>
  <c r="AY43" i="14" l="1"/>
  <c r="AY41" i="14"/>
  <c r="AX42" i="14"/>
  <c r="AW46" i="14"/>
  <c r="AV94" i="14"/>
  <c r="AU207" i="14"/>
  <c r="AV89" i="14"/>
  <c r="AU202" i="14"/>
  <c r="AV84" i="14"/>
  <c r="AU197" i="14"/>
  <c r="AV103" i="14"/>
  <c r="AU216" i="14"/>
  <c r="AV98" i="14"/>
  <c r="AU211" i="14"/>
  <c r="AV92" i="14"/>
  <c r="AU205" i="14"/>
  <c r="AW74" i="14"/>
  <c r="AV108" i="14"/>
  <c r="AV221" i="14" s="1"/>
  <c r="AV112" i="14"/>
  <c r="AV225" i="14" s="1"/>
  <c r="AV134" i="14"/>
  <c r="AV247" i="14" s="1"/>
  <c r="AV116" i="14"/>
  <c r="AV229" i="14" s="1"/>
  <c r="AV109" i="14"/>
  <c r="AV222" i="14" s="1"/>
  <c r="AV120" i="14"/>
  <c r="AV233" i="14" s="1"/>
  <c r="AV148" i="14"/>
  <c r="AV261" i="14" s="1"/>
  <c r="AV144" i="14"/>
  <c r="AV257" i="14" s="1"/>
  <c r="AV140" i="14"/>
  <c r="AV253" i="14" s="1"/>
  <c r="AV111" i="14"/>
  <c r="AV224" i="14" s="1"/>
  <c r="AV136" i="14"/>
  <c r="AV249" i="14" s="1"/>
  <c r="AV132" i="14"/>
  <c r="AV245" i="14" s="1"/>
  <c r="AV128" i="14"/>
  <c r="AV241" i="14" s="1"/>
  <c r="AV124" i="14"/>
  <c r="AV237" i="14" s="1"/>
  <c r="AV157" i="14"/>
  <c r="AV270" i="14" s="1"/>
  <c r="AV110" i="14"/>
  <c r="AV223" i="14" s="1"/>
  <c r="AV153" i="14"/>
  <c r="AV266" i="14" s="1"/>
  <c r="AV145" i="14"/>
  <c r="AV258" i="14" s="1"/>
  <c r="AV141" i="14"/>
  <c r="AV254" i="14" s="1"/>
  <c r="AV133" i="14"/>
  <c r="AV246" i="14" s="1"/>
  <c r="AV115" i="14"/>
  <c r="AV228" i="14" s="1"/>
  <c r="AV117" i="14"/>
  <c r="AV230" i="14" s="1"/>
  <c r="AV114" i="14"/>
  <c r="AV227" i="14" s="1"/>
  <c r="AV162" i="14"/>
  <c r="AV275" i="14" s="1"/>
  <c r="AV113" i="14"/>
  <c r="AV226" i="14" s="1"/>
  <c r="AV156" i="14"/>
  <c r="AV269" i="14" s="1"/>
  <c r="AV167" i="14"/>
  <c r="AV280" i="14" s="1"/>
  <c r="AV147" i="14"/>
  <c r="AV260" i="14" s="1"/>
  <c r="AV123" i="14"/>
  <c r="AV236" i="14" s="1"/>
  <c r="AV146" i="14"/>
  <c r="AV259" i="14" s="1"/>
  <c r="AV176" i="14"/>
  <c r="AV289" i="14" s="1"/>
  <c r="AV172" i="14"/>
  <c r="AV285" i="14" s="1"/>
  <c r="AV127" i="14"/>
  <c r="AV240" i="14" s="1"/>
  <c r="AV158" i="14"/>
  <c r="AV271" i="14" s="1"/>
  <c r="AV163" i="14"/>
  <c r="AV276" i="14" s="1"/>
  <c r="AV168" i="14"/>
  <c r="AV281" i="14" s="1"/>
  <c r="AV122" i="14"/>
  <c r="AV235" i="14" s="1"/>
  <c r="AV131" i="14"/>
  <c r="AV244" i="14" s="1"/>
  <c r="AV119" i="14"/>
  <c r="AV232" i="14" s="1"/>
  <c r="AV126" i="14"/>
  <c r="AV239" i="14" s="1"/>
  <c r="AV159" i="14"/>
  <c r="AV272" i="14" s="1"/>
  <c r="AV177" i="14"/>
  <c r="AV290" i="14" s="1"/>
  <c r="AV173" i="14"/>
  <c r="AV286" i="14" s="1"/>
  <c r="AV125" i="14"/>
  <c r="AV238" i="14" s="1"/>
  <c r="AV121" i="14"/>
  <c r="AV234" i="14" s="1"/>
  <c r="AV118" i="14"/>
  <c r="AV231" i="14" s="1"/>
  <c r="AV174" i="14"/>
  <c r="AV287" i="14" s="1"/>
  <c r="AV165" i="14"/>
  <c r="AV278" i="14" s="1"/>
  <c r="AV149" i="14"/>
  <c r="AV262" i="14" s="1"/>
  <c r="AV171" i="14"/>
  <c r="AV284" i="14" s="1"/>
  <c r="AV138" i="14"/>
  <c r="AV251" i="14" s="1"/>
  <c r="AV151" i="14"/>
  <c r="AV264" i="14" s="1"/>
  <c r="AV164" i="14"/>
  <c r="AV277" i="14" s="1"/>
  <c r="AV129" i="14"/>
  <c r="AV242" i="14" s="1"/>
  <c r="AV170" i="14"/>
  <c r="AV283" i="14" s="1"/>
  <c r="AV161" i="14"/>
  <c r="AV274" i="14" s="1"/>
  <c r="AV154" i="14"/>
  <c r="AV267" i="14" s="1"/>
  <c r="AV143" i="14"/>
  <c r="AV256" i="14" s="1"/>
  <c r="AV139" i="14"/>
  <c r="AV252" i="14" s="1"/>
  <c r="AV150" i="14"/>
  <c r="AV263" i="14" s="1"/>
  <c r="AV169" i="14"/>
  <c r="AV282" i="14" s="1"/>
  <c r="AV179" i="14"/>
  <c r="AV292" i="14" s="1"/>
  <c r="AV160" i="14"/>
  <c r="AV273" i="14" s="1"/>
  <c r="AV130" i="14"/>
  <c r="AV243" i="14" s="1"/>
  <c r="AV155" i="14"/>
  <c r="AV268" i="14" s="1"/>
  <c r="AV166" i="14"/>
  <c r="AV279" i="14" s="1"/>
  <c r="AV137" i="14"/>
  <c r="AV250" i="14" s="1"/>
  <c r="AV178" i="14"/>
  <c r="AV291" i="14" s="1"/>
  <c r="AV135" i="14"/>
  <c r="AV248" i="14" s="1"/>
  <c r="AV175" i="14"/>
  <c r="AV288" i="14" s="1"/>
  <c r="AV152" i="14"/>
  <c r="AV265" i="14" s="1"/>
  <c r="AV142" i="14"/>
  <c r="AV255" i="14" s="1"/>
  <c r="AV83" i="14"/>
  <c r="AU196" i="14"/>
  <c r="AV101" i="14"/>
  <c r="AU214" i="14"/>
  <c r="AV87" i="14"/>
  <c r="AU200" i="14"/>
  <c r="AV82" i="14"/>
  <c r="AU195" i="14"/>
  <c r="AV99" i="14"/>
  <c r="AU212" i="14"/>
  <c r="AV104" i="14"/>
  <c r="AU217" i="14"/>
  <c r="AV96" i="14"/>
  <c r="AU209" i="14"/>
  <c r="AV100" i="14"/>
  <c r="AU213" i="14"/>
  <c r="AV95" i="14"/>
  <c r="AU208" i="14"/>
  <c r="AT192" i="14"/>
  <c r="AV97" i="14"/>
  <c r="AU210" i="14"/>
  <c r="AV85" i="14"/>
  <c r="AU198" i="14"/>
  <c r="AV86" i="14"/>
  <c r="AU199" i="14"/>
  <c r="AV90" i="14"/>
  <c r="AU203" i="14"/>
  <c r="AV80" i="14"/>
  <c r="AU193" i="14"/>
  <c r="AV91" i="14"/>
  <c r="AU204" i="14"/>
  <c r="AV93" i="14"/>
  <c r="AU206" i="14"/>
  <c r="AV107" i="14"/>
  <c r="AU220" i="14"/>
  <c r="AV88" i="14"/>
  <c r="AU201" i="14"/>
  <c r="AV102" i="14"/>
  <c r="AU215" i="14"/>
  <c r="AV106" i="14"/>
  <c r="AU219" i="14"/>
  <c r="AV81" i="14"/>
  <c r="AU194" i="14"/>
  <c r="AV105" i="14"/>
  <c r="AU218" i="14"/>
  <c r="AY58" i="14"/>
  <c r="AZ57" i="14" s="1"/>
  <c r="AY56" i="14"/>
  <c r="AF37" i="14"/>
  <c r="BA36" i="14"/>
  <c r="AZ40" i="14"/>
  <c r="AZ49" i="14" s="1"/>
  <c r="AJ5" i="15"/>
  <c r="AJ23" i="8"/>
  <c r="AJ24" i="8" s="1"/>
  <c r="AZ43" i="14" l="1"/>
  <c r="AZ47" i="14" s="1"/>
  <c r="AZ39" i="14" s="1"/>
  <c r="AZ41" i="14"/>
  <c r="AZ45" i="14" s="1"/>
  <c r="AY42" i="14"/>
  <c r="AX46" i="14"/>
  <c r="AY45" i="14"/>
  <c r="AY47" i="14"/>
  <c r="AY39" i="14" s="1"/>
  <c r="AW100" i="14"/>
  <c r="AV213" i="14"/>
  <c r="AW90" i="14"/>
  <c r="AV203" i="14"/>
  <c r="AX74" i="14"/>
  <c r="AW115" i="14"/>
  <c r="AW228" i="14" s="1"/>
  <c r="AW108" i="14"/>
  <c r="AW221" i="14" s="1"/>
  <c r="AW112" i="14"/>
  <c r="AW225" i="14" s="1"/>
  <c r="AW123" i="14"/>
  <c r="AW236" i="14" s="1"/>
  <c r="AW163" i="14"/>
  <c r="AW276" i="14" s="1"/>
  <c r="AW116" i="14"/>
  <c r="AW229" i="14" s="1"/>
  <c r="AW109" i="14"/>
  <c r="AW222" i="14" s="1"/>
  <c r="AW152" i="14"/>
  <c r="AW265" i="14" s="1"/>
  <c r="AW176" i="14"/>
  <c r="AW289" i="14" s="1"/>
  <c r="AW148" i="14"/>
  <c r="AW261" i="14" s="1"/>
  <c r="AW144" i="14"/>
  <c r="AW257" i="14" s="1"/>
  <c r="AW140" i="14"/>
  <c r="AW253" i="14" s="1"/>
  <c r="AW111" i="14"/>
  <c r="AW224" i="14" s="1"/>
  <c r="AW136" i="14"/>
  <c r="AW249" i="14" s="1"/>
  <c r="AW132" i="14"/>
  <c r="AW245" i="14" s="1"/>
  <c r="AW128" i="14"/>
  <c r="AW241" i="14" s="1"/>
  <c r="AW124" i="14"/>
  <c r="AW237" i="14" s="1"/>
  <c r="AW157" i="14"/>
  <c r="AW270" i="14" s="1"/>
  <c r="AW110" i="14"/>
  <c r="AW223" i="14" s="1"/>
  <c r="AW149" i="14"/>
  <c r="AW262" i="14" s="1"/>
  <c r="AW137" i="14"/>
  <c r="AW250" i="14" s="1"/>
  <c r="AW117" i="14"/>
  <c r="AW230" i="14" s="1"/>
  <c r="AW141" i="14"/>
  <c r="AW254" i="14" s="1"/>
  <c r="AW162" i="14"/>
  <c r="AW275" i="14" s="1"/>
  <c r="AW113" i="14"/>
  <c r="AW226" i="14" s="1"/>
  <c r="AW156" i="14"/>
  <c r="AW269" i="14" s="1"/>
  <c r="AW167" i="14"/>
  <c r="AW280" i="14" s="1"/>
  <c r="AW147" i="14"/>
  <c r="AW260" i="14" s="1"/>
  <c r="AW146" i="14"/>
  <c r="AW259" i="14" s="1"/>
  <c r="AW172" i="14"/>
  <c r="AW285" i="14" s="1"/>
  <c r="AW127" i="14"/>
  <c r="AW240" i="14" s="1"/>
  <c r="AW158" i="14"/>
  <c r="AW271" i="14" s="1"/>
  <c r="AW145" i="14"/>
  <c r="AW258" i="14" s="1"/>
  <c r="AW168" i="14"/>
  <c r="AW281" i="14" s="1"/>
  <c r="AW122" i="14"/>
  <c r="AW235" i="14" s="1"/>
  <c r="AW131" i="14"/>
  <c r="AW244" i="14" s="1"/>
  <c r="AW119" i="14"/>
  <c r="AW232" i="14" s="1"/>
  <c r="AW126" i="14"/>
  <c r="AW239" i="14" s="1"/>
  <c r="AW159" i="14"/>
  <c r="AW272" i="14" s="1"/>
  <c r="AW177" i="14"/>
  <c r="AW290" i="14" s="1"/>
  <c r="AW125" i="14"/>
  <c r="AW238" i="14" s="1"/>
  <c r="AW114" i="14"/>
  <c r="AW227" i="14" s="1"/>
  <c r="AW121" i="14"/>
  <c r="AW234" i="14" s="1"/>
  <c r="AW118" i="14"/>
  <c r="AW231" i="14" s="1"/>
  <c r="AW133" i="14"/>
  <c r="AW246" i="14" s="1"/>
  <c r="AW154" i="14"/>
  <c r="AW267" i="14" s="1"/>
  <c r="AW174" i="14"/>
  <c r="AW287" i="14" s="1"/>
  <c r="AW171" i="14"/>
  <c r="AW284" i="14" s="1"/>
  <c r="AW138" i="14"/>
  <c r="AW251" i="14" s="1"/>
  <c r="AW169" i="14"/>
  <c r="AW282" i="14" s="1"/>
  <c r="AW151" i="14"/>
  <c r="AW264" i="14" s="1"/>
  <c r="AW164" i="14"/>
  <c r="AW277" i="14" s="1"/>
  <c r="AW129" i="14"/>
  <c r="AW242" i="14" s="1"/>
  <c r="AW173" i="14"/>
  <c r="AW286" i="14" s="1"/>
  <c r="AW179" i="14"/>
  <c r="AW292" i="14" s="1"/>
  <c r="AW170" i="14"/>
  <c r="AW283" i="14" s="1"/>
  <c r="AW153" i="14"/>
  <c r="AW266" i="14" s="1"/>
  <c r="AW161" i="14"/>
  <c r="AW274" i="14" s="1"/>
  <c r="AW134" i="14"/>
  <c r="AW247" i="14" s="1"/>
  <c r="AW143" i="14"/>
  <c r="AW256" i="14" s="1"/>
  <c r="AW142" i="14"/>
  <c r="AW255" i="14" s="1"/>
  <c r="AW165" i="14"/>
  <c r="AW278" i="14" s="1"/>
  <c r="AW139" i="14"/>
  <c r="AW252" i="14" s="1"/>
  <c r="AW150" i="14"/>
  <c r="AW263" i="14" s="1"/>
  <c r="AW160" i="14"/>
  <c r="AW273" i="14" s="1"/>
  <c r="AW130" i="14"/>
  <c r="AW243" i="14" s="1"/>
  <c r="AW155" i="14"/>
  <c r="AW268" i="14" s="1"/>
  <c r="AW120" i="14"/>
  <c r="AW233" i="14" s="1"/>
  <c r="AW166" i="14"/>
  <c r="AW279" i="14" s="1"/>
  <c r="AW178" i="14"/>
  <c r="AW291" i="14" s="1"/>
  <c r="AW135" i="14"/>
  <c r="AW248" i="14" s="1"/>
  <c r="AW175" i="14"/>
  <c r="AW288" i="14" s="1"/>
  <c r="AW93" i="14"/>
  <c r="AV206" i="14"/>
  <c r="AU192" i="14"/>
  <c r="AW80" i="14"/>
  <c r="AV193" i="14"/>
  <c r="AW85" i="14"/>
  <c r="AV198" i="14"/>
  <c r="AW98" i="14"/>
  <c r="AV211" i="14"/>
  <c r="AW96" i="14"/>
  <c r="AV209" i="14"/>
  <c r="AW104" i="14"/>
  <c r="AV217" i="14"/>
  <c r="AW82" i="14"/>
  <c r="AV195" i="14"/>
  <c r="AW103" i="14"/>
  <c r="AV216" i="14"/>
  <c r="AW86" i="14"/>
  <c r="AV199" i="14"/>
  <c r="AW97" i="14"/>
  <c r="AV210" i="14"/>
  <c r="AW99" i="14"/>
  <c r="AV212" i="14"/>
  <c r="AW105" i="14"/>
  <c r="AV218" i="14"/>
  <c r="AW84" i="14"/>
  <c r="AV197" i="14"/>
  <c r="AW95" i="14"/>
  <c r="AV208" i="14"/>
  <c r="AW83" i="14"/>
  <c r="AV196" i="14"/>
  <c r="AW88" i="14"/>
  <c r="AV201" i="14"/>
  <c r="AW89" i="14"/>
  <c r="AV202" i="14"/>
  <c r="AW92" i="14"/>
  <c r="AV205" i="14"/>
  <c r="AW102" i="14"/>
  <c r="AV215" i="14"/>
  <c r="AW87" i="14"/>
  <c r="AV200" i="14"/>
  <c r="AW91" i="14"/>
  <c r="AV204" i="14"/>
  <c r="AW81" i="14"/>
  <c r="AV194" i="14"/>
  <c r="AW101" i="14"/>
  <c r="AV214" i="14"/>
  <c r="AW106" i="14"/>
  <c r="AV219" i="14"/>
  <c r="AW107" i="14"/>
  <c r="AV220" i="14"/>
  <c r="AW94" i="14"/>
  <c r="AV207" i="14"/>
  <c r="AZ58" i="14"/>
  <c r="BA57" i="14" s="1"/>
  <c r="AZ56" i="14"/>
  <c r="BB36" i="14"/>
  <c r="BA40" i="14"/>
  <c r="BA49" i="14" s="1"/>
  <c r="AF38" i="14"/>
  <c r="AK4" i="15"/>
  <c r="AK23" i="8"/>
  <c r="AK24" i="8" s="1"/>
  <c r="BA43" i="14" l="1"/>
  <c r="BA41" i="14"/>
  <c r="AZ42" i="14"/>
  <c r="AY46" i="14"/>
  <c r="AX93" i="14"/>
  <c r="AW206" i="14"/>
  <c r="AX102" i="14"/>
  <c r="AW215" i="14"/>
  <c r="AX83" i="14"/>
  <c r="AW196" i="14"/>
  <c r="AX95" i="14"/>
  <c r="AW208" i="14"/>
  <c r="AX84" i="14"/>
  <c r="AW197" i="14"/>
  <c r="AX82" i="14"/>
  <c r="AW195" i="14"/>
  <c r="AX86" i="14"/>
  <c r="AW199" i="14"/>
  <c r="AX97" i="14"/>
  <c r="AW210" i="14"/>
  <c r="AX106" i="14"/>
  <c r="AW219" i="14"/>
  <c r="AX104" i="14"/>
  <c r="AW217" i="14"/>
  <c r="AX105" i="14"/>
  <c r="AW218" i="14"/>
  <c r="AX101" i="14"/>
  <c r="AW214" i="14"/>
  <c r="AX98" i="14"/>
  <c r="AW211" i="14"/>
  <c r="AY74" i="14"/>
  <c r="AX111" i="14"/>
  <c r="AX224" i="14" s="1"/>
  <c r="AX122" i="14"/>
  <c r="AX235" i="14" s="1"/>
  <c r="AX108" i="14"/>
  <c r="AX221" i="14" s="1"/>
  <c r="AX112" i="14"/>
  <c r="AX225" i="14" s="1"/>
  <c r="AX152" i="14"/>
  <c r="AX265" i="14" s="1"/>
  <c r="AX148" i="14"/>
  <c r="AX261" i="14" s="1"/>
  <c r="AX144" i="14"/>
  <c r="AX257" i="14" s="1"/>
  <c r="AX140" i="14"/>
  <c r="AX253" i="14" s="1"/>
  <c r="AX136" i="14"/>
  <c r="AX249" i="14" s="1"/>
  <c r="AX132" i="14"/>
  <c r="AX245" i="14" s="1"/>
  <c r="AX128" i="14"/>
  <c r="AX241" i="14" s="1"/>
  <c r="AX124" i="14"/>
  <c r="AX237" i="14" s="1"/>
  <c r="AX110" i="14"/>
  <c r="AX223" i="14" s="1"/>
  <c r="AX145" i="14"/>
  <c r="AX258" i="14" s="1"/>
  <c r="AX116" i="14"/>
  <c r="AX229" i="14" s="1"/>
  <c r="AX115" i="14"/>
  <c r="AX228" i="14" s="1"/>
  <c r="AX155" i="14"/>
  <c r="AX268" i="14" s="1"/>
  <c r="AX171" i="14"/>
  <c r="AX284" i="14" s="1"/>
  <c r="AX141" i="14"/>
  <c r="AX254" i="14" s="1"/>
  <c r="AX162" i="14"/>
  <c r="AX275" i="14" s="1"/>
  <c r="AX113" i="14"/>
  <c r="AX226" i="14" s="1"/>
  <c r="AX156" i="14"/>
  <c r="AX269" i="14" s="1"/>
  <c r="AX167" i="14"/>
  <c r="AX280" i="14" s="1"/>
  <c r="AX147" i="14"/>
  <c r="AX260" i="14" s="1"/>
  <c r="AX157" i="14"/>
  <c r="AX270" i="14" s="1"/>
  <c r="AX123" i="14"/>
  <c r="AX236" i="14" s="1"/>
  <c r="AX176" i="14"/>
  <c r="AX289" i="14" s="1"/>
  <c r="AX146" i="14"/>
  <c r="AX259" i="14" s="1"/>
  <c r="AX117" i="14"/>
  <c r="AX230" i="14" s="1"/>
  <c r="AX172" i="14"/>
  <c r="AX285" i="14" s="1"/>
  <c r="AX163" i="14"/>
  <c r="AX276" i="14" s="1"/>
  <c r="AX127" i="14"/>
  <c r="AX240" i="14" s="1"/>
  <c r="AX158" i="14"/>
  <c r="AX271" i="14" s="1"/>
  <c r="AX168" i="14"/>
  <c r="AX281" i="14" s="1"/>
  <c r="AX109" i="14"/>
  <c r="AX222" i="14" s="1"/>
  <c r="AX131" i="14"/>
  <c r="AX244" i="14" s="1"/>
  <c r="AX119" i="14"/>
  <c r="AX232" i="14" s="1"/>
  <c r="AX126" i="14"/>
  <c r="AX239" i="14" s="1"/>
  <c r="AX125" i="14"/>
  <c r="AX238" i="14" s="1"/>
  <c r="AX114" i="14"/>
  <c r="AX227" i="14" s="1"/>
  <c r="AX121" i="14"/>
  <c r="AX234" i="14" s="1"/>
  <c r="AX118" i="14"/>
  <c r="AX231" i="14" s="1"/>
  <c r="AX142" i="14"/>
  <c r="AX255" i="14" s="1"/>
  <c r="AX165" i="14"/>
  <c r="AX278" i="14" s="1"/>
  <c r="AX177" i="14"/>
  <c r="AX290" i="14" s="1"/>
  <c r="AX133" i="14"/>
  <c r="AX246" i="14" s="1"/>
  <c r="AX154" i="14"/>
  <c r="AX267" i="14" s="1"/>
  <c r="AX174" i="14"/>
  <c r="AX287" i="14" s="1"/>
  <c r="AX149" i="14"/>
  <c r="AX262" i="14" s="1"/>
  <c r="AX138" i="14"/>
  <c r="AX251" i="14" s="1"/>
  <c r="AX151" i="14"/>
  <c r="AX264" i="14" s="1"/>
  <c r="AX164" i="14"/>
  <c r="AX277" i="14" s="1"/>
  <c r="AX129" i="14"/>
  <c r="AX242" i="14" s="1"/>
  <c r="AX173" i="14"/>
  <c r="AX286" i="14" s="1"/>
  <c r="AX161" i="14"/>
  <c r="AX274" i="14" s="1"/>
  <c r="AX170" i="14"/>
  <c r="AX283" i="14" s="1"/>
  <c r="AX153" i="14"/>
  <c r="AX266" i="14" s="1"/>
  <c r="AX134" i="14"/>
  <c r="AX247" i="14" s="1"/>
  <c r="AX143" i="14"/>
  <c r="AX256" i="14" s="1"/>
  <c r="AX139" i="14"/>
  <c r="AX252" i="14" s="1"/>
  <c r="AX150" i="14"/>
  <c r="AX263" i="14" s="1"/>
  <c r="AX169" i="14"/>
  <c r="AX282" i="14" s="1"/>
  <c r="AX179" i="14"/>
  <c r="AX292" i="14" s="1"/>
  <c r="AX160" i="14"/>
  <c r="AX273" i="14" s="1"/>
  <c r="AX130" i="14"/>
  <c r="AX243" i="14" s="1"/>
  <c r="AX120" i="14"/>
  <c r="AX233" i="14" s="1"/>
  <c r="AX137" i="14"/>
  <c r="AX250" i="14" s="1"/>
  <c r="AX166" i="14"/>
  <c r="AX279" i="14" s="1"/>
  <c r="AX178" i="14"/>
  <c r="AX291" i="14" s="1"/>
  <c r="AX135" i="14"/>
  <c r="AX248" i="14" s="1"/>
  <c r="AX175" i="14"/>
  <c r="AX288" i="14" s="1"/>
  <c r="AX159" i="14"/>
  <c r="AX272" i="14" s="1"/>
  <c r="AX94" i="14"/>
  <c r="AW207" i="14"/>
  <c r="AX87" i="14"/>
  <c r="AW200" i="14"/>
  <c r="AX88" i="14"/>
  <c r="AW201" i="14"/>
  <c r="AX99" i="14"/>
  <c r="AW212" i="14"/>
  <c r="AX107" i="14"/>
  <c r="AW220" i="14"/>
  <c r="AX96" i="14"/>
  <c r="AW209" i="14"/>
  <c r="AX81" i="14"/>
  <c r="AW194" i="14"/>
  <c r="AX91" i="14"/>
  <c r="AW204" i="14"/>
  <c r="AX85" i="14"/>
  <c r="AW198" i="14"/>
  <c r="AX90" i="14"/>
  <c r="AW203" i="14"/>
  <c r="AX92" i="14"/>
  <c r="AW205" i="14"/>
  <c r="AX89" i="14"/>
  <c r="AW202" i="14"/>
  <c r="AX103" i="14"/>
  <c r="AW216" i="14"/>
  <c r="AV192" i="14"/>
  <c r="AX80" i="14"/>
  <c r="AW193" i="14"/>
  <c r="AX100" i="14"/>
  <c r="AW213" i="14"/>
  <c r="BA58" i="14"/>
  <c r="BB57" i="14" s="1"/>
  <c r="BA56" i="14"/>
  <c r="AG37" i="14"/>
  <c r="BC36" i="14"/>
  <c r="BB40" i="14"/>
  <c r="BB49" i="14" s="1"/>
  <c r="AK5" i="15"/>
  <c r="AL23" i="8"/>
  <c r="AL24" i="8" s="1"/>
  <c r="BB43" i="14" l="1"/>
  <c r="BB47" i="14" s="1"/>
  <c r="BB39" i="14" s="1"/>
  <c r="BB41" i="14"/>
  <c r="BB45" i="14" s="1"/>
  <c r="BA42" i="14"/>
  <c r="AZ46" i="14"/>
  <c r="BA45" i="14"/>
  <c r="BA47" i="14"/>
  <c r="BA39" i="14" s="1"/>
  <c r="AY81" i="14"/>
  <c r="AX194" i="14"/>
  <c r="AY97" i="14"/>
  <c r="AX210" i="14"/>
  <c r="AY85" i="14"/>
  <c r="AX198" i="14"/>
  <c r="AY98" i="14"/>
  <c r="AX211" i="14"/>
  <c r="AY86" i="14"/>
  <c r="AX199" i="14"/>
  <c r="AY91" i="14"/>
  <c r="AX204" i="14"/>
  <c r="AY107" i="14"/>
  <c r="AX220" i="14"/>
  <c r="AY99" i="14"/>
  <c r="AX212" i="14"/>
  <c r="AY104" i="14"/>
  <c r="AX217" i="14"/>
  <c r="AZ74" i="14"/>
  <c r="AY111" i="14"/>
  <c r="AY224" i="14" s="1"/>
  <c r="AY108" i="14"/>
  <c r="AY221" i="14" s="1"/>
  <c r="AY141" i="14"/>
  <c r="AY254" i="14" s="1"/>
  <c r="AY112" i="14"/>
  <c r="AY225" i="14" s="1"/>
  <c r="AY123" i="14"/>
  <c r="AY236" i="14" s="1"/>
  <c r="AY156" i="14"/>
  <c r="AY269" i="14" s="1"/>
  <c r="AY152" i="14"/>
  <c r="AY265" i="14" s="1"/>
  <c r="AY148" i="14"/>
  <c r="AY261" i="14" s="1"/>
  <c r="AY144" i="14"/>
  <c r="AY257" i="14" s="1"/>
  <c r="AY140" i="14"/>
  <c r="AY253" i="14" s="1"/>
  <c r="AY136" i="14"/>
  <c r="AY249" i="14" s="1"/>
  <c r="AY132" i="14"/>
  <c r="AY245" i="14" s="1"/>
  <c r="AY128" i="14"/>
  <c r="AY241" i="14" s="1"/>
  <c r="AY124" i="14"/>
  <c r="AY237" i="14" s="1"/>
  <c r="AY110" i="14"/>
  <c r="AY223" i="14" s="1"/>
  <c r="AY149" i="14"/>
  <c r="AY262" i="14" s="1"/>
  <c r="AY116" i="14"/>
  <c r="AY229" i="14" s="1"/>
  <c r="AY120" i="14"/>
  <c r="AY233" i="14" s="1"/>
  <c r="AY175" i="14"/>
  <c r="AY288" i="14" s="1"/>
  <c r="AY155" i="14"/>
  <c r="AY268" i="14" s="1"/>
  <c r="AY171" i="14"/>
  <c r="AY284" i="14" s="1"/>
  <c r="AY162" i="14"/>
  <c r="AY275" i="14" s="1"/>
  <c r="AY113" i="14"/>
  <c r="AY226" i="14" s="1"/>
  <c r="AY115" i="14"/>
  <c r="AY228" i="14" s="1"/>
  <c r="AY167" i="14"/>
  <c r="AY280" i="14" s="1"/>
  <c r="AY147" i="14"/>
  <c r="AY260" i="14" s="1"/>
  <c r="AY157" i="14"/>
  <c r="AY270" i="14" s="1"/>
  <c r="AY176" i="14"/>
  <c r="AY289" i="14" s="1"/>
  <c r="AY146" i="14"/>
  <c r="AY259" i="14" s="1"/>
  <c r="AY117" i="14"/>
  <c r="AY230" i="14" s="1"/>
  <c r="AY172" i="14"/>
  <c r="AY285" i="14" s="1"/>
  <c r="AY163" i="14"/>
  <c r="AY276" i="14" s="1"/>
  <c r="AY127" i="14"/>
  <c r="AY240" i="14" s="1"/>
  <c r="AY145" i="14"/>
  <c r="AY258" i="14" s="1"/>
  <c r="AY158" i="14"/>
  <c r="AY271" i="14" s="1"/>
  <c r="AY122" i="14"/>
  <c r="AY235" i="14" s="1"/>
  <c r="AY168" i="14"/>
  <c r="AY281" i="14" s="1"/>
  <c r="AY109" i="14"/>
  <c r="AY222" i="14" s="1"/>
  <c r="AY131" i="14"/>
  <c r="AY244" i="14" s="1"/>
  <c r="AY119" i="14"/>
  <c r="AY232" i="14" s="1"/>
  <c r="AY126" i="14"/>
  <c r="AY239" i="14" s="1"/>
  <c r="AY125" i="14"/>
  <c r="AY238" i="14" s="1"/>
  <c r="AY114" i="14"/>
  <c r="AY227" i="14" s="1"/>
  <c r="AY121" i="14"/>
  <c r="AY234" i="14" s="1"/>
  <c r="AY118" i="14"/>
  <c r="AY231" i="14" s="1"/>
  <c r="AY142" i="14"/>
  <c r="AY255" i="14" s="1"/>
  <c r="AY165" i="14"/>
  <c r="AY278" i="14" s="1"/>
  <c r="AY177" i="14"/>
  <c r="AY290" i="14" s="1"/>
  <c r="AY133" i="14"/>
  <c r="AY246" i="14" s="1"/>
  <c r="AY154" i="14"/>
  <c r="AY267" i="14" s="1"/>
  <c r="AY174" i="14"/>
  <c r="AY287" i="14" s="1"/>
  <c r="AY138" i="14"/>
  <c r="AY251" i="14" s="1"/>
  <c r="AY151" i="14"/>
  <c r="AY264" i="14" s="1"/>
  <c r="AY164" i="14"/>
  <c r="AY277" i="14" s="1"/>
  <c r="AY173" i="14"/>
  <c r="AY286" i="14" s="1"/>
  <c r="AY170" i="14"/>
  <c r="AY283" i="14" s="1"/>
  <c r="AY129" i="14"/>
  <c r="AY242" i="14" s="1"/>
  <c r="AY153" i="14"/>
  <c r="AY266" i="14" s="1"/>
  <c r="AY161" i="14"/>
  <c r="AY274" i="14" s="1"/>
  <c r="AY134" i="14"/>
  <c r="AY247" i="14" s="1"/>
  <c r="AY143" i="14"/>
  <c r="AY256" i="14" s="1"/>
  <c r="AY139" i="14"/>
  <c r="AY252" i="14" s="1"/>
  <c r="AY150" i="14"/>
  <c r="AY263" i="14" s="1"/>
  <c r="AY169" i="14"/>
  <c r="AY282" i="14" s="1"/>
  <c r="AY179" i="14"/>
  <c r="AY292" i="14" s="1"/>
  <c r="AY160" i="14"/>
  <c r="AY273" i="14" s="1"/>
  <c r="AY130" i="14"/>
  <c r="AY243" i="14" s="1"/>
  <c r="AY137" i="14"/>
  <c r="AY250" i="14" s="1"/>
  <c r="AY166" i="14"/>
  <c r="AY279" i="14" s="1"/>
  <c r="AY178" i="14"/>
  <c r="AY291" i="14" s="1"/>
  <c r="AY135" i="14"/>
  <c r="AY248" i="14" s="1"/>
  <c r="AY159" i="14"/>
  <c r="AY272" i="14" s="1"/>
  <c r="AY96" i="14"/>
  <c r="AX209" i="14"/>
  <c r="AY82" i="14"/>
  <c r="AX195" i="14"/>
  <c r="AY90" i="14"/>
  <c r="AX203" i="14"/>
  <c r="AY88" i="14"/>
  <c r="AX201" i="14"/>
  <c r="AY87" i="14"/>
  <c r="AX200" i="14"/>
  <c r="AY94" i="14"/>
  <c r="AX207" i="14"/>
  <c r="AY100" i="14"/>
  <c r="AX213" i="14"/>
  <c r="AY80" i="14"/>
  <c r="AX193" i="14"/>
  <c r="AY105" i="14"/>
  <c r="AX218" i="14"/>
  <c r="AW192" i="14"/>
  <c r="AY95" i="14"/>
  <c r="AX208" i="14"/>
  <c r="AY84" i="14"/>
  <c r="AX197" i="14"/>
  <c r="AY83" i="14"/>
  <c r="AX196" i="14"/>
  <c r="AY103" i="14"/>
  <c r="AX216" i="14"/>
  <c r="AY89" i="14"/>
  <c r="AX202" i="14"/>
  <c r="AY101" i="14"/>
  <c r="AX214" i="14"/>
  <c r="AY106" i="14"/>
  <c r="AX219" i="14"/>
  <c r="AY102" i="14"/>
  <c r="AX215" i="14"/>
  <c r="AY92" i="14"/>
  <c r="AX205" i="14"/>
  <c r="AY93" i="14"/>
  <c r="AX206" i="14"/>
  <c r="BB58" i="14"/>
  <c r="BC57" i="14" s="1"/>
  <c r="BB56" i="14"/>
  <c r="AG38" i="14"/>
  <c r="BD36" i="14"/>
  <c r="BC40" i="14"/>
  <c r="BC49" i="14" s="1"/>
  <c r="AL4" i="15"/>
  <c r="AM23" i="8"/>
  <c r="AM24" i="8" s="1"/>
  <c r="AM34" i="8" l="1"/>
  <c r="AM33" i="8" s="1"/>
  <c r="BC43" i="14"/>
  <c r="BC41" i="14"/>
  <c r="BB42" i="14"/>
  <c r="BA46" i="14"/>
  <c r="AZ94" i="14"/>
  <c r="AY207" i="14"/>
  <c r="AZ104" i="14"/>
  <c r="AY217" i="14"/>
  <c r="AZ84" i="14"/>
  <c r="AY197" i="14"/>
  <c r="AX192" i="14"/>
  <c r="AZ99" i="14"/>
  <c r="AY212" i="14"/>
  <c r="BA74" i="14"/>
  <c r="AZ108" i="14"/>
  <c r="AZ221" i="14" s="1"/>
  <c r="AZ119" i="14"/>
  <c r="AZ232" i="14" s="1"/>
  <c r="AZ130" i="14"/>
  <c r="AZ243" i="14" s="1"/>
  <c r="AZ170" i="14"/>
  <c r="AZ283" i="14" s="1"/>
  <c r="AZ112" i="14"/>
  <c r="AZ225" i="14" s="1"/>
  <c r="AZ116" i="14"/>
  <c r="AZ229" i="14" s="1"/>
  <c r="AZ127" i="14"/>
  <c r="AZ240" i="14" s="1"/>
  <c r="AZ123" i="14"/>
  <c r="AZ236" i="14" s="1"/>
  <c r="AZ160" i="14"/>
  <c r="AZ273" i="14" s="1"/>
  <c r="AZ148" i="14"/>
  <c r="AZ261" i="14" s="1"/>
  <c r="AZ111" i="14"/>
  <c r="AZ224" i="14" s="1"/>
  <c r="AZ144" i="14"/>
  <c r="AZ257" i="14" s="1"/>
  <c r="AZ140" i="14"/>
  <c r="AZ253" i="14" s="1"/>
  <c r="AZ136" i="14"/>
  <c r="AZ249" i="14" s="1"/>
  <c r="AZ132" i="14"/>
  <c r="AZ245" i="14" s="1"/>
  <c r="AZ128" i="14"/>
  <c r="AZ241" i="14" s="1"/>
  <c r="AZ124" i="14"/>
  <c r="AZ237" i="14" s="1"/>
  <c r="AZ110" i="14"/>
  <c r="AZ223" i="14" s="1"/>
  <c r="AZ153" i="14"/>
  <c r="AZ266" i="14" s="1"/>
  <c r="AZ179" i="14"/>
  <c r="AZ292" i="14" s="1"/>
  <c r="AZ120" i="14"/>
  <c r="AZ233" i="14" s="1"/>
  <c r="AZ175" i="14"/>
  <c r="AZ288" i="14" s="1"/>
  <c r="AZ141" i="14"/>
  <c r="AZ254" i="14" s="1"/>
  <c r="AZ155" i="14"/>
  <c r="AZ268" i="14" s="1"/>
  <c r="AZ171" i="14"/>
  <c r="AZ284" i="14" s="1"/>
  <c r="AZ156" i="14"/>
  <c r="AZ269" i="14" s="1"/>
  <c r="AZ162" i="14"/>
  <c r="AZ275" i="14" s="1"/>
  <c r="AZ113" i="14"/>
  <c r="AZ226" i="14" s="1"/>
  <c r="AZ115" i="14"/>
  <c r="AZ228" i="14" s="1"/>
  <c r="AZ167" i="14"/>
  <c r="AZ280" i="14" s="1"/>
  <c r="AZ147" i="14"/>
  <c r="AZ260" i="14" s="1"/>
  <c r="AZ157" i="14"/>
  <c r="AZ270" i="14" s="1"/>
  <c r="AZ176" i="14"/>
  <c r="AZ289" i="14" s="1"/>
  <c r="AZ146" i="14"/>
  <c r="AZ259" i="14" s="1"/>
  <c r="AZ117" i="14"/>
  <c r="AZ230" i="14" s="1"/>
  <c r="AZ172" i="14"/>
  <c r="AZ285" i="14" s="1"/>
  <c r="AZ163" i="14"/>
  <c r="AZ276" i="14" s="1"/>
  <c r="AZ145" i="14"/>
  <c r="AZ258" i="14" s="1"/>
  <c r="AZ158" i="14"/>
  <c r="AZ271" i="14" s="1"/>
  <c r="AZ122" i="14"/>
  <c r="AZ235" i="14" s="1"/>
  <c r="AZ168" i="14"/>
  <c r="AZ281" i="14" s="1"/>
  <c r="AZ109" i="14"/>
  <c r="AZ222" i="14" s="1"/>
  <c r="AZ126" i="14"/>
  <c r="AZ239" i="14" s="1"/>
  <c r="AZ125" i="14"/>
  <c r="AZ238" i="14" s="1"/>
  <c r="AZ114" i="14"/>
  <c r="AZ227" i="14" s="1"/>
  <c r="AZ121" i="14"/>
  <c r="AZ234" i="14" s="1"/>
  <c r="AZ118" i="14"/>
  <c r="AZ231" i="14" s="1"/>
  <c r="AZ142" i="14"/>
  <c r="AZ255" i="14" s="1"/>
  <c r="AZ165" i="14"/>
  <c r="AZ278" i="14" s="1"/>
  <c r="AZ177" i="14"/>
  <c r="AZ290" i="14" s="1"/>
  <c r="AZ133" i="14"/>
  <c r="AZ246" i="14" s="1"/>
  <c r="AZ154" i="14"/>
  <c r="AZ267" i="14" s="1"/>
  <c r="AZ149" i="14"/>
  <c r="AZ262" i="14" s="1"/>
  <c r="AZ174" i="14"/>
  <c r="AZ287" i="14" s="1"/>
  <c r="AZ131" i="14"/>
  <c r="AZ244" i="14" s="1"/>
  <c r="AZ138" i="14"/>
  <c r="AZ251" i="14" s="1"/>
  <c r="AZ151" i="14"/>
  <c r="AZ264" i="14" s="1"/>
  <c r="AZ164" i="14"/>
  <c r="AZ277" i="14" s="1"/>
  <c r="AZ129" i="14"/>
  <c r="AZ242" i="14" s="1"/>
  <c r="AZ173" i="14"/>
  <c r="AZ286" i="14" s="1"/>
  <c r="AZ161" i="14"/>
  <c r="AZ274" i="14" s="1"/>
  <c r="AZ134" i="14"/>
  <c r="AZ247" i="14" s="1"/>
  <c r="AZ143" i="14"/>
  <c r="AZ256" i="14" s="1"/>
  <c r="AZ159" i="14"/>
  <c r="AZ272" i="14" s="1"/>
  <c r="AZ139" i="14"/>
  <c r="AZ252" i="14" s="1"/>
  <c r="AZ150" i="14"/>
  <c r="AZ263" i="14" s="1"/>
  <c r="AZ169" i="14"/>
  <c r="AZ282" i="14" s="1"/>
  <c r="AZ137" i="14"/>
  <c r="AZ250" i="14" s="1"/>
  <c r="AZ166" i="14"/>
  <c r="AZ279" i="14" s="1"/>
  <c r="AZ178" i="14"/>
  <c r="AZ291" i="14" s="1"/>
  <c r="AZ152" i="14"/>
  <c r="AZ265" i="14" s="1"/>
  <c r="AZ135" i="14"/>
  <c r="AZ248" i="14" s="1"/>
  <c r="AZ107" i="14"/>
  <c r="AY220" i="14"/>
  <c r="AZ83" i="14"/>
  <c r="AY196" i="14"/>
  <c r="AZ96" i="14"/>
  <c r="AY209" i="14"/>
  <c r="AZ91" i="14"/>
  <c r="AY204" i="14"/>
  <c r="AZ103" i="14"/>
  <c r="AY216" i="14"/>
  <c r="AZ86" i="14"/>
  <c r="AY199" i="14"/>
  <c r="AZ88" i="14"/>
  <c r="AY201" i="14"/>
  <c r="AZ82" i="14"/>
  <c r="AY195" i="14"/>
  <c r="AZ95" i="14"/>
  <c r="AY208" i="14"/>
  <c r="AZ105" i="14"/>
  <c r="AY218" i="14"/>
  <c r="AZ98" i="14"/>
  <c r="AY211" i="14"/>
  <c r="AZ106" i="14"/>
  <c r="AY219" i="14"/>
  <c r="AZ85" i="14"/>
  <c r="AY198" i="14"/>
  <c r="AZ93" i="14"/>
  <c r="AY206" i="14"/>
  <c r="AZ92" i="14"/>
  <c r="AY205" i="14"/>
  <c r="AZ101" i="14"/>
  <c r="AY214" i="14"/>
  <c r="AZ97" i="14"/>
  <c r="AY210" i="14"/>
  <c r="AZ80" i="14"/>
  <c r="AY193" i="14"/>
  <c r="AZ100" i="14"/>
  <c r="AY213" i="14"/>
  <c r="AZ87" i="14"/>
  <c r="AY200" i="14"/>
  <c r="AZ90" i="14"/>
  <c r="AY203" i="14"/>
  <c r="AZ102" i="14"/>
  <c r="AY215" i="14"/>
  <c r="AZ89" i="14"/>
  <c r="AY202" i="14"/>
  <c r="AZ81" i="14"/>
  <c r="AY194" i="14"/>
  <c r="BC58" i="14"/>
  <c r="BD57" i="14" s="1"/>
  <c r="BC56" i="14"/>
  <c r="AH37" i="14"/>
  <c r="BD40" i="14"/>
  <c r="BD49" i="14" s="1"/>
  <c r="BE36" i="14"/>
  <c r="AL5" i="15"/>
  <c r="AN23" i="8"/>
  <c r="AN24" i="8" s="1"/>
  <c r="AM44" i="8" l="1"/>
  <c r="AM39" i="8"/>
  <c r="AM42" i="8" s="1"/>
  <c r="AN34" i="8"/>
  <c r="AN33" i="8" s="1"/>
  <c r="BC42" i="14"/>
  <c r="BB46" i="14"/>
  <c r="BC45" i="14"/>
  <c r="BD43" i="14"/>
  <c r="BD47" i="14" s="1"/>
  <c r="BD39" i="14" s="1"/>
  <c r="BD41" i="14"/>
  <c r="BD45" i="14" s="1"/>
  <c r="BC47" i="14"/>
  <c r="BC39" i="14" s="1"/>
  <c r="BA85" i="14"/>
  <c r="AZ198" i="14"/>
  <c r="BA88" i="14"/>
  <c r="AZ201" i="14"/>
  <c r="BA106" i="14"/>
  <c r="AZ219" i="14"/>
  <c r="BA92" i="14"/>
  <c r="AZ205" i="14"/>
  <c r="BA95" i="14"/>
  <c r="AZ208" i="14"/>
  <c r="BA98" i="14"/>
  <c r="AZ211" i="14"/>
  <c r="BA99" i="14"/>
  <c r="AZ212" i="14"/>
  <c r="BA86" i="14"/>
  <c r="AZ199" i="14"/>
  <c r="BA101" i="14"/>
  <c r="AZ214" i="14"/>
  <c r="BA93" i="14"/>
  <c r="AZ206" i="14"/>
  <c r="BA82" i="14"/>
  <c r="AZ195" i="14"/>
  <c r="BA89" i="14"/>
  <c r="AZ202" i="14"/>
  <c r="BB74" i="14"/>
  <c r="BA118" i="14"/>
  <c r="BA231" i="14" s="1"/>
  <c r="BA111" i="14"/>
  <c r="BA224" i="14" s="1"/>
  <c r="BA108" i="14"/>
  <c r="BA221" i="14" s="1"/>
  <c r="BA119" i="14"/>
  <c r="BA232" i="14" s="1"/>
  <c r="BA159" i="14"/>
  <c r="BA272" i="14" s="1"/>
  <c r="BA112" i="14"/>
  <c r="BA225" i="14" s="1"/>
  <c r="BA131" i="14"/>
  <c r="BA244" i="14" s="1"/>
  <c r="BA127" i="14"/>
  <c r="BA240" i="14" s="1"/>
  <c r="BA164" i="14"/>
  <c r="BA277" i="14" s="1"/>
  <c r="BA172" i="14"/>
  <c r="BA285" i="14" s="1"/>
  <c r="BA123" i="14"/>
  <c r="BA236" i="14" s="1"/>
  <c r="BA148" i="14"/>
  <c r="BA261" i="14" s="1"/>
  <c r="BA144" i="14"/>
  <c r="BA257" i="14" s="1"/>
  <c r="BA140" i="14"/>
  <c r="BA253" i="14" s="1"/>
  <c r="BA136" i="14"/>
  <c r="BA249" i="14" s="1"/>
  <c r="BA132" i="14"/>
  <c r="BA245" i="14" s="1"/>
  <c r="BA128" i="14"/>
  <c r="BA241" i="14" s="1"/>
  <c r="BA124" i="14"/>
  <c r="BA237" i="14" s="1"/>
  <c r="BA157" i="14"/>
  <c r="BA270" i="14" s="1"/>
  <c r="BA110" i="14"/>
  <c r="BA223" i="14" s="1"/>
  <c r="BA166" i="14"/>
  <c r="BA279" i="14" s="1"/>
  <c r="BA179" i="14"/>
  <c r="BA292" i="14" s="1"/>
  <c r="BA120" i="14"/>
  <c r="BA233" i="14" s="1"/>
  <c r="BA175" i="14"/>
  <c r="BA288" i="14" s="1"/>
  <c r="BA141" i="14"/>
  <c r="BA254" i="14" s="1"/>
  <c r="BA155" i="14"/>
  <c r="BA268" i="14" s="1"/>
  <c r="BA171" i="14"/>
  <c r="BA284" i="14" s="1"/>
  <c r="BA156" i="14"/>
  <c r="BA269" i="14" s="1"/>
  <c r="BA162" i="14"/>
  <c r="BA275" i="14" s="1"/>
  <c r="BA113" i="14"/>
  <c r="BA226" i="14" s="1"/>
  <c r="BA115" i="14"/>
  <c r="BA228" i="14" s="1"/>
  <c r="BA167" i="14"/>
  <c r="BA280" i="14" s="1"/>
  <c r="BA147" i="14"/>
  <c r="BA260" i="14" s="1"/>
  <c r="BA176" i="14"/>
  <c r="BA289" i="14" s="1"/>
  <c r="BA146" i="14"/>
  <c r="BA259" i="14" s="1"/>
  <c r="BA117" i="14"/>
  <c r="BA230" i="14" s="1"/>
  <c r="BA163" i="14"/>
  <c r="BA276" i="14" s="1"/>
  <c r="BA145" i="14"/>
  <c r="BA258" i="14" s="1"/>
  <c r="BA158" i="14"/>
  <c r="BA271" i="14" s="1"/>
  <c r="BA122" i="14"/>
  <c r="BA235" i="14" s="1"/>
  <c r="BA168" i="14"/>
  <c r="BA281" i="14" s="1"/>
  <c r="BA109" i="14"/>
  <c r="BA222" i="14" s="1"/>
  <c r="BA126" i="14"/>
  <c r="BA239" i="14" s="1"/>
  <c r="BA125" i="14"/>
  <c r="BA238" i="14" s="1"/>
  <c r="BA114" i="14"/>
  <c r="BA227" i="14" s="1"/>
  <c r="BA116" i="14"/>
  <c r="BA229" i="14" s="1"/>
  <c r="BA121" i="14"/>
  <c r="BA234" i="14" s="1"/>
  <c r="BA142" i="14"/>
  <c r="BA255" i="14" s="1"/>
  <c r="BA165" i="14"/>
  <c r="BA278" i="14" s="1"/>
  <c r="BA177" i="14"/>
  <c r="BA290" i="14" s="1"/>
  <c r="BA133" i="14"/>
  <c r="BA246" i="14" s="1"/>
  <c r="BA154" i="14"/>
  <c r="BA267" i="14" s="1"/>
  <c r="BA149" i="14"/>
  <c r="BA262" i="14" s="1"/>
  <c r="BA174" i="14"/>
  <c r="BA287" i="14" s="1"/>
  <c r="BA138" i="14"/>
  <c r="BA251" i="14" s="1"/>
  <c r="BA151" i="14"/>
  <c r="BA264" i="14" s="1"/>
  <c r="BA129" i="14"/>
  <c r="BA242" i="14" s="1"/>
  <c r="BA173" i="14"/>
  <c r="BA286" i="14" s="1"/>
  <c r="BA170" i="14"/>
  <c r="BA283" i="14" s="1"/>
  <c r="BA153" i="14"/>
  <c r="BA266" i="14" s="1"/>
  <c r="BA161" i="14"/>
  <c r="BA274" i="14" s="1"/>
  <c r="BA134" i="14"/>
  <c r="BA247" i="14" s="1"/>
  <c r="BA143" i="14"/>
  <c r="BA256" i="14" s="1"/>
  <c r="BA139" i="14"/>
  <c r="BA252" i="14" s="1"/>
  <c r="BA150" i="14"/>
  <c r="BA263" i="14" s="1"/>
  <c r="BA169" i="14"/>
  <c r="BA282" i="14" s="1"/>
  <c r="BA160" i="14"/>
  <c r="BA273" i="14" s="1"/>
  <c r="BA130" i="14"/>
  <c r="BA243" i="14" s="1"/>
  <c r="BA137" i="14"/>
  <c r="BA250" i="14" s="1"/>
  <c r="BA178" i="14"/>
  <c r="BA291" i="14" s="1"/>
  <c r="BA152" i="14"/>
  <c r="BA265" i="14" s="1"/>
  <c r="BA135" i="14"/>
  <c r="BA248" i="14" s="1"/>
  <c r="BA102" i="14"/>
  <c r="AZ215" i="14"/>
  <c r="BA87" i="14"/>
  <c r="AZ200" i="14"/>
  <c r="BA83" i="14"/>
  <c r="AZ196" i="14"/>
  <c r="BA84" i="14"/>
  <c r="AZ197" i="14"/>
  <c r="BA97" i="14"/>
  <c r="AZ210" i="14"/>
  <c r="BA105" i="14"/>
  <c r="AZ218" i="14"/>
  <c r="BA81" i="14"/>
  <c r="AZ194" i="14"/>
  <c r="BA103" i="14"/>
  <c r="AZ216" i="14"/>
  <c r="BA90" i="14"/>
  <c r="AZ203" i="14"/>
  <c r="BA100" i="14"/>
  <c r="AZ213" i="14"/>
  <c r="BA107" i="14"/>
  <c r="AZ220" i="14"/>
  <c r="BA104" i="14"/>
  <c r="AZ217" i="14"/>
  <c r="BA91" i="14"/>
  <c r="AZ204" i="14"/>
  <c r="BA96" i="14"/>
  <c r="AZ209" i="14"/>
  <c r="AY192" i="14"/>
  <c r="BA80" i="14"/>
  <c r="AZ193" i="14"/>
  <c r="BA94" i="14"/>
  <c r="AZ207" i="14"/>
  <c r="BD58" i="14"/>
  <c r="BE57" i="14" s="1"/>
  <c r="BD56" i="14"/>
  <c r="BE40" i="14"/>
  <c r="BE49" i="14" s="1"/>
  <c r="BF36" i="14"/>
  <c r="AH38" i="14"/>
  <c r="AM4" i="15"/>
  <c r="AO23" i="8"/>
  <c r="AO24" i="8" s="1"/>
  <c r="AM43" i="8" l="1"/>
  <c r="AN44" i="8"/>
  <c r="AN39" i="8"/>
  <c r="AN42" i="8" s="1"/>
  <c r="AO34" i="8"/>
  <c r="AO33" i="8" s="1"/>
  <c r="BE43" i="14"/>
  <c r="BE47" i="14" s="1"/>
  <c r="BE39" i="14" s="1"/>
  <c r="BE41" i="14"/>
  <c r="BE45" i="14" s="1"/>
  <c r="BD42" i="14"/>
  <c r="BC46" i="14"/>
  <c r="BB90" i="14"/>
  <c r="BA203" i="14"/>
  <c r="BB87" i="14"/>
  <c r="BA200" i="14"/>
  <c r="BB99" i="14"/>
  <c r="BA212" i="14"/>
  <c r="BB97" i="14"/>
  <c r="BA210" i="14"/>
  <c r="BB98" i="14"/>
  <c r="BA211" i="14"/>
  <c r="BB82" i="14"/>
  <c r="BA195" i="14"/>
  <c r="BC74" i="14"/>
  <c r="BB118" i="14"/>
  <c r="BB231" i="14" s="1"/>
  <c r="BB111" i="14"/>
  <c r="BB224" i="14" s="1"/>
  <c r="BB108" i="14"/>
  <c r="BB221" i="14" s="1"/>
  <c r="BB148" i="14"/>
  <c r="BB261" i="14" s="1"/>
  <c r="BB112" i="14"/>
  <c r="BB225" i="14" s="1"/>
  <c r="BB135" i="14"/>
  <c r="BB248" i="14" s="1"/>
  <c r="BB131" i="14"/>
  <c r="BB244" i="14" s="1"/>
  <c r="BB168" i="14"/>
  <c r="BB281" i="14" s="1"/>
  <c r="BB127" i="14"/>
  <c r="BB240" i="14" s="1"/>
  <c r="BB123" i="14"/>
  <c r="BB236" i="14" s="1"/>
  <c r="BB144" i="14"/>
  <c r="BB257" i="14" s="1"/>
  <c r="BB140" i="14"/>
  <c r="BB253" i="14" s="1"/>
  <c r="BB136" i="14"/>
  <c r="BB249" i="14" s="1"/>
  <c r="BB132" i="14"/>
  <c r="BB245" i="14" s="1"/>
  <c r="BB128" i="14"/>
  <c r="BB241" i="14" s="1"/>
  <c r="BB124" i="14"/>
  <c r="BB237" i="14" s="1"/>
  <c r="BB110" i="14"/>
  <c r="BB223" i="14" s="1"/>
  <c r="BB142" i="14"/>
  <c r="BB255" i="14" s="1"/>
  <c r="BB166" i="14"/>
  <c r="BB279" i="14" s="1"/>
  <c r="BB179" i="14"/>
  <c r="BB292" i="14" s="1"/>
  <c r="BB120" i="14"/>
  <c r="BB233" i="14" s="1"/>
  <c r="BB175" i="14"/>
  <c r="BB288" i="14" s="1"/>
  <c r="BB141" i="14"/>
  <c r="BB254" i="14" s="1"/>
  <c r="BB155" i="14"/>
  <c r="BB268" i="14" s="1"/>
  <c r="BB171" i="14"/>
  <c r="BB284" i="14" s="1"/>
  <c r="BB156" i="14"/>
  <c r="BB269" i="14" s="1"/>
  <c r="BB162" i="14"/>
  <c r="BB275" i="14" s="1"/>
  <c r="BB113" i="14"/>
  <c r="BB226" i="14" s="1"/>
  <c r="BB115" i="14"/>
  <c r="BB228" i="14" s="1"/>
  <c r="BB167" i="14"/>
  <c r="BB280" i="14" s="1"/>
  <c r="BB147" i="14"/>
  <c r="BB260" i="14" s="1"/>
  <c r="BB157" i="14"/>
  <c r="BB270" i="14" s="1"/>
  <c r="BB176" i="14"/>
  <c r="BB289" i="14" s="1"/>
  <c r="BB146" i="14"/>
  <c r="BB259" i="14" s="1"/>
  <c r="BB172" i="14"/>
  <c r="BB285" i="14" s="1"/>
  <c r="BB117" i="14"/>
  <c r="BB230" i="14" s="1"/>
  <c r="BB163" i="14"/>
  <c r="BB276" i="14" s="1"/>
  <c r="BB145" i="14"/>
  <c r="BB258" i="14" s="1"/>
  <c r="BB158" i="14"/>
  <c r="BB271" i="14" s="1"/>
  <c r="BB122" i="14"/>
  <c r="BB235" i="14" s="1"/>
  <c r="BB119" i="14"/>
  <c r="BB232" i="14" s="1"/>
  <c r="BB109" i="14"/>
  <c r="BB222" i="14" s="1"/>
  <c r="BB126" i="14"/>
  <c r="BB239" i="14" s="1"/>
  <c r="BB125" i="14"/>
  <c r="BB238" i="14" s="1"/>
  <c r="BB114" i="14"/>
  <c r="BB227" i="14" s="1"/>
  <c r="BB116" i="14"/>
  <c r="BB229" i="14" s="1"/>
  <c r="BB121" i="14"/>
  <c r="BB234" i="14" s="1"/>
  <c r="BB165" i="14"/>
  <c r="BB278" i="14" s="1"/>
  <c r="BB177" i="14"/>
  <c r="BB290" i="14" s="1"/>
  <c r="BB170" i="14"/>
  <c r="BB283" i="14" s="1"/>
  <c r="BB133" i="14"/>
  <c r="BB246" i="14" s="1"/>
  <c r="BB154" i="14"/>
  <c r="BB267" i="14" s="1"/>
  <c r="BB149" i="14"/>
  <c r="BB262" i="14" s="1"/>
  <c r="BB174" i="14"/>
  <c r="BB287" i="14" s="1"/>
  <c r="BB138" i="14"/>
  <c r="BB251" i="14" s="1"/>
  <c r="BB164" i="14"/>
  <c r="BB277" i="14" s="1"/>
  <c r="BB151" i="14"/>
  <c r="BB264" i="14" s="1"/>
  <c r="BB159" i="14"/>
  <c r="BB272" i="14" s="1"/>
  <c r="BB129" i="14"/>
  <c r="BB242" i="14" s="1"/>
  <c r="BB173" i="14"/>
  <c r="BB286" i="14" s="1"/>
  <c r="BB153" i="14"/>
  <c r="BB266" i="14" s="1"/>
  <c r="BB161" i="14"/>
  <c r="BB274" i="14" s="1"/>
  <c r="BB134" i="14"/>
  <c r="BB247" i="14" s="1"/>
  <c r="BB143" i="14"/>
  <c r="BB256" i="14" s="1"/>
  <c r="BB139" i="14"/>
  <c r="BB252" i="14" s="1"/>
  <c r="BB150" i="14"/>
  <c r="BB263" i="14" s="1"/>
  <c r="BB169" i="14"/>
  <c r="BB282" i="14" s="1"/>
  <c r="BB160" i="14"/>
  <c r="BB273" i="14" s="1"/>
  <c r="BB130" i="14"/>
  <c r="BB243" i="14" s="1"/>
  <c r="BB137" i="14"/>
  <c r="BB250" i="14" s="1"/>
  <c r="BB178" i="14"/>
  <c r="BB291" i="14" s="1"/>
  <c r="BB152" i="14"/>
  <c r="BB265" i="14" s="1"/>
  <c r="BB95" i="14"/>
  <c r="BA208" i="14"/>
  <c r="BB81" i="14"/>
  <c r="BA194" i="14"/>
  <c r="BB96" i="14"/>
  <c r="BA209" i="14"/>
  <c r="BB105" i="14"/>
  <c r="BA218" i="14"/>
  <c r="BB92" i="14"/>
  <c r="BA205" i="14"/>
  <c r="BB103" i="14"/>
  <c r="BA216" i="14"/>
  <c r="BB84" i="14"/>
  <c r="BA197" i="14"/>
  <c r="BB83" i="14"/>
  <c r="BA196" i="14"/>
  <c r="AZ192" i="14"/>
  <c r="BB106" i="14"/>
  <c r="BA219" i="14"/>
  <c r="BB100" i="14"/>
  <c r="BA213" i="14"/>
  <c r="BB89" i="14"/>
  <c r="BA202" i="14"/>
  <c r="BB101" i="14"/>
  <c r="BA214" i="14"/>
  <c r="BB104" i="14"/>
  <c r="BA217" i="14"/>
  <c r="BB86" i="14"/>
  <c r="BA199" i="14"/>
  <c r="BB88" i="14"/>
  <c r="BA201" i="14"/>
  <c r="BB93" i="14"/>
  <c r="BA206" i="14"/>
  <c r="BB91" i="14"/>
  <c r="BA204" i="14"/>
  <c r="BB107" i="14"/>
  <c r="BA220" i="14"/>
  <c r="BB102" i="14"/>
  <c r="BA215" i="14"/>
  <c r="BB94" i="14"/>
  <c r="BA207" i="14"/>
  <c r="BB80" i="14"/>
  <c r="BA193" i="14"/>
  <c r="BB85" i="14"/>
  <c r="BA198" i="14"/>
  <c r="BE58" i="14"/>
  <c r="BF57" i="14" s="1"/>
  <c r="BE56" i="14"/>
  <c r="BG36" i="14"/>
  <c r="BF40" i="14"/>
  <c r="BF49" i="14" s="1"/>
  <c r="AI37" i="14"/>
  <c r="AM5" i="15"/>
  <c r="AP23" i="8"/>
  <c r="AP24" i="8" s="1"/>
  <c r="AN43" i="8" l="1"/>
  <c r="AO44" i="8"/>
  <c r="AO39" i="8"/>
  <c r="AO42" i="8" s="1"/>
  <c r="AP34" i="8"/>
  <c r="AP33" i="8" s="1"/>
  <c r="BF43" i="14"/>
  <c r="BF41" i="14"/>
  <c r="O60" i="14"/>
  <c r="BE42" i="14"/>
  <c r="BD46" i="14"/>
  <c r="T288" i="14"/>
  <c r="T292" i="14"/>
  <c r="T284" i="14"/>
  <c r="T286" i="14"/>
  <c r="T289" i="14"/>
  <c r="T290" i="14"/>
  <c r="T291" i="14"/>
  <c r="T283" i="14"/>
  <c r="T287" i="14"/>
  <c r="T285" i="14"/>
  <c r="S275" i="14"/>
  <c r="S278" i="14"/>
  <c r="S281" i="14"/>
  <c r="S274" i="14"/>
  <c r="S280" i="14"/>
  <c r="S277" i="14"/>
  <c r="S282" i="14"/>
  <c r="S279" i="14"/>
  <c r="S276" i="14"/>
  <c r="R266" i="14"/>
  <c r="R265" i="14"/>
  <c r="R267" i="14"/>
  <c r="R268" i="14"/>
  <c r="R271" i="14"/>
  <c r="R270" i="14"/>
  <c r="R269" i="14"/>
  <c r="R272" i="14"/>
  <c r="R264" i="14"/>
  <c r="R263" i="14"/>
  <c r="S273" i="14"/>
  <c r="Q260" i="14"/>
  <c r="Q256" i="14"/>
  <c r="Q258" i="14"/>
  <c r="Q257" i="14"/>
  <c r="Q259" i="14"/>
  <c r="Q262" i="14"/>
  <c r="Q261" i="14"/>
  <c r="O239" i="14"/>
  <c r="P248" i="14"/>
  <c r="M222" i="14"/>
  <c r="M221" i="14"/>
  <c r="P251" i="14"/>
  <c r="O240" i="14"/>
  <c r="O238" i="14"/>
  <c r="N230" i="14"/>
  <c r="N231" i="14"/>
  <c r="M220" i="14"/>
  <c r="P252" i="14"/>
  <c r="N229" i="14"/>
  <c r="N232" i="14"/>
  <c r="O242" i="14"/>
  <c r="P249" i="14"/>
  <c r="O241" i="14"/>
  <c r="P247" i="14"/>
  <c r="P250" i="14"/>
  <c r="N228" i="14"/>
  <c r="O235" i="14"/>
  <c r="O236" i="14"/>
  <c r="O237" i="14"/>
  <c r="P246" i="14"/>
  <c r="P244" i="14"/>
  <c r="P243" i="14"/>
  <c r="P245" i="14"/>
  <c r="Q255" i="14"/>
  <c r="Q254" i="14"/>
  <c r="Q253" i="14"/>
  <c r="M218" i="14"/>
  <c r="M217" i="14"/>
  <c r="N223" i="14"/>
  <c r="M219" i="14"/>
  <c r="N224" i="14"/>
  <c r="M216" i="14"/>
  <c r="M215" i="14"/>
  <c r="N227" i="14"/>
  <c r="M214" i="14"/>
  <c r="O234" i="14"/>
  <c r="N226" i="14"/>
  <c r="N225" i="14"/>
  <c r="O233" i="14"/>
  <c r="BC84" i="14"/>
  <c r="BB197" i="14"/>
  <c r="BC82" i="14"/>
  <c r="BB195" i="14"/>
  <c r="BC93" i="14"/>
  <c r="BB206" i="14"/>
  <c r="BC92" i="14"/>
  <c r="BB205" i="14"/>
  <c r="BC101" i="14"/>
  <c r="BB214" i="14"/>
  <c r="BC98" i="14"/>
  <c r="BB211" i="14"/>
  <c r="M207" i="14"/>
  <c r="M196" i="14"/>
  <c r="M203" i="14"/>
  <c r="M193" i="14"/>
  <c r="M210" i="14"/>
  <c r="M199" i="14"/>
  <c r="M205" i="14"/>
  <c r="M197" i="14"/>
  <c r="M211" i="14"/>
  <c r="M202" i="14"/>
  <c r="M208" i="14"/>
  <c r="M195" i="14"/>
  <c r="M200" i="14"/>
  <c r="M212" i="14"/>
  <c r="M213" i="14"/>
  <c r="M209" i="14"/>
  <c r="M201" i="14"/>
  <c r="M198" i="14"/>
  <c r="M194" i="14"/>
  <c r="M206" i="14"/>
  <c r="M204" i="14"/>
  <c r="BC104" i="14"/>
  <c r="BB217" i="14"/>
  <c r="BC97" i="14"/>
  <c r="BB210" i="14"/>
  <c r="BC103" i="14"/>
  <c r="BB216" i="14"/>
  <c r="BC80" i="14"/>
  <c r="BB193" i="14"/>
  <c r="BC99" i="14"/>
  <c r="BB212" i="14"/>
  <c r="BC83" i="14"/>
  <c r="BB196" i="14"/>
  <c r="BD74" i="14"/>
  <c r="BC111" i="14"/>
  <c r="BC224" i="14" s="1"/>
  <c r="BC137" i="14"/>
  <c r="BC250" i="14" s="1"/>
  <c r="BC108" i="14"/>
  <c r="BC221" i="14" s="1"/>
  <c r="BC119" i="14"/>
  <c r="BC232" i="14" s="1"/>
  <c r="BC139" i="14"/>
  <c r="BC252" i="14" s="1"/>
  <c r="BC135" i="14"/>
  <c r="BC248" i="14" s="1"/>
  <c r="BC131" i="14"/>
  <c r="BC244" i="14" s="1"/>
  <c r="BC127" i="14"/>
  <c r="BC240" i="14" s="1"/>
  <c r="BC123" i="14"/>
  <c r="BC236" i="14" s="1"/>
  <c r="BC152" i="14"/>
  <c r="BC265" i="14" s="1"/>
  <c r="BC148" i="14"/>
  <c r="BC261" i="14" s="1"/>
  <c r="BC144" i="14"/>
  <c r="BC257" i="14" s="1"/>
  <c r="BC140" i="14"/>
  <c r="BC253" i="14" s="1"/>
  <c r="BC136" i="14"/>
  <c r="BC249" i="14" s="1"/>
  <c r="BC132" i="14"/>
  <c r="BC245" i="14" s="1"/>
  <c r="BC128" i="14"/>
  <c r="BC241" i="14" s="1"/>
  <c r="BC110" i="14"/>
  <c r="BC223" i="14" s="1"/>
  <c r="BC154" i="14"/>
  <c r="BC267" i="14" s="1"/>
  <c r="BC142" i="14"/>
  <c r="BC255" i="14" s="1"/>
  <c r="BC166" i="14"/>
  <c r="BC279" i="14" s="1"/>
  <c r="BC179" i="14"/>
  <c r="BC292" i="14" s="1"/>
  <c r="BC120" i="14"/>
  <c r="BC233" i="14" s="1"/>
  <c r="BC175" i="14"/>
  <c r="BC288" i="14" s="1"/>
  <c r="BC141" i="14"/>
  <c r="BC254" i="14" s="1"/>
  <c r="BC155" i="14"/>
  <c r="BC268" i="14" s="1"/>
  <c r="BC171" i="14"/>
  <c r="BC284" i="14" s="1"/>
  <c r="BC156" i="14"/>
  <c r="BC269" i="14" s="1"/>
  <c r="BC162" i="14"/>
  <c r="BC275" i="14" s="1"/>
  <c r="BC113" i="14"/>
  <c r="BC226" i="14" s="1"/>
  <c r="BC115" i="14"/>
  <c r="BC228" i="14" s="1"/>
  <c r="BC167" i="14"/>
  <c r="BC280" i="14" s="1"/>
  <c r="BC147" i="14"/>
  <c r="BC260" i="14" s="1"/>
  <c r="BC157" i="14"/>
  <c r="BC270" i="14" s="1"/>
  <c r="BC176" i="14"/>
  <c r="BC289" i="14" s="1"/>
  <c r="BC146" i="14"/>
  <c r="BC259" i="14" s="1"/>
  <c r="BC172" i="14"/>
  <c r="BC285" i="14" s="1"/>
  <c r="BC117" i="14"/>
  <c r="BC230" i="14" s="1"/>
  <c r="BC163" i="14"/>
  <c r="BC276" i="14" s="1"/>
  <c r="BC145" i="14"/>
  <c r="BC258" i="14" s="1"/>
  <c r="BC158" i="14"/>
  <c r="BC271" i="14" s="1"/>
  <c r="BC122" i="14"/>
  <c r="BC235" i="14" s="1"/>
  <c r="BC109" i="14"/>
  <c r="BC222" i="14" s="1"/>
  <c r="BC126" i="14"/>
  <c r="BC239" i="14" s="1"/>
  <c r="BC125" i="14"/>
  <c r="BC238" i="14" s="1"/>
  <c r="BC114" i="14"/>
  <c r="BC227" i="14" s="1"/>
  <c r="BC116" i="14"/>
  <c r="BC229" i="14" s="1"/>
  <c r="BC121" i="14"/>
  <c r="BC234" i="14" s="1"/>
  <c r="BC112" i="14"/>
  <c r="BC225" i="14" s="1"/>
  <c r="BC124" i="14"/>
  <c r="BC237" i="14" s="1"/>
  <c r="BC159" i="14"/>
  <c r="BC272" i="14" s="1"/>
  <c r="BC165" i="14"/>
  <c r="BC278" i="14" s="1"/>
  <c r="BC177" i="14"/>
  <c r="BC290" i="14" s="1"/>
  <c r="BC133" i="14"/>
  <c r="BC246" i="14" s="1"/>
  <c r="BC149" i="14"/>
  <c r="BC262" i="14" s="1"/>
  <c r="BC174" i="14"/>
  <c r="BC287" i="14" s="1"/>
  <c r="BC173" i="14"/>
  <c r="BC286" i="14" s="1"/>
  <c r="BC138" i="14"/>
  <c r="BC251" i="14" s="1"/>
  <c r="BC164" i="14"/>
  <c r="BC277" i="14" s="1"/>
  <c r="BC151" i="14"/>
  <c r="BC264" i="14" s="1"/>
  <c r="BC129" i="14"/>
  <c r="BC242" i="14" s="1"/>
  <c r="BC170" i="14"/>
  <c r="BC283" i="14" s="1"/>
  <c r="BC153" i="14"/>
  <c r="BC266" i="14" s="1"/>
  <c r="BC161" i="14"/>
  <c r="BC274" i="14" s="1"/>
  <c r="BC134" i="14"/>
  <c r="BC247" i="14" s="1"/>
  <c r="BC143" i="14"/>
  <c r="BC256" i="14" s="1"/>
  <c r="BC118" i="14"/>
  <c r="BC231" i="14" s="1"/>
  <c r="BC150" i="14"/>
  <c r="BC263" i="14" s="1"/>
  <c r="BC169" i="14"/>
  <c r="BC282" i="14" s="1"/>
  <c r="BC160" i="14"/>
  <c r="BC273" i="14" s="1"/>
  <c r="BC130" i="14"/>
  <c r="BC243" i="14" s="1"/>
  <c r="BC168" i="14"/>
  <c r="BC281" i="14" s="1"/>
  <c r="BC178" i="14"/>
  <c r="BC291" i="14" s="1"/>
  <c r="BC89" i="14"/>
  <c r="BB202" i="14"/>
  <c r="BC96" i="14"/>
  <c r="BB209" i="14"/>
  <c r="BC102" i="14"/>
  <c r="BB215" i="14"/>
  <c r="BC106" i="14"/>
  <c r="BB219" i="14"/>
  <c r="BA192" i="14"/>
  <c r="BC94" i="14"/>
  <c r="BB207" i="14"/>
  <c r="BC107" i="14"/>
  <c r="BB220" i="14"/>
  <c r="BC87" i="14"/>
  <c r="BB200" i="14"/>
  <c r="BC88" i="14"/>
  <c r="BB201" i="14"/>
  <c r="BC86" i="14"/>
  <c r="BB199" i="14"/>
  <c r="BC100" i="14"/>
  <c r="BB213" i="14"/>
  <c r="BC95" i="14"/>
  <c r="BB208" i="14"/>
  <c r="BC105" i="14"/>
  <c r="BB218" i="14"/>
  <c r="BC85" i="14"/>
  <c r="BB198" i="14"/>
  <c r="BC81" i="14"/>
  <c r="BB194" i="14"/>
  <c r="BC91" i="14"/>
  <c r="BB204" i="14"/>
  <c r="BC90" i="14"/>
  <c r="BB203" i="14"/>
  <c r="BF58" i="14"/>
  <c r="BG57" i="14" s="1"/>
  <c r="BF56" i="14"/>
  <c r="AI38" i="14"/>
  <c r="BG40" i="14"/>
  <c r="BG49" i="14" s="1"/>
  <c r="BH36" i="14"/>
  <c r="AN4" i="15"/>
  <c r="AQ23" i="8"/>
  <c r="AQ24" i="8" s="1"/>
  <c r="AO43" i="8" l="1"/>
  <c r="AP44" i="8"/>
  <c r="AP39" i="8"/>
  <c r="AP43" i="8" s="1"/>
  <c r="AQ34" i="8"/>
  <c r="AQ33" i="8" s="1"/>
  <c r="BG43" i="14"/>
  <c r="BG41" i="14"/>
  <c r="BF42" i="14"/>
  <c r="BE46" i="14"/>
  <c r="BF45" i="14"/>
  <c r="O61" i="14"/>
  <c r="BF47" i="14"/>
  <c r="BF39" i="14" s="1"/>
  <c r="O63" i="14"/>
  <c r="BD107" i="14"/>
  <c r="BC220" i="14"/>
  <c r="BE74" i="14"/>
  <c r="BD118" i="14"/>
  <c r="BD231" i="14" s="1"/>
  <c r="BD111" i="14"/>
  <c r="BD224" i="14" s="1"/>
  <c r="BD115" i="14"/>
  <c r="BD228" i="14" s="1"/>
  <c r="BD126" i="14"/>
  <c r="BD239" i="14" s="1"/>
  <c r="BD166" i="14"/>
  <c r="BD279" i="14" s="1"/>
  <c r="BD108" i="14"/>
  <c r="BD221" i="14" s="1"/>
  <c r="BD112" i="14"/>
  <c r="BD225" i="14" s="1"/>
  <c r="BD143" i="14"/>
  <c r="BD256" i="14" s="1"/>
  <c r="BD139" i="14"/>
  <c r="BD252" i="14" s="1"/>
  <c r="BD179" i="14"/>
  <c r="BD292" i="14" s="1"/>
  <c r="BD135" i="14"/>
  <c r="BD248" i="14" s="1"/>
  <c r="BD131" i="14"/>
  <c r="BD244" i="14" s="1"/>
  <c r="BD127" i="14"/>
  <c r="BD240" i="14" s="1"/>
  <c r="BD123" i="14"/>
  <c r="BD236" i="14" s="1"/>
  <c r="BD148" i="14"/>
  <c r="BD261" i="14" s="1"/>
  <c r="BD144" i="14"/>
  <c r="BD257" i="14" s="1"/>
  <c r="BD140" i="14"/>
  <c r="BD253" i="14" s="1"/>
  <c r="BD136" i="14"/>
  <c r="BD249" i="14" s="1"/>
  <c r="BD132" i="14"/>
  <c r="BD245" i="14" s="1"/>
  <c r="BD124" i="14"/>
  <c r="BD237" i="14" s="1"/>
  <c r="BD110" i="14"/>
  <c r="BD223" i="14" s="1"/>
  <c r="BD137" i="14"/>
  <c r="BD250" i="14" s="1"/>
  <c r="BD161" i="14"/>
  <c r="BD274" i="14" s="1"/>
  <c r="BD154" i="14"/>
  <c r="BD267" i="14" s="1"/>
  <c r="BD142" i="14"/>
  <c r="BD255" i="14" s="1"/>
  <c r="BD120" i="14"/>
  <c r="BD233" i="14" s="1"/>
  <c r="BD175" i="14"/>
  <c r="BD288" i="14" s="1"/>
  <c r="BD141" i="14"/>
  <c r="BD254" i="14" s="1"/>
  <c r="BD155" i="14"/>
  <c r="BD268" i="14" s="1"/>
  <c r="BD171" i="14"/>
  <c r="BD284" i="14" s="1"/>
  <c r="BD156" i="14"/>
  <c r="BD269" i="14" s="1"/>
  <c r="BD162" i="14"/>
  <c r="BD275" i="14" s="1"/>
  <c r="BD113" i="14"/>
  <c r="BD226" i="14" s="1"/>
  <c r="BD167" i="14"/>
  <c r="BD280" i="14" s="1"/>
  <c r="BD147" i="14"/>
  <c r="BD260" i="14" s="1"/>
  <c r="BD157" i="14"/>
  <c r="BD270" i="14" s="1"/>
  <c r="BD176" i="14"/>
  <c r="BD289" i="14" s="1"/>
  <c r="BD146" i="14"/>
  <c r="BD259" i="14" s="1"/>
  <c r="BD172" i="14"/>
  <c r="BD285" i="14" s="1"/>
  <c r="BD117" i="14"/>
  <c r="BD230" i="14" s="1"/>
  <c r="BD163" i="14"/>
  <c r="BD276" i="14" s="1"/>
  <c r="BD119" i="14"/>
  <c r="BD232" i="14" s="1"/>
  <c r="BD122" i="14"/>
  <c r="BD235" i="14" s="1"/>
  <c r="BD109" i="14"/>
  <c r="BD222" i="14" s="1"/>
  <c r="BD125" i="14"/>
  <c r="BD238" i="14" s="1"/>
  <c r="BD114" i="14"/>
  <c r="BD227" i="14" s="1"/>
  <c r="BD116" i="14"/>
  <c r="BD229" i="14" s="1"/>
  <c r="BD121" i="14"/>
  <c r="BD234" i="14" s="1"/>
  <c r="BD159" i="14"/>
  <c r="BD272" i="14" s="1"/>
  <c r="BD128" i="14"/>
  <c r="BD241" i="14" s="1"/>
  <c r="BD165" i="14"/>
  <c r="BD278" i="14" s="1"/>
  <c r="BD177" i="14"/>
  <c r="BD290" i="14" s="1"/>
  <c r="BD133" i="14"/>
  <c r="BD246" i="14" s="1"/>
  <c r="BD145" i="14"/>
  <c r="BD258" i="14" s="1"/>
  <c r="BD149" i="14"/>
  <c r="BD262" i="14" s="1"/>
  <c r="BD174" i="14"/>
  <c r="BD287" i="14" s="1"/>
  <c r="BD168" i="14"/>
  <c r="BD281" i="14" s="1"/>
  <c r="BD138" i="14"/>
  <c r="BD251" i="14" s="1"/>
  <c r="BD158" i="14"/>
  <c r="BD271" i="14" s="1"/>
  <c r="BD164" i="14"/>
  <c r="BD277" i="14" s="1"/>
  <c r="BD151" i="14"/>
  <c r="BD264" i="14" s="1"/>
  <c r="BD129" i="14"/>
  <c r="BD242" i="14" s="1"/>
  <c r="BD173" i="14"/>
  <c r="BD286" i="14" s="1"/>
  <c r="BD178" i="14"/>
  <c r="BD291" i="14" s="1"/>
  <c r="BD170" i="14"/>
  <c r="BD283" i="14" s="1"/>
  <c r="BD153" i="14"/>
  <c r="BD266" i="14" s="1"/>
  <c r="BD134" i="14"/>
  <c r="BD247" i="14" s="1"/>
  <c r="BD152" i="14"/>
  <c r="BD265" i="14" s="1"/>
  <c r="BD150" i="14"/>
  <c r="BD263" i="14" s="1"/>
  <c r="BD169" i="14"/>
  <c r="BD282" i="14" s="1"/>
  <c r="BD160" i="14"/>
  <c r="BD273" i="14" s="1"/>
  <c r="BD130" i="14"/>
  <c r="BD243" i="14" s="1"/>
  <c r="M192" i="14"/>
  <c r="N7" i="15" s="1"/>
  <c r="C7" i="19" s="1"/>
  <c r="BD105" i="14"/>
  <c r="BC218" i="14"/>
  <c r="BD98" i="14"/>
  <c r="BC211" i="14"/>
  <c r="BD80" i="14"/>
  <c r="BC193" i="14"/>
  <c r="BD104" i="14"/>
  <c r="BC217" i="14"/>
  <c r="BD90" i="14"/>
  <c r="BC203" i="14"/>
  <c r="BD91" i="14"/>
  <c r="BC204" i="14"/>
  <c r="BD83" i="14"/>
  <c r="BC196" i="14"/>
  <c r="BD103" i="14"/>
  <c r="BC216" i="14"/>
  <c r="BD101" i="14"/>
  <c r="BC214" i="14"/>
  <c r="BD99" i="14"/>
  <c r="BC212" i="14"/>
  <c r="BD89" i="14"/>
  <c r="BC202" i="14"/>
  <c r="BD92" i="14"/>
  <c r="BC205" i="14"/>
  <c r="BD96" i="14"/>
  <c r="BC209" i="14"/>
  <c r="BD97" i="14"/>
  <c r="BC210" i="14"/>
  <c r="BD93" i="14"/>
  <c r="BC206" i="14"/>
  <c r="BD95" i="14"/>
  <c r="BC208" i="14"/>
  <c r="BD86" i="14"/>
  <c r="BC199" i="14"/>
  <c r="BD100" i="14"/>
  <c r="BC213" i="14"/>
  <c r="BD82" i="14"/>
  <c r="BC195" i="14"/>
  <c r="BD94" i="14"/>
  <c r="BC207" i="14"/>
  <c r="BD81" i="14"/>
  <c r="BC194" i="14"/>
  <c r="BD88" i="14"/>
  <c r="BC201" i="14"/>
  <c r="BB192" i="14"/>
  <c r="BD84" i="14"/>
  <c r="BC197" i="14"/>
  <c r="BD106" i="14"/>
  <c r="BC219" i="14"/>
  <c r="BD102" i="14"/>
  <c r="BC215" i="14"/>
  <c r="BD87" i="14"/>
  <c r="BC200" i="14"/>
  <c r="BD85" i="14"/>
  <c r="BC198" i="14"/>
  <c r="BG58" i="14"/>
  <c r="BH57" i="14" s="1"/>
  <c r="BG56" i="14"/>
  <c r="BI36" i="14"/>
  <c r="BH40" i="14"/>
  <c r="BH49" i="14" s="1"/>
  <c r="AJ37" i="14"/>
  <c r="AN5" i="15"/>
  <c r="AR23" i="8"/>
  <c r="AR24" i="8" s="1"/>
  <c r="AP42" i="8" l="1"/>
  <c r="AQ44" i="8"/>
  <c r="AQ39" i="8"/>
  <c r="AQ43" i="8" s="1"/>
  <c r="AR34" i="8"/>
  <c r="AR33" i="8" s="1"/>
  <c r="BH43" i="14"/>
  <c r="BH47" i="14" s="1"/>
  <c r="BH39" i="14" s="1"/>
  <c r="BH41" i="14"/>
  <c r="BH45" i="14" s="1"/>
  <c r="BG42" i="14"/>
  <c r="BF46" i="14"/>
  <c r="O62" i="14"/>
  <c r="BG45" i="14"/>
  <c r="BG47" i="14"/>
  <c r="BG39" i="14" s="1"/>
  <c r="BE94" i="14"/>
  <c r="BD207" i="14"/>
  <c r="BE92" i="14"/>
  <c r="BD205" i="14"/>
  <c r="BE95" i="14"/>
  <c r="BD208" i="14"/>
  <c r="BE96" i="14"/>
  <c r="BD209" i="14"/>
  <c r="BE98" i="14"/>
  <c r="BD211" i="14"/>
  <c r="BE100" i="14"/>
  <c r="BD213" i="14"/>
  <c r="BE89" i="14"/>
  <c r="BD202" i="14"/>
  <c r="BE101" i="14"/>
  <c r="BD214" i="14"/>
  <c r="BE93" i="14"/>
  <c r="BD206" i="14"/>
  <c r="BE84" i="14"/>
  <c r="BD197" i="14"/>
  <c r="BE87" i="14"/>
  <c r="BD200" i="14"/>
  <c r="BE103" i="14"/>
  <c r="BD216" i="14"/>
  <c r="BE102" i="14"/>
  <c r="BD215" i="14"/>
  <c r="BE106" i="14"/>
  <c r="BD219" i="14"/>
  <c r="BE90" i="14"/>
  <c r="BD203" i="14"/>
  <c r="BE82" i="14"/>
  <c r="BD195" i="14"/>
  <c r="BE86" i="14"/>
  <c r="BD199" i="14"/>
  <c r="BE91" i="14"/>
  <c r="BD204" i="14"/>
  <c r="BE85" i="14"/>
  <c r="BD198" i="14"/>
  <c r="BE88" i="14"/>
  <c r="BD201" i="14"/>
  <c r="BE104" i="14"/>
  <c r="BD217" i="14"/>
  <c r="BF74" i="14"/>
  <c r="BE114" i="14"/>
  <c r="BE227" i="14" s="1"/>
  <c r="BE111" i="14"/>
  <c r="BE224" i="14" s="1"/>
  <c r="BE115" i="14"/>
  <c r="BE228" i="14" s="1"/>
  <c r="BE155" i="14"/>
  <c r="BE268" i="14" s="1"/>
  <c r="BE108" i="14"/>
  <c r="BE221" i="14" s="1"/>
  <c r="BE147" i="14"/>
  <c r="BE260" i="14" s="1"/>
  <c r="BE143" i="14"/>
  <c r="BE256" i="14" s="1"/>
  <c r="BE139" i="14"/>
  <c r="BE252" i="14" s="1"/>
  <c r="BE135" i="14"/>
  <c r="BE248" i="14" s="1"/>
  <c r="BE131" i="14"/>
  <c r="BE244" i="14" s="1"/>
  <c r="BE127" i="14"/>
  <c r="BE240" i="14" s="1"/>
  <c r="BE123" i="14"/>
  <c r="BE236" i="14" s="1"/>
  <c r="BE152" i="14"/>
  <c r="BE265" i="14" s="1"/>
  <c r="BE148" i="14"/>
  <c r="BE261" i="14" s="1"/>
  <c r="BE144" i="14"/>
  <c r="BE257" i="14" s="1"/>
  <c r="BE140" i="14"/>
  <c r="BE253" i="14" s="1"/>
  <c r="BE136" i="14"/>
  <c r="BE249" i="14" s="1"/>
  <c r="BE128" i="14"/>
  <c r="BE241" i="14" s="1"/>
  <c r="BE137" i="14"/>
  <c r="BE250" i="14" s="1"/>
  <c r="BE161" i="14"/>
  <c r="BE274" i="14" s="1"/>
  <c r="BE154" i="14"/>
  <c r="BE267" i="14" s="1"/>
  <c r="BE142" i="14"/>
  <c r="BE255" i="14" s="1"/>
  <c r="BE166" i="14"/>
  <c r="BE279" i="14" s="1"/>
  <c r="BE132" i="14"/>
  <c r="BE245" i="14" s="1"/>
  <c r="BE179" i="14"/>
  <c r="BE292" i="14" s="1"/>
  <c r="BE120" i="14"/>
  <c r="BE233" i="14" s="1"/>
  <c r="BE175" i="14"/>
  <c r="BE288" i="14" s="1"/>
  <c r="BE141" i="14"/>
  <c r="BE254" i="14" s="1"/>
  <c r="BE171" i="14"/>
  <c r="BE284" i="14" s="1"/>
  <c r="BE156" i="14"/>
  <c r="BE269" i="14" s="1"/>
  <c r="BE162" i="14"/>
  <c r="BE275" i="14" s="1"/>
  <c r="BE113" i="14"/>
  <c r="BE226" i="14" s="1"/>
  <c r="BE167" i="14"/>
  <c r="BE280" i="14" s="1"/>
  <c r="BE157" i="14"/>
  <c r="BE270" i="14" s="1"/>
  <c r="BE176" i="14"/>
  <c r="BE289" i="14" s="1"/>
  <c r="BE146" i="14"/>
  <c r="BE259" i="14" s="1"/>
  <c r="BE172" i="14"/>
  <c r="BE285" i="14" s="1"/>
  <c r="BE117" i="14"/>
  <c r="BE230" i="14" s="1"/>
  <c r="BE119" i="14"/>
  <c r="BE232" i="14" s="1"/>
  <c r="BE122" i="14"/>
  <c r="BE235" i="14" s="1"/>
  <c r="BE109" i="14"/>
  <c r="BE222" i="14" s="1"/>
  <c r="BE126" i="14"/>
  <c r="BE239" i="14" s="1"/>
  <c r="BE125" i="14"/>
  <c r="BE238" i="14" s="1"/>
  <c r="BE116" i="14"/>
  <c r="BE229" i="14" s="1"/>
  <c r="BE121" i="14"/>
  <c r="BE234" i="14" s="1"/>
  <c r="BE112" i="14"/>
  <c r="BE225" i="14" s="1"/>
  <c r="BE124" i="14"/>
  <c r="BE237" i="14" s="1"/>
  <c r="BE168" i="14"/>
  <c r="BE281" i="14" s="1"/>
  <c r="BE159" i="14"/>
  <c r="BE272" i="14" s="1"/>
  <c r="BE173" i="14"/>
  <c r="BE286" i="14" s="1"/>
  <c r="BE165" i="14"/>
  <c r="BE278" i="14" s="1"/>
  <c r="BE177" i="14"/>
  <c r="BE290" i="14" s="1"/>
  <c r="BE133" i="14"/>
  <c r="BE246" i="14" s="1"/>
  <c r="BE145" i="14"/>
  <c r="BE258" i="14" s="1"/>
  <c r="BE149" i="14"/>
  <c r="BE262" i="14" s="1"/>
  <c r="BE174" i="14"/>
  <c r="BE287" i="14" s="1"/>
  <c r="BE164" i="14"/>
  <c r="BE277" i="14" s="1"/>
  <c r="BE178" i="14"/>
  <c r="BE291" i="14" s="1"/>
  <c r="BE138" i="14"/>
  <c r="BE251" i="14" s="1"/>
  <c r="BE158" i="14"/>
  <c r="BE271" i="14" s="1"/>
  <c r="BE151" i="14"/>
  <c r="BE264" i="14" s="1"/>
  <c r="BE110" i="14"/>
  <c r="BE223" i="14" s="1"/>
  <c r="BE129" i="14"/>
  <c r="BE242" i="14" s="1"/>
  <c r="BE170" i="14"/>
  <c r="BE283" i="14" s="1"/>
  <c r="BE153" i="14"/>
  <c r="BE266" i="14" s="1"/>
  <c r="BE134" i="14"/>
  <c r="BE247" i="14" s="1"/>
  <c r="BE163" i="14"/>
  <c r="BE276" i="14" s="1"/>
  <c r="BE118" i="14"/>
  <c r="BE231" i="14" s="1"/>
  <c r="BE150" i="14"/>
  <c r="BE263" i="14" s="1"/>
  <c r="BE169" i="14"/>
  <c r="BE282" i="14" s="1"/>
  <c r="BE160" i="14"/>
  <c r="BE273" i="14" s="1"/>
  <c r="BE130" i="14"/>
  <c r="BE243" i="14" s="1"/>
  <c r="BC192" i="14"/>
  <c r="BE105" i="14"/>
  <c r="BD218" i="14"/>
  <c r="BE97" i="14"/>
  <c r="BD210" i="14"/>
  <c r="BE99" i="14"/>
  <c r="BD212" i="14"/>
  <c r="BE83" i="14"/>
  <c r="BD196" i="14"/>
  <c r="BE81" i="14"/>
  <c r="BD194" i="14"/>
  <c r="BE80" i="14"/>
  <c r="BD193" i="14"/>
  <c r="BE107" i="14"/>
  <c r="BD220" i="14"/>
  <c r="BH58" i="14"/>
  <c r="BI57" i="14" s="1"/>
  <c r="BH56" i="14"/>
  <c r="BJ36" i="14"/>
  <c r="BI40" i="14"/>
  <c r="BI49" i="14" s="1"/>
  <c r="AJ38" i="14"/>
  <c r="AO4" i="15"/>
  <c r="AS23" i="8"/>
  <c r="AS24" i="8" s="1"/>
  <c r="AQ42" i="8" l="1"/>
  <c r="AR44" i="8"/>
  <c r="AR39" i="8"/>
  <c r="AR43" i="8" s="1"/>
  <c r="AS34" i="8"/>
  <c r="AS33" i="8" s="1"/>
  <c r="BI41" i="14"/>
  <c r="BI43" i="14"/>
  <c r="BH42" i="14"/>
  <c r="BG46" i="14"/>
  <c r="BF91" i="14"/>
  <c r="BE204" i="14"/>
  <c r="BF103" i="14"/>
  <c r="BE216" i="14"/>
  <c r="BF93" i="14"/>
  <c r="BE206" i="14"/>
  <c r="BF82" i="14"/>
  <c r="BE195" i="14"/>
  <c r="BF89" i="14"/>
  <c r="BE202" i="14"/>
  <c r="BF107" i="14"/>
  <c r="BE220" i="14"/>
  <c r="BF98" i="14"/>
  <c r="BE211" i="14"/>
  <c r="BF102" i="14"/>
  <c r="BE215" i="14"/>
  <c r="BF90" i="14"/>
  <c r="BE203" i="14"/>
  <c r="BF84" i="14"/>
  <c r="BE197" i="14"/>
  <c r="BF100" i="14"/>
  <c r="BE213" i="14"/>
  <c r="BF96" i="14"/>
  <c r="BE209" i="14"/>
  <c r="BG74" i="14"/>
  <c r="BF114" i="14"/>
  <c r="BF227" i="14" s="1"/>
  <c r="BF111" i="14"/>
  <c r="BF224" i="14" s="1"/>
  <c r="BF144" i="14"/>
  <c r="BF257" i="14" s="1"/>
  <c r="BF108" i="14"/>
  <c r="BF221" i="14" s="1"/>
  <c r="BF147" i="14"/>
  <c r="BF260" i="14" s="1"/>
  <c r="BF143" i="14"/>
  <c r="BF256" i="14" s="1"/>
  <c r="BF139" i="14"/>
  <c r="BF252" i="14" s="1"/>
  <c r="BF135" i="14"/>
  <c r="BF248" i="14" s="1"/>
  <c r="BF131" i="14"/>
  <c r="BF244" i="14" s="1"/>
  <c r="BF127" i="14"/>
  <c r="BF240" i="14" s="1"/>
  <c r="BF123" i="14"/>
  <c r="BF236" i="14" s="1"/>
  <c r="BF156" i="14"/>
  <c r="BF269" i="14" s="1"/>
  <c r="BF152" i="14"/>
  <c r="BF265" i="14" s="1"/>
  <c r="BF148" i="14"/>
  <c r="BF261" i="14" s="1"/>
  <c r="BF140" i="14"/>
  <c r="BF253" i="14" s="1"/>
  <c r="BF132" i="14"/>
  <c r="BF245" i="14" s="1"/>
  <c r="BF118" i="14"/>
  <c r="BF231" i="14" s="1"/>
  <c r="BF128" i="14"/>
  <c r="BF241" i="14" s="1"/>
  <c r="BF137" i="14"/>
  <c r="BF250" i="14" s="1"/>
  <c r="BF161" i="14"/>
  <c r="BF274" i="14" s="1"/>
  <c r="BF154" i="14"/>
  <c r="BF267" i="14" s="1"/>
  <c r="BF142" i="14"/>
  <c r="BF255" i="14" s="1"/>
  <c r="BF166" i="14"/>
  <c r="BF279" i="14" s="1"/>
  <c r="BF179" i="14"/>
  <c r="BF292" i="14" s="1"/>
  <c r="BF120" i="14"/>
  <c r="BF233" i="14" s="1"/>
  <c r="BF155" i="14"/>
  <c r="BF268" i="14" s="1"/>
  <c r="BF175" i="14"/>
  <c r="BF288" i="14" s="1"/>
  <c r="BF141" i="14"/>
  <c r="BF254" i="14" s="1"/>
  <c r="BF171" i="14"/>
  <c r="BF284" i="14" s="1"/>
  <c r="BF136" i="14"/>
  <c r="BF249" i="14" s="1"/>
  <c r="BF115" i="14"/>
  <c r="BF228" i="14" s="1"/>
  <c r="BF162" i="14"/>
  <c r="BF275" i="14" s="1"/>
  <c r="BF113" i="14"/>
  <c r="BF226" i="14" s="1"/>
  <c r="BF167" i="14"/>
  <c r="BF280" i="14" s="1"/>
  <c r="BF157" i="14"/>
  <c r="BF270" i="14" s="1"/>
  <c r="BF176" i="14"/>
  <c r="BF289" i="14" s="1"/>
  <c r="BF146" i="14"/>
  <c r="BF259" i="14" s="1"/>
  <c r="BF172" i="14"/>
  <c r="BF285" i="14" s="1"/>
  <c r="BF117" i="14"/>
  <c r="BF230" i="14" s="1"/>
  <c r="BF119" i="14"/>
  <c r="BF232" i="14" s="1"/>
  <c r="BF122" i="14"/>
  <c r="BF235" i="14" s="1"/>
  <c r="BF109" i="14"/>
  <c r="BF222" i="14" s="1"/>
  <c r="BF126" i="14"/>
  <c r="BF239" i="14" s="1"/>
  <c r="BF125" i="14"/>
  <c r="BF238" i="14" s="1"/>
  <c r="BF116" i="14"/>
  <c r="BF229" i="14" s="1"/>
  <c r="BF121" i="14"/>
  <c r="BF234" i="14" s="1"/>
  <c r="BF112" i="14"/>
  <c r="BF225" i="14" s="1"/>
  <c r="BF124" i="14"/>
  <c r="BF237" i="14" s="1"/>
  <c r="BF178" i="14"/>
  <c r="BF291" i="14" s="1"/>
  <c r="BF168" i="14"/>
  <c r="BF281" i="14" s="1"/>
  <c r="BF159" i="14"/>
  <c r="BF272" i="14" s="1"/>
  <c r="BF165" i="14"/>
  <c r="BF278" i="14" s="1"/>
  <c r="BF177" i="14"/>
  <c r="BF290" i="14" s="1"/>
  <c r="BF133" i="14"/>
  <c r="BF246" i="14" s="1"/>
  <c r="BF145" i="14"/>
  <c r="BF258" i="14" s="1"/>
  <c r="BF149" i="14"/>
  <c r="BF262" i="14" s="1"/>
  <c r="BF174" i="14"/>
  <c r="BF287" i="14" s="1"/>
  <c r="BF173" i="14"/>
  <c r="BF286" i="14" s="1"/>
  <c r="BF138" i="14"/>
  <c r="BF251" i="14" s="1"/>
  <c r="BF158" i="14"/>
  <c r="BF271" i="14" s="1"/>
  <c r="BF164" i="14"/>
  <c r="BF277" i="14" s="1"/>
  <c r="BF151" i="14"/>
  <c r="BF264" i="14" s="1"/>
  <c r="BF110" i="14"/>
  <c r="BF223" i="14" s="1"/>
  <c r="BF129" i="14"/>
  <c r="BF242" i="14" s="1"/>
  <c r="BF170" i="14"/>
  <c r="BF283" i="14" s="1"/>
  <c r="BF153" i="14"/>
  <c r="BF266" i="14" s="1"/>
  <c r="BF134" i="14"/>
  <c r="BF247" i="14" s="1"/>
  <c r="BF163" i="14"/>
  <c r="BF276" i="14" s="1"/>
  <c r="BF150" i="14"/>
  <c r="BF263" i="14" s="1"/>
  <c r="BF169" i="14"/>
  <c r="BF282" i="14" s="1"/>
  <c r="BF160" i="14"/>
  <c r="BF273" i="14" s="1"/>
  <c r="BF130" i="14"/>
  <c r="BF243" i="14" s="1"/>
  <c r="BF95" i="14"/>
  <c r="BE208" i="14"/>
  <c r="BF106" i="14"/>
  <c r="BE219" i="14"/>
  <c r="BF101" i="14"/>
  <c r="BE214" i="14"/>
  <c r="BD192" i="14"/>
  <c r="BF104" i="14"/>
  <c r="BE217" i="14"/>
  <c r="BF92" i="14"/>
  <c r="BE205" i="14"/>
  <c r="BF86" i="14"/>
  <c r="BE199" i="14"/>
  <c r="BF97" i="14"/>
  <c r="BE210" i="14"/>
  <c r="BF88" i="14"/>
  <c r="BE201" i="14"/>
  <c r="BF94" i="14"/>
  <c r="BE207" i="14"/>
  <c r="BF81" i="14"/>
  <c r="BE194" i="14"/>
  <c r="BF83" i="14"/>
  <c r="BE196" i="14"/>
  <c r="BF99" i="14"/>
  <c r="BE212" i="14"/>
  <c r="BF87" i="14"/>
  <c r="BE200" i="14"/>
  <c r="BF80" i="14"/>
  <c r="BE193" i="14"/>
  <c r="BF105" i="14"/>
  <c r="BE218" i="14"/>
  <c r="BF85" i="14"/>
  <c r="BE198" i="14"/>
  <c r="BI58" i="14"/>
  <c r="BJ57" i="14" s="1"/>
  <c r="BI56" i="14"/>
  <c r="AK37" i="14"/>
  <c r="BK36" i="14"/>
  <c r="BJ40" i="14"/>
  <c r="BJ49" i="14" s="1"/>
  <c r="N9" i="15"/>
  <c r="I7" i="8" s="1"/>
  <c r="I35" i="8" s="1"/>
  <c r="I5" i="8"/>
  <c r="N10" i="15"/>
  <c r="I8" i="8" s="1"/>
  <c r="I36" i="8" s="1"/>
  <c r="N8" i="15"/>
  <c r="AO5" i="15"/>
  <c r="AT23" i="8"/>
  <c r="AT24" i="8" s="1"/>
  <c r="AR42" i="8" l="1"/>
  <c r="AS44" i="8"/>
  <c r="AS39" i="8"/>
  <c r="AS43" i="8" s="1"/>
  <c r="AT34" i="8"/>
  <c r="AT33" i="8" s="1"/>
  <c r="BI42" i="14"/>
  <c r="BH46" i="14"/>
  <c r="BJ43" i="14"/>
  <c r="BJ47" i="14" s="1"/>
  <c r="BJ39" i="14" s="1"/>
  <c r="BJ41" i="14"/>
  <c r="BJ45" i="14" s="1"/>
  <c r="BI47" i="14"/>
  <c r="BI39" i="14" s="1"/>
  <c r="BI45" i="14"/>
  <c r="BG92" i="14"/>
  <c r="BF205" i="14"/>
  <c r="BG81" i="14"/>
  <c r="BF194" i="14"/>
  <c r="BG94" i="14"/>
  <c r="BF207" i="14"/>
  <c r="BG96" i="14"/>
  <c r="BF209" i="14"/>
  <c r="BG97" i="14"/>
  <c r="BF210" i="14"/>
  <c r="BG84" i="14"/>
  <c r="BF197" i="14"/>
  <c r="BG98" i="14"/>
  <c r="BF211" i="14"/>
  <c r="BG106" i="14"/>
  <c r="BF219" i="14"/>
  <c r="BG107" i="14"/>
  <c r="BF220" i="14"/>
  <c r="BG86" i="14"/>
  <c r="BF199" i="14"/>
  <c r="BH74" i="14"/>
  <c r="BG111" i="14"/>
  <c r="BG224" i="14" s="1"/>
  <c r="BG133" i="14"/>
  <c r="BG246" i="14" s="1"/>
  <c r="BG115" i="14"/>
  <c r="BG228" i="14" s="1"/>
  <c r="BG108" i="14"/>
  <c r="BG221" i="14" s="1"/>
  <c r="BG119" i="14"/>
  <c r="BG232" i="14" s="1"/>
  <c r="BG151" i="14"/>
  <c r="BG264" i="14" s="1"/>
  <c r="BG147" i="14"/>
  <c r="BG260" i="14" s="1"/>
  <c r="BG143" i="14"/>
  <c r="BG256" i="14" s="1"/>
  <c r="BG139" i="14"/>
  <c r="BG252" i="14" s="1"/>
  <c r="BG135" i="14"/>
  <c r="BG248" i="14" s="1"/>
  <c r="BG131" i="14"/>
  <c r="BG244" i="14" s="1"/>
  <c r="BG127" i="14"/>
  <c r="BG240" i="14" s="1"/>
  <c r="BG123" i="14"/>
  <c r="BG236" i="14" s="1"/>
  <c r="BG156" i="14"/>
  <c r="BG269" i="14" s="1"/>
  <c r="BG148" i="14"/>
  <c r="BG261" i="14" s="1"/>
  <c r="BG136" i="14"/>
  <c r="BG249" i="14" s="1"/>
  <c r="BG110" i="14"/>
  <c r="BG223" i="14" s="1"/>
  <c r="BG153" i="14"/>
  <c r="BG266" i="14" s="1"/>
  <c r="BG118" i="14"/>
  <c r="BG231" i="14" s="1"/>
  <c r="BG128" i="14"/>
  <c r="BG241" i="14" s="1"/>
  <c r="BG137" i="14"/>
  <c r="BG250" i="14" s="1"/>
  <c r="BG161" i="14"/>
  <c r="BG274" i="14" s="1"/>
  <c r="BG154" i="14"/>
  <c r="BG267" i="14" s="1"/>
  <c r="BG132" i="14"/>
  <c r="BG245" i="14" s="1"/>
  <c r="BG142" i="14"/>
  <c r="BG255" i="14" s="1"/>
  <c r="BG166" i="14"/>
  <c r="BG279" i="14" s="1"/>
  <c r="BG179" i="14"/>
  <c r="BG292" i="14" s="1"/>
  <c r="BG120" i="14"/>
  <c r="BG233" i="14" s="1"/>
  <c r="BG155" i="14"/>
  <c r="BG268" i="14" s="1"/>
  <c r="BG175" i="14"/>
  <c r="BG288" i="14" s="1"/>
  <c r="BG141" i="14"/>
  <c r="BG254" i="14" s="1"/>
  <c r="BG171" i="14"/>
  <c r="BG284" i="14" s="1"/>
  <c r="BG162" i="14"/>
  <c r="BG275" i="14" s="1"/>
  <c r="BG113" i="14"/>
  <c r="BG226" i="14" s="1"/>
  <c r="BG140" i="14"/>
  <c r="BG253" i="14" s="1"/>
  <c r="BG167" i="14"/>
  <c r="BG280" i="14" s="1"/>
  <c r="BG157" i="14"/>
  <c r="BG270" i="14" s="1"/>
  <c r="BG176" i="14"/>
  <c r="BG289" i="14" s="1"/>
  <c r="BG117" i="14"/>
  <c r="BG230" i="14" s="1"/>
  <c r="BG122" i="14"/>
  <c r="BG235" i="14" s="1"/>
  <c r="BG109" i="14"/>
  <c r="BG222" i="14" s="1"/>
  <c r="BG126" i="14"/>
  <c r="BG239" i="14" s="1"/>
  <c r="BG114" i="14"/>
  <c r="BG227" i="14" s="1"/>
  <c r="BG125" i="14"/>
  <c r="BG238" i="14" s="1"/>
  <c r="BG116" i="14"/>
  <c r="BG229" i="14" s="1"/>
  <c r="BG121" i="14"/>
  <c r="BG234" i="14" s="1"/>
  <c r="BG112" i="14"/>
  <c r="BG225" i="14" s="1"/>
  <c r="BG124" i="14"/>
  <c r="BG237" i="14" s="1"/>
  <c r="BG178" i="14"/>
  <c r="BG291" i="14" s="1"/>
  <c r="BG168" i="14"/>
  <c r="BG281" i="14" s="1"/>
  <c r="BG159" i="14"/>
  <c r="BG272" i="14" s="1"/>
  <c r="BG165" i="14"/>
  <c r="BG278" i="14" s="1"/>
  <c r="BG177" i="14"/>
  <c r="BG290" i="14" s="1"/>
  <c r="BG170" i="14"/>
  <c r="BG283" i="14" s="1"/>
  <c r="BG145" i="14"/>
  <c r="BG258" i="14" s="1"/>
  <c r="BG174" i="14"/>
  <c r="BG287" i="14" s="1"/>
  <c r="BG149" i="14"/>
  <c r="BG262" i="14" s="1"/>
  <c r="BG138" i="14"/>
  <c r="BG251" i="14" s="1"/>
  <c r="BG158" i="14"/>
  <c r="BG271" i="14" s="1"/>
  <c r="BG164" i="14"/>
  <c r="BG277" i="14" s="1"/>
  <c r="BG129" i="14"/>
  <c r="BG242" i="14" s="1"/>
  <c r="BG173" i="14"/>
  <c r="BG286" i="14" s="1"/>
  <c r="BG134" i="14"/>
  <c r="BG247" i="14" s="1"/>
  <c r="BG163" i="14"/>
  <c r="BG276" i="14" s="1"/>
  <c r="BG172" i="14"/>
  <c r="BG285" i="14" s="1"/>
  <c r="BG146" i="14"/>
  <c r="BG259" i="14" s="1"/>
  <c r="BG144" i="14"/>
  <c r="BG257" i="14" s="1"/>
  <c r="BG150" i="14"/>
  <c r="BG263" i="14" s="1"/>
  <c r="BG169" i="14"/>
  <c r="BG282" i="14" s="1"/>
  <c r="BG160" i="14"/>
  <c r="BG273" i="14" s="1"/>
  <c r="BG152" i="14"/>
  <c r="BG265" i="14" s="1"/>
  <c r="BG130" i="14"/>
  <c r="BG243" i="14" s="1"/>
  <c r="BG90" i="14"/>
  <c r="BF203" i="14"/>
  <c r="BG89" i="14"/>
  <c r="BF202" i="14"/>
  <c r="BG85" i="14"/>
  <c r="BF198" i="14"/>
  <c r="BG80" i="14"/>
  <c r="BF193" i="14"/>
  <c r="BG82" i="14"/>
  <c r="BF195" i="14"/>
  <c r="BG105" i="14"/>
  <c r="BF218" i="14"/>
  <c r="BG104" i="14"/>
  <c r="BF217" i="14"/>
  <c r="BG101" i="14"/>
  <c r="BF214" i="14"/>
  <c r="BE192" i="14"/>
  <c r="BG93" i="14"/>
  <c r="BF206" i="14"/>
  <c r="BG88" i="14"/>
  <c r="BF201" i="14"/>
  <c r="BG100" i="14"/>
  <c r="BF213" i="14"/>
  <c r="BG87" i="14"/>
  <c r="BF200" i="14"/>
  <c r="BG99" i="14"/>
  <c r="BF212" i="14"/>
  <c r="BG103" i="14"/>
  <c r="BF216" i="14"/>
  <c r="BG95" i="14"/>
  <c r="BF208" i="14"/>
  <c r="BG102" i="14"/>
  <c r="BF215" i="14"/>
  <c r="BG83" i="14"/>
  <c r="BF196" i="14"/>
  <c r="BG91" i="14"/>
  <c r="BF204" i="14"/>
  <c r="BJ58" i="14"/>
  <c r="BK57" i="14" s="1"/>
  <c r="BJ56" i="14"/>
  <c r="I6" i="8"/>
  <c r="I34" i="8" s="1"/>
  <c r="BK40" i="14"/>
  <c r="BK49" i="14" s="1"/>
  <c r="BL36" i="14"/>
  <c r="AK38" i="14"/>
  <c r="AP4" i="15"/>
  <c r="AU23" i="8"/>
  <c r="AU24" i="8" s="1"/>
  <c r="AS42" i="8" l="1"/>
  <c r="AT44" i="8"/>
  <c r="AT39" i="8"/>
  <c r="AT42" i="8" s="1"/>
  <c r="AU34" i="8"/>
  <c r="AU33" i="8" s="1"/>
  <c r="BK41" i="14"/>
  <c r="BK43" i="14"/>
  <c r="BJ42" i="14"/>
  <c r="BI46" i="14"/>
  <c r="BH101" i="14"/>
  <c r="BG214" i="14"/>
  <c r="BH98" i="14"/>
  <c r="BG211" i="14"/>
  <c r="BH88" i="14"/>
  <c r="BG201" i="14"/>
  <c r="BH105" i="14"/>
  <c r="BG218" i="14"/>
  <c r="BH86" i="14"/>
  <c r="BG199" i="14"/>
  <c r="BH85" i="14"/>
  <c r="BG198" i="14"/>
  <c r="BH89" i="14"/>
  <c r="BG202" i="14"/>
  <c r="BH93" i="14"/>
  <c r="BG206" i="14"/>
  <c r="BI74" i="14"/>
  <c r="BH121" i="14"/>
  <c r="BH234" i="14" s="1"/>
  <c r="BH114" i="14"/>
  <c r="BH227" i="14" s="1"/>
  <c r="BH111" i="14"/>
  <c r="BH224" i="14" s="1"/>
  <c r="BH122" i="14"/>
  <c r="BH235" i="14" s="1"/>
  <c r="BH162" i="14"/>
  <c r="BH275" i="14" s="1"/>
  <c r="BH115" i="14"/>
  <c r="BH228" i="14" s="1"/>
  <c r="BH108" i="14"/>
  <c r="BH221" i="14" s="1"/>
  <c r="BH175" i="14"/>
  <c r="BH288" i="14" s="1"/>
  <c r="BH151" i="14"/>
  <c r="BH264" i="14" s="1"/>
  <c r="BH147" i="14"/>
  <c r="BH260" i="14" s="1"/>
  <c r="BH143" i="14"/>
  <c r="BH256" i="14" s="1"/>
  <c r="BH139" i="14"/>
  <c r="BH252" i="14" s="1"/>
  <c r="BH135" i="14"/>
  <c r="BH248" i="14" s="1"/>
  <c r="BH131" i="14"/>
  <c r="BH244" i="14" s="1"/>
  <c r="BH127" i="14"/>
  <c r="BH240" i="14" s="1"/>
  <c r="BH123" i="14"/>
  <c r="BH236" i="14" s="1"/>
  <c r="BH144" i="14"/>
  <c r="BH257" i="14" s="1"/>
  <c r="BH133" i="14"/>
  <c r="BH246" i="14" s="1"/>
  <c r="BH148" i="14"/>
  <c r="BH261" i="14" s="1"/>
  <c r="BH170" i="14"/>
  <c r="BH283" i="14" s="1"/>
  <c r="BH110" i="14"/>
  <c r="BH223" i="14" s="1"/>
  <c r="BH153" i="14"/>
  <c r="BH266" i="14" s="1"/>
  <c r="BH118" i="14"/>
  <c r="BH231" i="14" s="1"/>
  <c r="BH128" i="14"/>
  <c r="BH241" i="14" s="1"/>
  <c r="BH137" i="14"/>
  <c r="BH250" i="14" s="1"/>
  <c r="BH161" i="14"/>
  <c r="BH274" i="14" s="1"/>
  <c r="BH154" i="14"/>
  <c r="BH267" i="14" s="1"/>
  <c r="BH132" i="14"/>
  <c r="BH245" i="14" s="1"/>
  <c r="BH142" i="14"/>
  <c r="BH255" i="14" s="1"/>
  <c r="BH166" i="14"/>
  <c r="BH279" i="14" s="1"/>
  <c r="BH179" i="14"/>
  <c r="BH292" i="14" s="1"/>
  <c r="BH120" i="14"/>
  <c r="BH233" i="14" s="1"/>
  <c r="BH155" i="14"/>
  <c r="BH268" i="14" s="1"/>
  <c r="BH136" i="14"/>
  <c r="BH249" i="14" s="1"/>
  <c r="BH141" i="14"/>
  <c r="BH254" i="14" s="1"/>
  <c r="BH171" i="14"/>
  <c r="BH284" i="14" s="1"/>
  <c r="BH156" i="14"/>
  <c r="BH269" i="14" s="1"/>
  <c r="BH113" i="14"/>
  <c r="BH226" i="14" s="1"/>
  <c r="BH140" i="14"/>
  <c r="BH253" i="14" s="1"/>
  <c r="BH167" i="14"/>
  <c r="BH280" i="14" s="1"/>
  <c r="BH157" i="14"/>
  <c r="BH270" i="14" s="1"/>
  <c r="BH117" i="14"/>
  <c r="BH230" i="14" s="1"/>
  <c r="BH119" i="14"/>
  <c r="BH232" i="14" s="1"/>
  <c r="BH109" i="14"/>
  <c r="BH222" i="14" s="1"/>
  <c r="BH126" i="14"/>
  <c r="BH239" i="14" s="1"/>
  <c r="BH125" i="14"/>
  <c r="BH238" i="14" s="1"/>
  <c r="BH116" i="14"/>
  <c r="BH229" i="14" s="1"/>
  <c r="BH112" i="14"/>
  <c r="BH225" i="14" s="1"/>
  <c r="BH152" i="14"/>
  <c r="BH265" i="14" s="1"/>
  <c r="BH178" i="14"/>
  <c r="BH291" i="14" s="1"/>
  <c r="BH168" i="14"/>
  <c r="BH281" i="14" s="1"/>
  <c r="BH159" i="14"/>
  <c r="BH272" i="14" s="1"/>
  <c r="BH165" i="14"/>
  <c r="BH278" i="14" s="1"/>
  <c r="BH177" i="14"/>
  <c r="BH290" i="14" s="1"/>
  <c r="BH145" i="14"/>
  <c r="BH258" i="14" s="1"/>
  <c r="BH149" i="14"/>
  <c r="BH262" i="14" s="1"/>
  <c r="BH174" i="14"/>
  <c r="BH287" i="14" s="1"/>
  <c r="BH138" i="14"/>
  <c r="BH251" i="14" s="1"/>
  <c r="BH158" i="14"/>
  <c r="BH271" i="14" s="1"/>
  <c r="BH176" i="14"/>
  <c r="BH289" i="14" s="1"/>
  <c r="BH164" i="14"/>
  <c r="BH277" i="14" s="1"/>
  <c r="BH129" i="14"/>
  <c r="BH242" i="14" s="1"/>
  <c r="BH173" i="14"/>
  <c r="BH286" i="14" s="1"/>
  <c r="BH134" i="14"/>
  <c r="BH247" i="14" s="1"/>
  <c r="BH163" i="14"/>
  <c r="BH276" i="14" s="1"/>
  <c r="BH172" i="14"/>
  <c r="BH285" i="14" s="1"/>
  <c r="BH146" i="14"/>
  <c r="BH259" i="14" s="1"/>
  <c r="BH124" i="14"/>
  <c r="BH237" i="14" s="1"/>
  <c r="BH150" i="14"/>
  <c r="BH263" i="14" s="1"/>
  <c r="BH169" i="14"/>
  <c r="BH282" i="14" s="1"/>
  <c r="BH160" i="14"/>
  <c r="BH273" i="14" s="1"/>
  <c r="BH130" i="14"/>
  <c r="BH243" i="14" s="1"/>
  <c r="BH84" i="14"/>
  <c r="BG197" i="14"/>
  <c r="BH104" i="14"/>
  <c r="BG217" i="14"/>
  <c r="BF192" i="14"/>
  <c r="BH97" i="14"/>
  <c r="BG210" i="14"/>
  <c r="BH100" i="14"/>
  <c r="BG213" i="14"/>
  <c r="BH107" i="14"/>
  <c r="BG220" i="14"/>
  <c r="BH90" i="14"/>
  <c r="BG203" i="14"/>
  <c r="BH96" i="14"/>
  <c r="BG209" i="14"/>
  <c r="BH106" i="14"/>
  <c r="BG219" i="14"/>
  <c r="BH83" i="14"/>
  <c r="BG196" i="14"/>
  <c r="BH102" i="14"/>
  <c r="BG215" i="14"/>
  <c r="BH94" i="14"/>
  <c r="BG207" i="14"/>
  <c r="BH99" i="14"/>
  <c r="BG212" i="14"/>
  <c r="BH81" i="14"/>
  <c r="BG194" i="14"/>
  <c r="BH95" i="14"/>
  <c r="BG208" i="14"/>
  <c r="BH103" i="14"/>
  <c r="BG216" i="14"/>
  <c r="BH82" i="14"/>
  <c r="BG195" i="14"/>
  <c r="BH80" i="14"/>
  <c r="BG193" i="14"/>
  <c r="BH91" i="14"/>
  <c r="BG204" i="14"/>
  <c r="BH87" i="14"/>
  <c r="BG200" i="14"/>
  <c r="BH92" i="14"/>
  <c r="BG205" i="14"/>
  <c r="BK58" i="14"/>
  <c r="BK56" i="14"/>
  <c r="AL37" i="14"/>
  <c r="BL40" i="14"/>
  <c r="BL49" i="14" s="1"/>
  <c r="BM36" i="14"/>
  <c r="AP5" i="15"/>
  <c r="AV23" i="8"/>
  <c r="AV24" i="8" s="1"/>
  <c r="AT43" i="8" l="1"/>
  <c r="AU44" i="8"/>
  <c r="AU39" i="8"/>
  <c r="AU42" i="8" s="1"/>
  <c r="AV34" i="8"/>
  <c r="AV33" i="8" s="1"/>
  <c r="AV44" i="8" s="1"/>
  <c r="BL43" i="14"/>
  <c r="BL47" i="14" s="1"/>
  <c r="BL39" i="14" s="1"/>
  <c r="BL41" i="14"/>
  <c r="BL45" i="14" s="1"/>
  <c r="BK42" i="14"/>
  <c r="BJ46" i="14"/>
  <c r="BK47" i="14"/>
  <c r="BK39" i="14" s="1"/>
  <c r="BK45" i="14"/>
  <c r="BI94" i="14"/>
  <c r="BH207" i="14"/>
  <c r="BI85" i="14"/>
  <c r="BH198" i="14"/>
  <c r="BI90" i="14"/>
  <c r="BH203" i="14"/>
  <c r="BJ74" i="14"/>
  <c r="BI110" i="14"/>
  <c r="BI223" i="14" s="1"/>
  <c r="BI121" i="14"/>
  <c r="BI234" i="14" s="1"/>
  <c r="BI114" i="14"/>
  <c r="BI227" i="14" s="1"/>
  <c r="BI111" i="14"/>
  <c r="BI224" i="14" s="1"/>
  <c r="BI151" i="14"/>
  <c r="BI264" i="14" s="1"/>
  <c r="BI122" i="14"/>
  <c r="BI235" i="14" s="1"/>
  <c r="BI155" i="14"/>
  <c r="BI268" i="14" s="1"/>
  <c r="BI147" i="14"/>
  <c r="BI260" i="14" s="1"/>
  <c r="BI143" i="14"/>
  <c r="BI256" i="14" s="1"/>
  <c r="BI139" i="14"/>
  <c r="BI252" i="14" s="1"/>
  <c r="BI135" i="14"/>
  <c r="BI248" i="14" s="1"/>
  <c r="BI131" i="14"/>
  <c r="BI244" i="14" s="1"/>
  <c r="BI127" i="14"/>
  <c r="BI240" i="14" s="1"/>
  <c r="BI123" i="14"/>
  <c r="BI236" i="14" s="1"/>
  <c r="BI148" i="14"/>
  <c r="BI261" i="14" s="1"/>
  <c r="BI138" i="14"/>
  <c r="BI251" i="14" s="1"/>
  <c r="BI174" i="14"/>
  <c r="BI287" i="14" s="1"/>
  <c r="BI133" i="14"/>
  <c r="BI246" i="14" s="1"/>
  <c r="BI170" i="14"/>
  <c r="BI283" i="14" s="1"/>
  <c r="BI153" i="14"/>
  <c r="BI266" i="14" s="1"/>
  <c r="BI118" i="14"/>
  <c r="BI231" i="14" s="1"/>
  <c r="BI128" i="14"/>
  <c r="BI241" i="14" s="1"/>
  <c r="BI137" i="14"/>
  <c r="BI250" i="14" s="1"/>
  <c r="BI161" i="14"/>
  <c r="BI274" i="14" s="1"/>
  <c r="BI154" i="14"/>
  <c r="BI267" i="14" s="1"/>
  <c r="BI132" i="14"/>
  <c r="BI245" i="14" s="1"/>
  <c r="BI142" i="14"/>
  <c r="BI255" i="14" s="1"/>
  <c r="BI166" i="14"/>
  <c r="BI279" i="14" s="1"/>
  <c r="BI179" i="14"/>
  <c r="BI292" i="14" s="1"/>
  <c r="BI175" i="14"/>
  <c r="BI288" i="14" s="1"/>
  <c r="BI120" i="14"/>
  <c r="BI233" i="14" s="1"/>
  <c r="BI136" i="14"/>
  <c r="BI249" i="14" s="1"/>
  <c r="BI141" i="14"/>
  <c r="BI254" i="14" s="1"/>
  <c r="BI171" i="14"/>
  <c r="BI284" i="14" s="1"/>
  <c r="BI108" i="14"/>
  <c r="BI221" i="14" s="1"/>
  <c r="BI115" i="14"/>
  <c r="BI228" i="14" s="1"/>
  <c r="BI156" i="14"/>
  <c r="BI269" i="14" s="1"/>
  <c r="BI162" i="14"/>
  <c r="BI275" i="14" s="1"/>
  <c r="BI113" i="14"/>
  <c r="BI226" i="14" s="1"/>
  <c r="BI140" i="14"/>
  <c r="BI253" i="14" s="1"/>
  <c r="BI167" i="14"/>
  <c r="BI280" i="14" s="1"/>
  <c r="BI157" i="14"/>
  <c r="BI270" i="14" s="1"/>
  <c r="BI117" i="14"/>
  <c r="BI230" i="14" s="1"/>
  <c r="BI119" i="14"/>
  <c r="BI232" i="14" s="1"/>
  <c r="BI109" i="14"/>
  <c r="BI222" i="14" s="1"/>
  <c r="BI126" i="14"/>
  <c r="BI239" i="14" s="1"/>
  <c r="BI125" i="14"/>
  <c r="BI238" i="14" s="1"/>
  <c r="BI116" i="14"/>
  <c r="BI229" i="14" s="1"/>
  <c r="BI152" i="14"/>
  <c r="BI265" i="14" s="1"/>
  <c r="BI178" i="14"/>
  <c r="BI291" i="14" s="1"/>
  <c r="BI168" i="14"/>
  <c r="BI281" i="14" s="1"/>
  <c r="BI159" i="14"/>
  <c r="BI272" i="14" s="1"/>
  <c r="BI130" i="14"/>
  <c r="BI243" i="14" s="1"/>
  <c r="BI165" i="14"/>
  <c r="BI278" i="14" s="1"/>
  <c r="BI177" i="14"/>
  <c r="BI290" i="14" s="1"/>
  <c r="BI176" i="14"/>
  <c r="BI289" i="14" s="1"/>
  <c r="BI145" i="14"/>
  <c r="BI258" i="14" s="1"/>
  <c r="BI149" i="14"/>
  <c r="BI262" i="14" s="1"/>
  <c r="BI158" i="14"/>
  <c r="BI271" i="14" s="1"/>
  <c r="BI112" i="14"/>
  <c r="BI225" i="14" s="1"/>
  <c r="BI164" i="14"/>
  <c r="BI277" i="14" s="1"/>
  <c r="BI129" i="14"/>
  <c r="BI242" i="14" s="1"/>
  <c r="BI173" i="14"/>
  <c r="BI286" i="14" s="1"/>
  <c r="BI134" i="14"/>
  <c r="BI247" i="14" s="1"/>
  <c r="BI163" i="14"/>
  <c r="BI276" i="14" s="1"/>
  <c r="BI172" i="14"/>
  <c r="BI285" i="14" s="1"/>
  <c r="BI146" i="14"/>
  <c r="BI259" i="14" s="1"/>
  <c r="BI144" i="14"/>
  <c r="BI257" i="14" s="1"/>
  <c r="BI124" i="14"/>
  <c r="BI237" i="14" s="1"/>
  <c r="BI150" i="14"/>
  <c r="BI263" i="14" s="1"/>
  <c r="BI169" i="14"/>
  <c r="BI282" i="14" s="1"/>
  <c r="BI160" i="14"/>
  <c r="BI273" i="14" s="1"/>
  <c r="BI86" i="14"/>
  <c r="BH199" i="14"/>
  <c r="BI81" i="14"/>
  <c r="BH194" i="14"/>
  <c r="BI97" i="14"/>
  <c r="BH210" i="14"/>
  <c r="BI104" i="14"/>
  <c r="BH217" i="14"/>
  <c r="BI106" i="14"/>
  <c r="BH219" i="14"/>
  <c r="BI93" i="14"/>
  <c r="BH206" i="14"/>
  <c r="BI105" i="14"/>
  <c r="BH218" i="14"/>
  <c r="BI88" i="14"/>
  <c r="BH201" i="14"/>
  <c r="BI96" i="14"/>
  <c r="BH209" i="14"/>
  <c r="BI84" i="14"/>
  <c r="BH197" i="14"/>
  <c r="BI91" i="14"/>
  <c r="BH204" i="14"/>
  <c r="BG192" i="14"/>
  <c r="BI82" i="14"/>
  <c r="BH195" i="14"/>
  <c r="BI98" i="14"/>
  <c r="BH211" i="14"/>
  <c r="BI99" i="14"/>
  <c r="BH212" i="14"/>
  <c r="BI83" i="14"/>
  <c r="BH196" i="14"/>
  <c r="BI107" i="14"/>
  <c r="BH220" i="14"/>
  <c r="BI100" i="14"/>
  <c r="BH213" i="14"/>
  <c r="BI89" i="14"/>
  <c r="BH202" i="14"/>
  <c r="BI92" i="14"/>
  <c r="BH205" i="14"/>
  <c r="BI80" i="14"/>
  <c r="BH193" i="14"/>
  <c r="BI103" i="14"/>
  <c r="BH216" i="14"/>
  <c r="BI101" i="14"/>
  <c r="BH214" i="14"/>
  <c r="BI87" i="14"/>
  <c r="BH200" i="14"/>
  <c r="BI102" i="14"/>
  <c r="BH215" i="14"/>
  <c r="BI95" i="14"/>
  <c r="BH208" i="14"/>
  <c r="G59" i="14"/>
  <c r="BM40" i="14"/>
  <c r="BM49" i="14" s="1"/>
  <c r="BN36" i="14"/>
  <c r="AL38" i="14"/>
  <c r="AQ4" i="15"/>
  <c r="AW23" i="8"/>
  <c r="AW24" i="8" s="1"/>
  <c r="AU43" i="8" l="1"/>
  <c r="AW34" i="8"/>
  <c r="AW33" i="8" s="1"/>
  <c r="BM43" i="14"/>
  <c r="BM41" i="14"/>
  <c r="BL42" i="14"/>
  <c r="BK46" i="14"/>
  <c r="BJ86" i="14"/>
  <c r="BI199" i="14"/>
  <c r="BJ89" i="14"/>
  <c r="BI202" i="14"/>
  <c r="BJ92" i="14"/>
  <c r="BI205" i="14"/>
  <c r="BJ105" i="14"/>
  <c r="BI218" i="14"/>
  <c r="BJ106" i="14"/>
  <c r="BI219" i="14"/>
  <c r="BJ88" i="14"/>
  <c r="BI201" i="14"/>
  <c r="BK74" i="14"/>
  <c r="BJ110" i="14"/>
  <c r="BJ223" i="14" s="1"/>
  <c r="BJ140" i="14"/>
  <c r="BJ253" i="14" s="1"/>
  <c r="BJ111" i="14"/>
  <c r="BJ224" i="14" s="1"/>
  <c r="BJ126" i="14"/>
  <c r="BJ239" i="14" s="1"/>
  <c r="BJ122" i="14"/>
  <c r="BJ235" i="14" s="1"/>
  <c r="BJ159" i="14"/>
  <c r="BJ272" i="14" s="1"/>
  <c r="BJ155" i="14"/>
  <c r="BJ268" i="14" s="1"/>
  <c r="BJ147" i="14"/>
  <c r="BJ260" i="14" s="1"/>
  <c r="BJ143" i="14"/>
  <c r="BJ256" i="14" s="1"/>
  <c r="BJ139" i="14"/>
  <c r="BJ252" i="14" s="1"/>
  <c r="BJ135" i="14"/>
  <c r="BJ248" i="14" s="1"/>
  <c r="BJ131" i="14"/>
  <c r="BJ244" i="14" s="1"/>
  <c r="BJ127" i="14"/>
  <c r="BJ240" i="14" s="1"/>
  <c r="BJ123" i="14"/>
  <c r="BJ236" i="14" s="1"/>
  <c r="BJ152" i="14"/>
  <c r="BJ265" i="14" s="1"/>
  <c r="BJ124" i="14"/>
  <c r="BJ237" i="14" s="1"/>
  <c r="BJ165" i="14"/>
  <c r="BJ278" i="14" s="1"/>
  <c r="BJ178" i="14"/>
  <c r="BJ291" i="14" s="1"/>
  <c r="BJ138" i="14"/>
  <c r="BJ251" i="14" s="1"/>
  <c r="BJ148" i="14"/>
  <c r="BJ261" i="14" s="1"/>
  <c r="BJ174" i="14"/>
  <c r="BJ287" i="14" s="1"/>
  <c r="BJ133" i="14"/>
  <c r="BJ246" i="14" s="1"/>
  <c r="BJ170" i="14"/>
  <c r="BJ283" i="14" s="1"/>
  <c r="BJ153" i="14"/>
  <c r="BJ266" i="14" s="1"/>
  <c r="BJ118" i="14"/>
  <c r="BJ231" i="14" s="1"/>
  <c r="BJ128" i="14"/>
  <c r="BJ241" i="14" s="1"/>
  <c r="BJ137" i="14"/>
  <c r="BJ250" i="14" s="1"/>
  <c r="BJ161" i="14"/>
  <c r="BJ274" i="14" s="1"/>
  <c r="BJ154" i="14"/>
  <c r="BJ267" i="14" s="1"/>
  <c r="BJ132" i="14"/>
  <c r="BJ245" i="14" s="1"/>
  <c r="BJ142" i="14"/>
  <c r="BJ255" i="14" s="1"/>
  <c r="BJ166" i="14"/>
  <c r="BJ279" i="14" s="1"/>
  <c r="BJ179" i="14"/>
  <c r="BJ292" i="14" s="1"/>
  <c r="BJ175" i="14"/>
  <c r="BJ288" i="14" s="1"/>
  <c r="BJ120" i="14"/>
  <c r="BJ233" i="14" s="1"/>
  <c r="BJ136" i="14"/>
  <c r="BJ249" i="14" s="1"/>
  <c r="BJ141" i="14"/>
  <c r="BJ254" i="14" s="1"/>
  <c r="BJ171" i="14"/>
  <c r="BJ284" i="14" s="1"/>
  <c r="BJ108" i="14"/>
  <c r="BJ221" i="14" s="1"/>
  <c r="BJ115" i="14"/>
  <c r="BJ228" i="14" s="1"/>
  <c r="BJ156" i="14"/>
  <c r="BJ269" i="14" s="1"/>
  <c r="BJ162" i="14"/>
  <c r="BJ275" i="14" s="1"/>
  <c r="BJ113" i="14"/>
  <c r="BJ226" i="14" s="1"/>
  <c r="BJ167" i="14"/>
  <c r="BJ280" i="14" s="1"/>
  <c r="BJ117" i="14"/>
  <c r="BJ230" i="14" s="1"/>
  <c r="BJ119" i="14"/>
  <c r="BJ232" i="14" s="1"/>
  <c r="BJ109" i="14"/>
  <c r="BJ222" i="14" s="1"/>
  <c r="BJ114" i="14"/>
  <c r="BJ227" i="14" s="1"/>
  <c r="BJ125" i="14"/>
  <c r="BJ238" i="14" s="1"/>
  <c r="BJ121" i="14"/>
  <c r="BJ234" i="14" s="1"/>
  <c r="BJ116" i="14"/>
  <c r="BJ229" i="14" s="1"/>
  <c r="BJ168" i="14"/>
  <c r="BJ281" i="14" s="1"/>
  <c r="BJ173" i="14"/>
  <c r="BJ286" i="14" s="1"/>
  <c r="BJ177" i="14"/>
  <c r="BJ290" i="14" s="1"/>
  <c r="BJ145" i="14"/>
  <c r="BJ258" i="14" s="1"/>
  <c r="BJ149" i="14"/>
  <c r="BJ262" i="14" s="1"/>
  <c r="BJ151" i="14"/>
  <c r="BJ264" i="14" s="1"/>
  <c r="BJ158" i="14"/>
  <c r="BJ271" i="14" s="1"/>
  <c r="BJ176" i="14"/>
  <c r="BJ289" i="14" s="1"/>
  <c r="BJ112" i="14"/>
  <c r="BJ225" i="14" s="1"/>
  <c r="BJ164" i="14"/>
  <c r="BJ277" i="14" s="1"/>
  <c r="BJ129" i="14"/>
  <c r="BJ242" i="14" s="1"/>
  <c r="BJ134" i="14"/>
  <c r="BJ247" i="14" s="1"/>
  <c r="BJ163" i="14"/>
  <c r="BJ276" i="14" s="1"/>
  <c r="BJ172" i="14"/>
  <c r="BJ285" i="14" s="1"/>
  <c r="BJ157" i="14"/>
  <c r="BJ270" i="14" s="1"/>
  <c r="BJ146" i="14"/>
  <c r="BJ259" i="14" s="1"/>
  <c r="BJ144" i="14"/>
  <c r="BJ257" i="14" s="1"/>
  <c r="BJ150" i="14"/>
  <c r="BJ263" i="14" s="1"/>
  <c r="BJ169" i="14"/>
  <c r="BJ282" i="14" s="1"/>
  <c r="BJ160" i="14"/>
  <c r="BJ273" i="14" s="1"/>
  <c r="BJ130" i="14"/>
  <c r="BJ243" i="14" s="1"/>
  <c r="BJ82" i="14"/>
  <c r="BI195" i="14"/>
  <c r="BJ104" i="14"/>
  <c r="BI217" i="14"/>
  <c r="BJ95" i="14"/>
  <c r="BI208" i="14"/>
  <c r="BJ93" i="14"/>
  <c r="BI206" i="14"/>
  <c r="BJ90" i="14"/>
  <c r="BI203" i="14"/>
  <c r="BJ100" i="14"/>
  <c r="BI213" i="14"/>
  <c r="BJ107" i="14"/>
  <c r="BI220" i="14"/>
  <c r="BJ83" i="14"/>
  <c r="BI196" i="14"/>
  <c r="BJ99" i="14"/>
  <c r="BI212" i="14"/>
  <c r="BJ96" i="14"/>
  <c r="BI209" i="14"/>
  <c r="BJ97" i="14"/>
  <c r="BI210" i="14"/>
  <c r="BJ98" i="14"/>
  <c r="BI211" i="14"/>
  <c r="BJ91" i="14"/>
  <c r="BI204" i="14"/>
  <c r="BJ101" i="14"/>
  <c r="BI214" i="14"/>
  <c r="BJ103" i="14"/>
  <c r="BI216" i="14"/>
  <c r="BJ85" i="14"/>
  <c r="BI198" i="14"/>
  <c r="BJ102" i="14"/>
  <c r="BI215" i="14"/>
  <c r="BJ87" i="14"/>
  <c r="BI200" i="14"/>
  <c r="BH192" i="14"/>
  <c r="BJ81" i="14"/>
  <c r="BI194" i="14"/>
  <c r="BJ84" i="14"/>
  <c r="BI197" i="14"/>
  <c r="BJ80" i="14"/>
  <c r="BI193" i="14"/>
  <c r="BJ94" i="14"/>
  <c r="BI207" i="14"/>
  <c r="BO36" i="14"/>
  <c r="BN40" i="14"/>
  <c r="BN49" i="14" s="1"/>
  <c r="AM37" i="14"/>
  <c r="AQ5" i="15"/>
  <c r="AX23" i="8"/>
  <c r="AX24" i="8" s="1"/>
  <c r="AV39" i="8"/>
  <c r="AW44" i="8" l="1"/>
  <c r="AW39" i="8"/>
  <c r="AW43" i="8" s="1"/>
  <c r="AX34" i="8"/>
  <c r="AX33" i="8" s="1"/>
  <c r="AX44" i="8" s="1"/>
  <c r="AV43" i="8"/>
  <c r="AV42" i="8"/>
  <c r="BN41" i="14"/>
  <c r="BN45" i="14" s="1"/>
  <c r="BN43" i="14"/>
  <c r="BN47" i="14" s="1"/>
  <c r="BN39" i="14" s="1"/>
  <c r="BM42" i="14"/>
  <c r="BL46" i="14"/>
  <c r="BM45" i="14"/>
  <c r="BM47" i="14"/>
  <c r="BM39" i="14" s="1"/>
  <c r="BK91" i="14"/>
  <c r="BK204" i="14" s="1"/>
  <c r="BJ204" i="14"/>
  <c r="BK98" i="14"/>
  <c r="BK211" i="14" s="1"/>
  <c r="BJ211" i="14"/>
  <c r="BK96" i="14"/>
  <c r="BK209" i="14" s="1"/>
  <c r="BJ209" i="14"/>
  <c r="BK97" i="14"/>
  <c r="BK210" i="14" s="1"/>
  <c r="BJ210" i="14"/>
  <c r="BK93" i="14"/>
  <c r="BK206" i="14" s="1"/>
  <c r="BJ206" i="14"/>
  <c r="BK106" i="14"/>
  <c r="BK219" i="14" s="1"/>
  <c r="BJ219" i="14"/>
  <c r="BK107" i="14"/>
  <c r="BK220" i="14" s="1"/>
  <c r="BJ220" i="14"/>
  <c r="BK105" i="14"/>
  <c r="BK218" i="14" s="1"/>
  <c r="BJ218" i="14"/>
  <c r="BK99" i="14"/>
  <c r="BK212" i="14" s="1"/>
  <c r="BJ212" i="14"/>
  <c r="BK83" i="14"/>
  <c r="BK196" i="14" s="1"/>
  <c r="BJ196" i="14"/>
  <c r="BK82" i="14"/>
  <c r="BK195" i="14" s="1"/>
  <c r="BJ195" i="14"/>
  <c r="BK103" i="14"/>
  <c r="BK216" i="14" s="1"/>
  <c r="BJ216" i="14"/>
  <c r="BK101" i="14"/>
  <c r="BK214" i="14" s="1"/>
  <c r="BJ214" i="14"/>
  <c r="BK85" i="14"/>
  <c r="BK198" i="14" s="1"/>
  <c r="BJ198" i="14"/>
  <c r="BK94" i="14"/>
  <c r="BK207" i="14" s="1"/>
  <c r="BJ207" i="14"/>
  <c r="BK80" i="14"/>
  <c r="BK193" i="14" s="1"/>
  <c r="BJ193" i="14"/>
  <c r="BK88" i="14"/>
  <c r="BK201" i="14" s="1"/>
  <c r="BJ201" i="14"/>
  <c r="BK95" i="14"/>
  <c r="BK208" i="14" s="1"/>
  <c r="BJ208" i="14"/>
  <c r="BK84" i="14"/>
  <c r="BK197" i="14" s="1"/>
  <c r="BJ197" i="14"/>
  <c r="BK92" i="14"/>
  <c r="BK205" i="14" s="1"/>
  <c r="BJ205" i="14"/>
  <c r="BK100" i="14"/>
  <c r="BK213" i="14" s="1"/>
  <c r="BJ213" i="14"/>
  <c r="BK118" i="14"/>
  <c r="BK231" i="14" s="1"/>
  <c r="BK129" i="14"/>
  <c r="BK242" i="14" s="1"/>
  <c r="BK169" i="14"/>
  <c r="BK282" i="14" s="1"/>
  <c r="BK111" i="14"/>
  <c r="BK224" i="14" s="1"/>
  <c r="BK115" i="14"/>
  <c r="BK228" i="14" s="1"/>
  <c r="BK130" i="14"/>
  <c r="BK243" i="14" s="1"/>
  <c r="BK126" i="14"/>
  <c r="BK239" i="14" s="1"/>
  <c r="BK163" i="14"/>
  <c r="BK276" i="14" s="1"/>
  <c r="BK122" i="14"/>
  <c r="BK235" i="14" s="1"/>
  <c r="BK147" i="14"/>
  <c r="BK260" i="14" s="1"/>
  <c r="BK143" i="14"/>
  <c r="BK256" i="14" s="1"/>
  <c r="BK139" i="14"/>
  <c r="BK252" i="14" s="1"/>
  <c r="BK135" i="14"/>
  <c r="BK248" i="14" s="1"/>
  <c r="BK131" i="14"/>
  <c r="BK244" i="14" s="1"/>
  <c r="BK127" i="14"/>
  <c r="BK240" i="14" s="1"/>
  <c r="BK123" i="14"/>
  <c r="BK236" i="14" s="1"/>
  <c r="BK156" i="14"/>
  <c r="BK269" i="14" s="1"/>
  <c r="BK112" i="14"/>
  <c r="BK225" i="14" s="1"/>
  <c r="BK149" i="14"/>
  <c r="BK262" i="14" s="1"/>
  <c r="BK151" i="14"/>
  <c r="BK264" i="14" s="1"/>
  <c r="BK152" i="14"/>
  <c r="BK265" i="14" s="1"/>
  <c r="BK124" i="14"/>
  <c r="BK237" i="14" s="1"/>
  <c r="BK165" i="14"/>
  <c r="BK278" i="14" s="1"/>
  <c r="BK178" i="14"/>
  <c r="BK291" i="14" s="1"/>
  <c r="BK110" i="14"/>
  <c r="BK223" i="14" s="1"/>
  <c r="BK138" i="14"/>
  <c r="BK251" i="14" s="1"/>
  <c r="BK148" i="14"/>
  <c r="BK261" i="14" s="1"/>
  <c r="BK174" i="14"/>
  <c r="BK287" i="14" s="1"/>
  <c r="BK133" i="14"/>
  <c r="BK246" i="14" s="1"/>
  <c r="BK170" i="14"/>
  <c r="BK283" i="14" s="1"/>
  <c r="BK153" i="14"/>
  <c r="BK266" i="14" s="1"/>
  <c r="BK128" i="14"/>
  <c r="BK241" i="14" s="1"/>
  <c r="BK137" i="14"/>
  <c r="BK250" i="14" s="1"/>
  <c r="BK161" i="14"/>
  <c r="BK274" i="14" s="1"/>
  <c r="BK154" i="14"/>
  <c r="BK267" i="14" s="1"/>
  <c r="BK132" i="14"/>
  <c r="BK245" i="14" s="1"/>
  <c r="BK142" i="14"/>
  <c r="BK255" i="14" s="1"/>
  <c r="BK166" i="14"/>
  <c r="BK279" i="14" s="1"/>
  <c r="BK155" i="14"/>
  <c r="BK268" i="14" s="1"/>
  <c r="BK179" i="14"/>
  <c r="BK292" i="14" s="1"/>
  <c r="BK175" i="14"/>
  <c r="BK288" i="14" s="1"/>
  <c r="BK120" i="14"/>
  <c r="BK233" i="14" s="1"/>
  <c r="BK136" i="14"/>
  <c r="BK249" i="14" s="1"/>
  <c r="BK141" i="14"/>
  <c r="BK254" i="14" s="1"/>
  <c r="BK171" i="14"/>
  <c r="BK284" i="14" s="1"/>
  <c r="BK108" i="14"/>
  <c r="BK221" i="14" s="1"/>
  <c r="BK162" i="14"/>
  <c r="BK275" i="14" s="1"/>
  <c r="BK113" i="14"/>
  <c r="BK226" i="14" s="1"/>
  <c r="BK140" i="14"/>
  <c r="BK253" i="14" s="1"/>
  <c r="BK117" i="14"/>
  <c r="BK230" i="14" s="1"/>
  <c r="BK119" i="14"/>
  <c r="BK232" i="14" s="1"/>
  <c r="BK109" i="14"/>
  <c r="BK222" i="14" s="1"/>
  <c r="BK114" i="14"/>
  <c r="BK227" i="14" s="1"/>
  <c r="BK125" i="14"/>
  <c r="BK238" i="14" s="1"/>
  <c r="BK121" i="14"/>
  <c r="BK234" i="14" s="1"/>
  <c r="BK160" i="14"/>
  <c r="BK273" i="14" s="1"/>
  <c r="BK168" i="14"/>
  <c r="BK281" i="14" s="1"/>
  <c r="BK159" i="14"/>
  <c r="BK272" i="14" s="1"/>
  <c r="BK177" i="14"/>
  <c r="BK290" i="14" s="1"/>
  <c r="BK167" i="14"/>
  <c r="BK280" i="14" s="1"/>
  <c r="BK145" i="14"/>
  <c r="BK258" i="14" s="1"/>
  <c r="BK158" i="14"/>
  <c r="BK271" i="14" s="1"/>
  <c r="BK176" i="14"/>
  <c r="BK289" i="14" s="1"/>
  <c r="BK164" i="14"/>
  <c r="BK277" i="14" s="1"/>
  <c r="BK116" i="14"/>
  <c r="BK229" i="14" s="1"/>
  <c r="BK173" i="14"/>
  <c r="BK286" i="14" s="1"/>
  <c r="BK134" i="14"/>
  <c r="BK247" i="14" s="1"/>
  <c r="BK172" i="14"/>
  <c r="BK285" i="14" s="1"/>
  <c r="BK157" i="14"/>
  <c r="BK270" i="14" s="1"/>
  <c r="BK146" i="14"/>
  <c r="BK259" i="14" s="1"/>
  <c r="BK144" i="14"/>
  <c r="BK257" i="14" s="1"/>
  <c r="BK150" i="14"/>
  <c r="BK263" i="14" s="1"/>
  <c r="BI192" i="14"/>
  <c r="BK87" i="14"/>
  <c r="BK200" i="14" s="1"/>
  <c r="BJ200" i="14"/>
  <c r="BK81" i="14"/>
  <c r="BK194" i="14" s="1"/>
  <c r="BJ194" i="14"/>
  <c r="BK89" i="14"/>
  <c r="BK202" i="14" s="1"/>
  <c r="BJ202" i="14"/>
  <c r="BK90" i="14"/>
  <c r="BK203" i="14" s="1"/>
  <c r="BJ203" i="14"/>
  <c r="BK104" i="14"/>
  <c r="BK217" i="14" s="1"/>
  <c r="BJ217" i="14"/>
  <c r="BK102" i="14"/>
  <c r="BK215" i="14" s="1"/>
  <c r="BJ215" i="14"/>
  <c r="BK86" i="14"/>
  <c r="BK199" i="14" s="1"/>
  <c r="BJ199" i="14"/>
  <c r="AM38" i="14"/>
  <c r="BP36" i="14"/>
  <c r="BO40" i="14"/>
  <c r="BO49" i="14" s="1"/>
  <c r="AY23" i="8"/>
  <c r="AW42" i="8" l="1"/>
  <c r="BN42" i="14"/>
  <c r="BM46" i="14"/>
  <c r="BO41" i="14"/>
  <c r="BO43" i="14"/>
  <c r="BK192" i="14"/>
  <c r="BJ192" i="14"/>
  <c r="AN37" i="14"/>
  <c r="BP40" i="14"/>
  <c r="BP49" i="14" s="1"/>
  <c r="BQ36" i="14"/>
  <c r="AY24" i="8"/>
  <c r="AY34" i="8" l="1"/>
  <c r="AY33" i="8" s="1"/>
  <c r="BP43" i="14"/>
  <c r="BP47" i="14" s="1"/>
  <c r="BP39" i="14" s="1"/>
  <c r="BP41" i="14"/>
  <c r="BP45" i="14" s="1"/>
  <c r="BO47" i="14"/>
  <c r="BO39" i="14" s="1"/>
  <c r="BO45" i="14"/>
  <c r="BO42" i="14"/>
  <c r="BN46" i="14"/>
  <c r="BQ40" i="14"/>
  <c r="BQ49" i="14" s="1"/>
  <c r="BR36" i="14"/>
  <c r="AN38" i="14"/>
  <c r="AX39" i="8"/>
  <c r="F40" i="8"/>
  <c r="AY44" i="8" l="1"/>
  <c r="AY39" i="8"/>
  <c r="AY42" i="8" s="1"/>
  <c r="F46" i="8"/>
  <c r="F45" i="8"/>
  <c r="AX43" i="8"/>
  <c r="AX42" i="8"/>
  <c r="BQ43" i="14"/>
  <c r="BQ47" i="14" s="1"/>
  <c r="BQ39" i="14" s="1"/>
  <c r="BQ41" i="14"/>
  <c r="BQ45" i="14" s="1"/>
  <c r="BP42" i="14"/>
  <c r="BO46" i="14"/>
  <c r="AO37" i="14"/>
  <c r="BS36" i="14"/>
  <c r="BR40" i="14"/>
  <c r="BR49" i="14" s="1"/>
  <c r="G40" i="8"/>
  <c r="AY43" i="8" l="1"/>
  <c r="G45" i="8"/>
  <c r="G46" i="8"/>
  <c r="BR43" i="14"/>
  <c r="BR41" i="14"/>
  <c r="P60" i="14"/>
  <c r="BQ42" i="14"/>
  <c r="BP46" i="14"/>
  <c r="BT36" i="14"/>
  <c r="BS40" i="14"/>
  <c r="BS49" i="14" s="1"/>
  <c r="AO38" i="14"/>
  <c r="BS43" i="14" l="1"/>
  <c r="BS41" i="14"/>
  <c r="BR45" i="14"/>
  <c r="P61" i="14"/>
  <c r="BR42" i="14"/>
  <c r="BQ46" i="14"/>
  <c r="BR47" i="14"/>
  <c r="BR39" i="14" s="1"/>
  <c r="P63" i="14"/>
  <c r="AP37" i="14"/>
  <c r="BU36" i="14"/>
  <c r="BT40" i="14"/>
  <c r="BT49" i="14" s="1"/>
  <c r="BT41" i="14" l="1"/>
  <c r="BT45" i="14" s="1"/>
  <c r="BT43" i="14"/>
  <c r="BT47" i="14" s="1"/>
  <c r="BT39" i="14" s="1"/>
  <c r="BS42" i="14"/>
  <c r="BR46" i="14"/>
  <c r="P62" i="14"/>
  <c r="BS45" i="14"/>
  <c r="BS47" i="14"/>
  <c r="BS39" i="14" s="1"/>
  <c r="BV36" i="14"/>
  <c r="BU40" i="14"/>
  <c r="BU49" i="14" s="1"/>
  <c r="AP38" i="14"/>
  <c r="BU41" i="14" l="1"/>
  <c r="BU43" i="14"/>
  <c r="BT42" i="14"/>
  <c r="BS46" i="14"/>
  <c r="AQ37" i="14"/>
  <c r="BV40" i="14"/>
  <c r="BV49" i="14" s="1"/>
  <c r="BW36" i="14"/>
  <c r="K39" i="14"/>
  <c r="R39" i="14"/>
  <c r="O39" i="14"/>
  <c r="S39" i="14"/>
  <c r="U39" i="14"/>
  <c r="V39" i="14"/>
  <c r="N39" i="14"/>
  <c r="T39" i="14"/>
  <c r="L39" i="14"/>
  <c r="M39" i="14"/>
  <c r="Q39" i="14"/>
  <c r="P39" i="14"/>
  <c r="BV43" i="14" l="1"/>
  <c r="BV47" i="14" s="1"/>
  <c r="BV39" i="14" s="1"/>
  <c r="BV41" i="14"/>
  <c r="BV45" i="14" s="1"/>
  <c r="BU42" i="14"/>
  <c r="BT46" i="14"/>
  <c r="BU47" i="14"/>
  <c r="BU39" i="14" s="1"/>
  <c r="BU45" i="14"/>
  <c r="BW40" i="14"/>
  <c r="BW49" i="14" s="1"/>
  <c r="BX36" i="14"/>
  <c r="AQ38" i="14"/>
  <c r="BW43" i="14" l="1"/>
  <c r="BW41" i="14"/>
  <c r="BV42" i="14"/>
  <c r="BU46" i="14"/>
  <c r="AR37" i="14"/>
  <c r="BY36" i="14"/>
  <c r="BX40" i="14"/>
  <c r="BX49" i="14" s="1"/>
  <c r="BX43" i="14" l="1"/>
  <c r="BX47" i="14" s="1"/>
  <c r="BX39" i="14" s="1"/>
  <c r="BX41" i="14"/>
  <c r="BX45" i="14" s="1"/>
  <c r="BW42" i="14"/>
  <c r="BV46" i="14"/>
  <c r="BW45" i="14"/>
  <c r="BW47" i="14"/>
  <c r="BW39" i="14" s="1"/>
  <c r="BZ36" i="14"/>
  <c r="BY40" i="14"/>
  <c r="BY49" i="14" s="1"/>
  <c r="AR38" i="14"/>
  <c r="BY43" i="14" l="1"/>
  <c r="BY41" i="14"/>
  <c r="BX42" i="14"/>
  <c r="BW46" i="14"/>
  <c r="CA36" i="14"/>
  <c r="BZ40" i="14"/>
  <c r="BZ49" i="14" s="1"/>
  <c r="AS37" i="14"/>
  <c r="BZ43" i="14" l="1"/>
  <c r="BZ47" i="14" s="1"/>
  <c r="BZ39" i="14" s="1"/>
  <c r="BZ41" i="14"/>
  <c r="BZ45" i="14" s="1"/>
  <c r="BY45" i="14"/>
  <c r="BY42" i="14"/>
  <c r="BX46" i="14"/>
  <c r="BY47" i="14"/>
  <c r="BY39" i="14" s="1"/>
  <c r="AS38" i="14"/>
  <c r="CB36" i="14"/>
  <c r="CA40" i="14"/>
  <c r="CA49" i="14" s="1"/>
  <c r="CA43" i="14" l="1"/>
  <c r="CA41" i="14"/>
  <c r="BZ42" i="14"/>
  <c r="BY46" i="14"/>
  <c r="CC36" i="14"/>
  <c r="CB40" i="14"/>
  <c r="CB49" i="14" s="1"/>
  <c r="AT37" i="14"/>
  <c r="CB43" i="14" l="1"/>
  <c r="CB47" i="14" s="1"/>
  <c r="CB39" i="14" s="1"/>
  <c r="CB41" i="14"/>
  <c r="CB45" i="14" s="1"/>
  <c r="CA42" i="14"/>
  <c r="BZ46" i="14"/>
  <c r="CA45" i="14"/>
  <c r="CA47" i="14"/>
  <c r="CA39" i="14" s="1"/>
  <c r="AT38" i="14"/>
  <c r="CD36" i="14"/>
  <c r="CC40" i="14"/>
  <c r="CC49" i="14" s="1"/>
  <c r="CC43" i="14" l="1"/>
  <c r="CC47" i="14" s="1"/>
  <c r="CC39" i="14" s="1"/>
  <c r="CC41" i="14"/>
  <c r="CC45" i="14" s="1"/>
  <c r="CB42" i="14"/>
  <c r="CA46" i="14"/>
  <c r="CD40" i="14"/>
  <c r="CD49" i="14" s="1"/>
  <c r="CE36" i="14"/>
  <c r="AU37" i="14"/>
  <c r="CD43" i="14" l="1"/>
  <c r="CD41" i="14"/>
  <c r="Q60" i="14"/>
  <c r="CC42" i="14"/>
  <c r="CB46" i="14"/>
  <c r="U288" i="14"/>
  <c r="U292" i="14"/>
  <c r="U289" i="14"/>
  <c r="U290" i="14"/>
  <c r="U284" i="14"/>
  <c r="U287" i="14"/>
  <c r="U283" i="14"/>
  <c r="U291" i="14"/>
  <c r="U286" i="14"/>
  <c r="U285" i="14"/>
  <c r="T280" i="14"/>
  <c r="T277" i="14"/>
  <c r="T276" i="14"/>
  <c r="T275" i="14"/>
  <c r="T279" i="14"/>
  <c r="T274" i="14"/>
  <c r="T281" i="14"/>
  <c r="T282" i="14"/>
  <c r="T278" i="14"/>
  <c r="S267" i="14"/>
  <c r="S272" i="14"/>
  <c r="S270" i="14"/>
  <c r="S269" i="14"/>
  <c r="S265" i="14"/>
  <c r="S266" i="14"/>
  <c r="S268" i="14"/>
  <c r="S271" i="14"/>
  <c r="S264" i="14"/>
  <c r="S263" i="14"/>
  <c r="T273" i="14"/>
  <c r="R262" i="14"/>
  <c r="R259" i="14"/>
  <c r="R260" i="14"/>
  <c r="R261" i="14"/>
  <c r="R258" i="14"/>
  <c r="R257" i="14"/>
  <c r="R256" i="14"/>
  <c r="Q250" i="14"/>
  <c r="Q252" i="14"/>
  <c r="Q247" i="14"/>
  <c r="P241" i="14"/>
  <c r="N222" i="14"/>
  <c r="O229" i="14"/>
  <c r="O231" i="14"/>
  <c r="N221" i="14"/>
  <c r="N220" i="14"/>
  <c r="O230" i="14"/>
  <c r="P242" i="14"/>
  <c r="P238" i="14"/>
  <c r="O232" i="14"/>
  <c r="Q248" i="14"/>
  <c r="Q251" i="14"/>
  <c r="P240" i="14"/>
  <c r="Q249" i="14"/>
  <c r="P239" i="14"/>
  <c r="Q243" i="14"/>
  <c r="Q245" i="14"/>
  <c r="Q246" i="14"/>
  <c r="Q244" i="14"/>
  <c r="R253" i="14"/>
  <c r="R255" i="14"/>
  <c r="R254" i="14"/>
  <c r="O228" i="14"/>
  <c r="P237" i="14"/>
  <c r="P236" i="14"/>
  <c r="P235" i="14"/>
  <c r="N217" i="14"/>
  <c r="N216" i="14"/>
  <c r="N215" i="14"/>
  <c r="O223" i="14"/>
  <c r="O224" i="14"/>
  <c r="O227" i="14"/>
  <c r="P233" i="14"/>
  <c r="O226" i="14"/>
  <c r="P234" i="14"/>
  <c r="N214" i="14"/>
  <c r="O225" i="14"/>
  <c r="N218" i="14"/>
  <c r="N219" i="14"/>
  <c r="N211" i="14"/>
  <c r="N210" i="14"/>
  <c r="N200" i="14"/>
  <c r="N207" i="14"/>
  <c r="N208" i="14"/>
  <c r="N202" i="14"/>
  <c r="N204" i="14"/>
  <c r="N205" i="14"/>
  <c r="N212" i="14"/>
  <c r="N195" i="14"/>
  <c r="N194" i="14"/>
  <c r="N198" i="14"/>
  <c r="N206" i="14"/>
  <c r="N209" i="14"/>
  <c r="N199" i="14"/>
  <c r="N213" i="14"/>
  <c r="N196" i="14"/>
  <c r="N201" i="14"/>
  <c r="N203" i="14"/>
  <c r="N197" i="14"/>
  <c r="N193" i="14"/>
  <c r="CE40" i="14"/>
  <c r="CE49" i="14" s="1"/>
  <c r="CF36" i="14"/>
  <c r="AU38" i="14"/>
  <c r="CE41" i="14" l="1"/>
  <c r="CE43" i="14"/>
  <c r="CD42" i="14"/>
  <c r="CC46" i="14"/>
  <c r="CD45" i="14"/>
  <c r="Q61" i="14"/>
  <c r="CD47" i="14"/>
  <c r="CD39" i="14" s="1"/>
  <c r="Q63" i="14"/>
  <c r="N192" i="14"/>
  <c r="O7" i="15" s="1"/>
  <c r="D7" i="19" s="1"/>
  <c r="AV37" i="14"/>
  <c r="CG36" i="14"/>
  <c r="CF40" i="14"/>
  <c r="CF49" i="14" s="1"/>
  <c r="CF43" i="14" l="1"/>
  <c r="CF47" i="14" s="1"/>
  <c r="CF39" i="14" s="1"/>
  <c r="CF41" i="14"/>
  <c r="CF45" i="14" s="1"/>
  <c r="CE42" i="14"/>
  <c r="CD46" i="14"/>
  <c r="Q62" i="14"/>
  <c r="CE47" i="14"/>
  <c r="CE39" i="14" s="1"/>
  <c r="CE45" i="14"/>
  <c r="J5" i="8"/>
  <c r="H9" i="8"/>
  <c r="H37" i="8" s="1"/>
  <c r="M6" i="15"/>
  <c r="AV38" i="14"/>
  <c r="CG40" i="14"/>
  <c r="CG49" i="14" s="1"/>
  <c r="CH36" i="14"/>
  <c r="H4" i="8" l="1"/>
  <c r="CG43" i="14"/>
  <c r="CG41" i="14"/>
  <c r="CF42" i="14"/>
  <c r="CE46" i="14"/>
  <c r="O10" i="15"/>
  <c r="J8" i="8" s="1"/>
  <c r="J36" i="8" s="1"/>
  <c r="O9" i="15"/>
  <c r="J7" i="8" s="1"/>
  <c r="J35" i="8" s="1"/>
  <c r="O8" i="15"/>
  <c r="J6" i="8" s="1"/>
  <c r="J34" i="8" s="1"/>
  <c r="CH40" i="14"/>
  <c r="CH49" i="14" s="1"/>
  <c r="CI36" i="14"/>
  <c r="AW37" i="14"/>
  <c r="CH43" i="14" l="1"/>
  <c r="CH47" i="14" s="1"/>
  <c r="CH39" i="14" s="1"/>
  <c r="CH41" i="14"/>
  <c r="CH45" i="14" s="1"/>
  <c r="CG45" i="14"/>
  <c r="CG42" i="14"/>
  <c r="CF46" i="14"/>
  <c r="CG47" i="14"/>
  <c r="CG39" i="14" s="1"/>
  <c r="AW38" i="14"/>
  <c r="H33" i="8"/>
  <c r="CI40" i="14"/>
  <c r="CI49" i="14" s="1"/>
  <c r="CJ36" i="14"/>
  <c r="CI43" i="14" l="1"/>
  <c r="CI41" i="14"/>
  <c r="CH42" i="14"/>
  <c r="CG46" i="14"/>
  <c r="CK36" i="14"/>
  <c r="CJ40" i="14"/>
  <c r="CJ49" i="14" s="1"/>
  <c r="H39" i="8"/>
  <c r="AX37" i="14"/>
  <c r="H42" i="8" l="1"/>
  <c r="H43" i="8"/>
  <c r="CJ41" i="14"/>
  <c r="CJ45" i="14" s="1"/>
  <c r="CJ43" i="14"/>
  <c r="CJ47" i="14" s="1"/>
  <c r="CJ39" i="14" s="1"/>
  <c r="CI42" i="14"/>
  <c r="CH46" i="14"/>
  <c r="CI45" i="14"/>
  <c r="CI47" i="14"/>
  <c r="CI39" i="14" s="1"/>
  <c r="CL36" i="14"/>
  <c r="CK40" i="14"/>
  <c r="CK49" i="14" s="1"/>
  <c r="AX38" i="14"/>
  <c r="H40" i="8"/>
  <c r="H46" i="8" l="1"/>
  <c r="H45" i="8"/>
  <c r="CK41" i="14"/>
  <c r="CK43" i="14"/>
  <c r="CJ42" i="14"/>
  <c r="CI46" i="14"/>
  <c r="AY37" i="14"/>
  <c r="CM36" i="14"/>
  <c r="CL40" i="14"/>
  <c r="CL49" i="14" s="1"/>
  <c r="CK42" i="14" l="1"/>
  <c r="CJ46" i="14"/>
  <c r="CK47" i="14"/>
  <c r="CK39" i="14" s="1"/>
  <c r="CL41" i="14"/>
  <c r="CL45" i="14" s="1"/>
  <c r="CL43" i="14"/>
  <c r="CL47" i="14" s="1"/>
  <c r="CL39" i="14" s="1"/>
  <c r="CK45" i="14"/>
  <c r="CM40" i="14"/>
  <c r="CM49" i="14" s="1"/>
  <c r="CN36" i="14"/>
  <c r="AY38" i="14"/>
  <c r="CM43" i="14" l="1"/>
  <c r="CM47" i="14" s="1"/>
  <c r="CM39" i="14" s="1"/>
  <c r="CM41" i="14"/>
  <c r="CL42" i="14"/>
  <c r="CK46" i="14"/>
  <c r="AZ37" i="14"/>
  <c r="CO36" i="14"/>
  <c r="CN40" i="14"/>
  <c r="CN49" i="14" s="1"/>
  <c r="CM45" i="14" l="1"/>
  <c r="CN41" i="14"/>
  <c r="CN45" i="14" s="1"/>
  <c r="CN43" i="14"/>
  <c r="CN47" i="14" s="1"/>
  <c r="CN39" i="14" s="1"/>
  <c r="CM42" i="14"/>
  <c r="CL46" i="14"/>
  <c r="CP36" i="14"/>
  <c r="CO40" i="14"/>
  <c r="CO49" i="14" s="1"/>
  <c r="AZ38" i="14"/>
  <c r="CO43" i="14" l="1"/>
  <c r="CO47" i="14" s="1"/>
  <c r="CO39" i="14" s="1"/>
  <c r="CO41" i="14"/>
  <c r="CO45" i="14" s="1"/>
  <c r="CN42" i="14"/>
  <c r="CM46" i="14"/>
  <c r="BA37" i="14"/>
  <c r="CQ36" i="14"/>
  <c r="CP40" i="14"/>
  <c r="CP49" i="14" s="1"/>
  <c r="CP43" i="14" l="1"/>
  <c r="CP41" i="14"/>
  <c r="R60" i="14"/>
  <c r="CO42" i="14"/>
  <c r="CN46" i="14"/>
  <c r="CQ40" i="14"/>
  <c r="CQ49" i="14" s="1"/>
  <c r="CR36" i="14"/>
  <c r="BA38" i="14"/>
  <c r="CQ43" i="14" l="1"/>
  <c r="CQ41" i="14"/>
  <c r="CP42" i="14"/>
  <c r="CO46" i="14"/>
  <c r="CP45" i="14"/>
  <c r="R61" i="14"/>
  <c r="CP47" i="14"/>
  <c r="CP39" i="14" s="1"/>
  <c r="R63" i="14"/>
  <c r="BB37" i="14"/>
  <c r="CR40" i="14"/>
  <c r="CR49" i="14" s="1"/>
  <c r="CS36" i="14"/>
  <c r="CQ45" i="14" l="1"/>
  <c r="CQ42" i="14"/>
  <c r="CP46" i="14"/>
  <c r="R62" i="14"/>
  <c r="CQ47" i="14"/>
  <c r="CQ39" i="14" s="1"/>
  <c r="CR43" i="14"/>
  <c r="CR47" i="14" s="1"/>
  <c r="CR39" i="14" s="1"/>
  <c r="CR41" i="14"/>
  <c r="CR45" i="14" s="1"/>
  <c r="CS40" i="14"/>
  <c r="CS49" i="14" s="1"/>
  <c r="CT36" i="14"/>
  <c r="BB38" i="14"/>
  <c r="CS43" i="14" l="1"/>
  <c r="CS41" i="14"/>
  <c r="CS45" i="14" s="1"/>
  <c r="CR42" i="14"/>
  <c r="CQ46" i="14"/>
  <c r="BC37" i="14"/>
  <c r="CU36" i="14"/>
  <c r="CT40" i="14"/>
  <c r="CT49" i="14" s="1"/>
  <c r="CT43" i="14" l="1"/>
  <c r="CT47" i="14" s="1"/>
  <c r="CT39" i="14" s="1"/>
  <c r="CT41" i="14"/>
  <c r="CS42" i="14"/>
  <c r="CR46" i="14"/>
  <c r="CS47" i="14"/>
  <c r="CS39" i="14" s="1"/>
  <c r="CV36" i="14"/>
  <c r="CU40" i="14"/>
  <c r="CU49" i="14" s="1"/>
  <c r="BC38" i="14"/>
  <c r="CU43" i="14" l="1"/>
  <c r="CU41" i="14"/>
  <c r="CU45" i="14" s="1"/>
  <c r="CT42" i="14"/>
  <c r="CS46" i="14"/>
  <c r="CT45" i="14"/>
  <c r="BD37" i="14"/>
  <c r="CW36" i="14"/>
  <c r="CV40" i="14"/>
  <c r="CV49" i="14" s="1"/>
  <c r="CV43" i="14" l="1"/>
  <c r="CV47" i="14" s="1"/>
  <c r="CV39" i="14" s="1"/>
  <c r="CV41" i="14"/>
  <c r="CU42" i="14"/>
  <c r="CT46" i="14"/>
  <c r="CU47" i="14"/>
  <c r="CU39" i="14" s="1"/>
  <c r="CX36" i="14"/>
  <c r="CW40" i="14"/>
  <c r="CW49" i="14" s="1"/>
  <c r="BD38" i="14"/>
  <c r="CV42" i="14" l="1"/>
  <c r="CU46" i="14"/>
  <c r="CV45" i="14"/>
  <c r="CW43" i="14"/>
  <c r="CW41" i="14"/>
  <c r="CW45" i="14" s="1"/>
  <c r="BE37" i="14"/>
  <c r="CY36" i="14"/>
  <c r="CX40" i="14"/>
  <c r="CX49" i="14" s="1"/>
  <c r="CX43" i="14" l="1"/>
  <c r="CX47" i="14" s="1"/>
  <c r="CX39" i="14" s="1"/>
  <c r="CX41" i="14"/>
  <c r="CW47" i="14"/>
  <c r="CW39" i="14" s="1"/>
  <c r="CW42" i="14"/>
  <c r="CV46" i="14"/>
  <c r="CZ36" i="14"/>
  <c r="CY40" i="14"/>
  <c r="CY49" i="14" s="1"/>
  <c r="BE38" i="14"/>
  <c r="CY41" i="14" l="1"/>
  <c r="CY45" i="14" s="1"/>
  <c r="CY43" i="14"/>
  <c r="CX42" i="14"/>
  <c r="CW46" i="14"/>
  <c r="CX45" i="14"/>
  <c r="BF37" i="14"/>
  <c r="DA36" i="14"/>
  <c r="CZ40" i="14"/>
  <c r="CZ49" i="14" s="1"/>
  <c r="CZ43" i="14" l="1"/>
  <c r="CZ47" i="14" s="1"/>
  <c r="CZ39" i="14" s="1"/>
  <c r="CZ41" i="14"/>
  <c r="CZ45" i="14" s="1"/>
  <c r="CY47" i="14"/>
  <c r="CY39" i="14" s="1"/>
  <c r="CY42" i="14"/>
  <c r="CX46" i="14"/>
  <c r="DB36" i="14"/>
  <c r="DA40" i="14"/>
  <c r="DA49" i="14" s="1"/>
  <c r="BF38" i="14"/>
  <c r="DA43" i="14" l="1"/>
  <c r="DA47" i="14" s="1"/>
  <c r="DA39" i="14" s="1"/>
  <c r="DA41" i="14"/>
  <c r="DA45" i="14" s="1"/>
  <c r="CZ42" i="14"/>
  <c r="CY46" i="14"/>
  <c r="BG37" i="14"/>
  <c r="DB40" i="14"/>
  <c r="DB49" i="14" s="1"/>
  <c r="DC36" i="14"/>
  <c r="DB41" i="14" l="1"/>
  <c r="DB43" i="14"/>
  <c r="S60" i="14"/>
  <c r="DA42" i="14"/>
  <c r="CZ46" i="14"/>
  <c r="V287" i="14"/>
  <c r="V292" i="14"/>
  <c r="V283" i="14"/>
  <c r="V289" i="14"/>
  <c r="V285" i="14"/>
  <c r="V288" i="14"/>
  <c r="V291" i="14"/>
  <c r="V290" i="14"/>
  <c r="V286" i="14"/>
  <c r="V284" i="14"/>
  <c r="U274" i="14"/>
  <c r="U275" i="14"/>
  <c r="U280" i="14"/>
  <c r="U281" i="14"/>
  <c r="U276" i="14"/>
  <c r="U282" i="14"/>
  <c r="U279" i="14"/>
  <c r="U278" i="14"/>
  <c r="U277" i="14"/>
  <c r="T269" i="14"/>
  <c r="T267" i="14"/>
  <c r="T268" i="14"/>
  <c r="T271" i="14"/>
  <c r="T270" i="14"/>
  <c r="T265" i="14"/>
  <c r="T266" i="14"/>
  <c r="T272" i="14"/>
  <c r="T264" i="14"/>
  <c r="T263" i="14"/>
  <c r="U273" i="14"/>
  <c r="S258" i="14"/>
  <c r="S256" i="14"/>
  <c r="S261" i="14"/>
  <c r="S260" i="14"/>
  <c r="S262" i="14"/>
  <c r="S259" i="14"/>
  <c r="S257" i="14"/>
  <c r="Q239" i="14"/>
  <c r="Q242" i="14"/>
  <c r="R252" i="14"/>
  <c r="O222" i="14"/>
  <c r="P229" i="14"/>
  <c r="O220" i="14"/>
  <c r="Q240" i="14"/>
  <c r="P230" i="14"/>
  <c r="O221" i="14"/>
  <c r="R248" i="14"/>
  <c r="P232" i="14"/>
  <c r="Q241" i="14"/>
  <c r="R247" i="14"/>
  <c r="P231" i="14"/>
  <c r="R251" i="14"/>
  <c r="R250" i="14"/>
  <c r="Q238" i="14"/>
  <c r="R249" i="14"/>
  <c r="R243" i="14"/>
  <c r="R245" i="14"/>
  <c r="R244" i="14"/>
  <c r="R246" i="14"/>
  <c r="S255" i="14"/>
  <c r="S253" i="14"/>
  <c r="S254" i="14"/>
  <c r="P228" i="14"/>
  <c r="Q236" i="14"/>
  <c r="Q237" i="14"/>
  <c r="Q235" i="14"/>
  <c r="O218" i="14"/>
  <c r="P226" i="14"/>
  <c r="P223" i="14"/>
  <c r="Q233" i="14"/>
  <c r="Q234" i="14"/>
  <c r="P227" i="14"/>
  <c r="O219" i="14"/>
  <c r="O216" i="14"/>
  <c r="O214" i="14"/>
  <c r="O217" i="14"/>
  <c r="P225" i="14"/>
  <c r="P224" i="14"/>
  <c r="O215" i="14"/>
  <c r="O206" i="14"/>
  <c r="O201" i="14"/>
  <c r="O212" i="14"/>
  <c r="O199" i="14"/>
  <c r="O202" i="14"/>
  <c r="O211" i="14"/>
  <c r="O203" i="14"/>
  <c r="O204" i="14"/>
  <c r="O198" i="14"/>
  <c r="O194" i="14"/>
  <c r="O207" i="14"/>
  <c r="O196" i="14"/>
  <c r="O200" i="14"/>
  <c r="O208" i="14"/>
  <c r="O209" i="14"/>
  <c r="O195" i="14"/>
  <c r="O193" i="14"/>
  <c r="O210" i="14"/>
  <c r="O197" i="14"/>
  <c r="O205" i="14"/>
  <c r="O213" i="14"/>
  <c r="DC40" i="14"/>
  <c r="DC49" i="14" s="1"/>
  <c r="DD36" i="14"/>
  <c r="BG38" i="14"/>
  <c r="DC41" i="14" l="1"/>
  <c r="DC43" i="14"/>
  <c r="DB42" i="14"/>
  <c r="DA46" i="14"/>
  <c r="DB47" i="14"/>
  <c r="DB39" i="14" s="1"/>
  <c r="S63" i="14"/>
  <c r="DB45" i="14"/>
  <c r="S61" i="14"/>
  <c r="O192" i="14"/>
  <c r="P7" i="15" s="1"/>
  <c r="E7" i="19" s="1"/>
  <c r="DD40" i="14"/>
  <c r="DD49" i="14" s="1"/>
  <c r="DE36" i="14"/>
  <c r="BH37" i="14"/>
  <c r="DD43" i="14" l="1"/>
  <c r="DD47" i="14" s="1"/>
  <c r="DD39" i="14" s="1"/>
  <c r="DD41" i="14"/>
  <c r="DD45" i="14" s="1"/>
  <c r="DC47" i="14"/>
  <c r="DC39" i="14" s="1"/>
  <c r="DC42" i="14"/>
  <c r="DB46" i="14"/>
  <c r="S62" i="14"/>
  <c r="DC45" i="14"/>
  <c r="DF36" i="14"/>
  <c r="DE40" i="14"/>
  <c r="DE49" i="14" s="1"/>
  <c r="BH38" i="14"/>
  <c r="I9" i="8"/>
  <c r="I37" i="8" s="1"/>
  <c r="N6" i="15"/>
  <c r="DD42" i="14" l="1"/>
  <c r="DC46" i="14"/>
  <c r="DE43" i="14"/>
  <c r="DE41" i="14"/>
  <c r="P9" i="15"/>
  <c r="P8" i="15"/>
  <c r="P10" i="15"/>
  <c r="K5" i="8"/>
  <c r="I4" i="8"/>
  <c r="DF40" i="14"/>
  <c r="DF49" i="14" s="1"/>
  <c r="DG36" i="14"/>
  <c r="BI37" i="14"/>
  <c r="DF43" i="14" l="1"/>
  <c r="DF47" i="14" s="1"/>
  <c r="DF39" i="14" s="1"/>
  <c r="DF41" i="14"/>
  <c r="DF45" i="14" s="1"/>
  <c r="DE47" i="14"/>
  <c r="DE39" i="14" s="1"/>
  <c r="DE45" i="14"/>
  <c r="DE42" i="14"/>
  <c r="DD46" i="14"/>
  <c r="DH36" i="14"/>
  <c r="DG40" i="14"/>
  <c r="DG49" i="14" s="1"/>
  <c r="I33" i="8"/>
  <c r="I44" i="8" s="1"/>
  <c r="K6" i="8"/>
  <c r="K34" i="8" s="1"/>
  <c r="BI38" i="14"/>
  <c r="K8" i="8"/>
  <c r="K36" i="8" s="1"/>
  <c r="K7" i="8"/>
  <c r="K35" i="8" s="1"/>
  <c r="DG43" i="14" l="1"/>
  <c r="DG41" i="14"/>
  <c r="DF42" i="14"/>
  <c r="DE46" i="14"/>
  <c r="DH40" i="14"/>
  <c r="DH49" i="14" s="1"/>
  <c r="DI36" i="14"/>
  <c r="BJ37" i="14"/>
  <c r="I39" i="8"/>
  <c r="I42" i="8" l="1"/>
  <c r="I43" i="8"/>
  <c r="DH43" i="14"/>
  <c r="DH47" i="14" s="1"/>
  <c r="DH39" i="14" s="1"/>
  <c r="DH41" i="14"/>
  <c r="DH45" i="14" s="1"/>
  <c r="DG42" i="14"/>
  <c r="DF46" i="14"/>
  <c r="DG45" i="14"/>
  <c r="DG47" i="14"/>
  <c r="DG39" i="14" s="1"/>
  <c r="BJ38" i="14"/>
  <c r="DI40" i="14"/>
  <c r="DI49" i="14" s="1"/>
  <c r="DJ36" i="14"/>
  <c r="I40" i="8"/>
  <c r="I45" i="8" l="1"/>
  <c r="I46" i="8"/>
  <c r="DI41" i="14"/>
  <c r="DI43" i="14"/>
  <c r="DH42" i="14"/>
  <c r="DG46" i="14"/>
  <c r="BK37" i="14"/>
  <c r="DK36" i="14"/>
  <c r="DJ40" i="14"/>
  <c r="DJ49" i="14" s="1"/>
  <c r="DJ41" i="14" l="1"/>
  <c r="DJ45" i="14" s="1"/>
  <c r="DJ43" i="14"/>
  <c r="DJ47" i="14" s="1"/>
  <c r="DJ39" i="14" s="1"/>
  <c r="DI47" i="14"/>
  <c r="DI39" i="14" s="1"/>
  <c r="DI42" i="14"/>
  <c r="DH46" i="14"/>
  <c r="DI45" i="14"/>
  <c r="DK40" i="14"/>
  <c r="DK49" i="14" s="1"/>
  <c r="DL36" i="14"/>
  <c r="BK38" i="14"/>
  <c r="DK43" i="14" l="1"/>
  <c r="DK41" i="14"/>
  <c r="DJ42" i="14"/>
  <c r="DI46" i="14"/>
  <c r="BL37" i="14"/>
  <c r="DL40" i="14"/>
  <c r="DL49" i="14" s="1"/>
  <c r="DM36" i="14"/>
  <c r="DL43" i="14" l="1"/>
  <c r="DL47" i="14" s="1"/>
  <c r="DL39" i="14" s="1"/>
  <c r="DL41" i="14"/>
  <c r="DL45" i="14" s="1"/>
  <c r="DK45" i="14"/>
  <c r="DK42" i="14"/>
  <c r="DJ46" i="14"/>
  <c r="DK47" i="14"/>
  <c r="DK39" i="14" s="1"/>
  <c r="DN36" i="14"/>
  <c r="DM40" i="14"/>
  <c r="DM49" i="14" s="1"/>
  <c r="BL38" i="14"/>
  <c r="DM43" i="14" l="1"/>
  <c r="DM47" i="14" s="1"/>
  <c r="DM39" i="14" s="1"/>
  <c r="DM41" i="14"/>
  <c r="DM45" i="14" s="1"/>
  <c r="DL42" i="14"/>
  <c r="DK46" i="14"/>
  <c r="BM37" i="14"/>
  <c r="DO36" i="14"/>
  <c r="DN40" i="14"/>
  <c r="DN49" i="14" s="1"/>
  <c r="DN43" i="14" l="1"/>
  <c r="DN41" i="14"/>
  <c r="T60" i="14"/>
  <c r="DM42" i="14"/>
  <c r="DL46" i="14"/>
  <c r="DO40" i="14"/>
  <c r="DO49" i="14" s="1"/>
  <c r="DP36" i="14"/>
  <c r="BM38" i="14"/>
  <c r="DO43" i="14" l="1"/>
  <c r="DO41" i="14"/>
  <c r="DN42" i="14"/>
  <c r="DM46" i="14"/>
  <c r="DN45" i="14"/>
  <c r="T61" i="14"/>
  <c r="DN47" i="14"/>
  <c r="DN39" i="14" s="1"/>
  <c r="T63" i="14"/>
  <c r="BN37" i="14"/>
  <c r="DQ36" i="14"/>
  <c r="DP40" i="14"/>
  <c r="DP49" i="14" s="1"/>
  <c r="DP41" i="14" l="1"/>
  <c r="DP45" i="14" s="1"/>
  <c r="DP43" i="14"/>
  <c r="DP47" i="14" s="1"/>
  <c r="DP39" i="14" s="1"/>
  <c r="DO42" i="14"/>
  <c r="DN46" i="14"/>
  <c r="T62" i="14"/>
  <c r="DO45" i="14"/>
  <c r="DO47" i="14"/>
  <c r="DO39" i="14" s="1"/>
  <c r="DQ40" i="14"/>
  <c r="DQ49" i="14" s="1"/>
  <c r="DR36" i="14"/>
  <c r="BN38" i="14"/>
  <c r="DQ43" i="14" l="1"/>
  <c r="DQ41" i="14"/>
  <c r="DP42" i="14"/>
  <c r="DO46" i="14"/>
  <c r="BO37" i="14"/>
  <c r="DR40" i="14"/>
  <c r="DR49" i="14" s="1"/>
  <c r="DS36" i="14"/>
  <c r="DR43" i="14" l="1"/>
  <c r="DR47" i="14" s="1"/>
  <c r="DR39" i="14" s="1"/>
  <c r="DR41" i="14"/>
  <c r="DR45" i="14" s="1"/>
  <c r="DQ42" i="14"/>
  <c r="DP46" i="14"/>
  <c r="DQ45" i="14"/>
  <c r="DQ47" i="14"/>
  <c r="DQ39" i="14" s="1"/>
  <c r="BO38" i="14"/>
  <c r="DS40" i="14"/>
  <c r="DS49" i="14" s="1"/>
  <c r="DT36" i="14"/>
  <c r="DS43" i="14" l="1"/>
  <c r="DS41" i="14"/>
  <c r="DR42" i="14"/>
  <c r="DQ46" i="14"/>
  <c r="DU36" i="14"/>
  <c r="DT40" i="14"/>
  <c r="DT49" i="14" s="1"/>
  <c r="BP37" i="14"/>
  <c r="DT43" i="14" l="1"/>
  <c r="DT47" i="14" s="1"/>
  <c r="DT39" i="14" s="1"/>
  <c r="DT41" i="14"/>
  <c r="DT45" i="14" s="1"/>
  <c r="DS42" i="14"/>
  <c r="DR46" i="14"/>
  <c r="DS45" i="14"/>
  <c r="DS47" i="14"/>
  <c r="DS39" i="14" s="1"/>
  <c r="BP38" i="14"/>
  <c r="DU40" i="14"/>
  <c r="DU49" i="14" s="1"/>
  <c r="DV36" i="14"/>
  <c r="DU43" i="14" l="1"/>
  <c r="DU41" i="14"/>
  <c r="DT42" i="14"/>
  <c r="DS46" i="14"/>
  <c r="DW36" i="14"/>
  <c r="DV40" i="14"/>
  <c r="DV49" i="14" s="1"/>
  <c r="BQ37" i="14"/>
  <c r="DU42" i="14" l="1"/>
  <c r="DT46" i="14"/>
  <c r="DU45" i="14"/>
  <c r="DV43" i="14"/>
  <c r="DV47" i="14" s="1"/>
  <c r="DV39" i="14" s="1"/>
  <c r="DV41" i="14"/>
  <c r="DV45" i="14" s="1"/>
  <c r="DU47" i="14"/>
  <c r="DU39" i="14" s="1"/>
  <c r="DW40" i="14"/>
  <c r="DW49" i="14" s="1"/>
  <c r="DX36" i="14"/>
  <c r="BQ38" i="14"/>
  <c r="DW43" i="14" l="1"/>
  <c r="DW41" i="14"/>
  <c r="DW45" i="14" s="1"/>
  <c r="DV42" i="14"/>
  <c r="DU46" i="14"/>
  <c r="BR37" i="14"/>
  <c r="DY36" i="14"/>
  <c r="DX40" i="14"/>
  <c r="DX49" i="14" s="1"/>
  <c r="DX41" i="14" l="1"/>
  <c r="DX45" i="14" s="1"/>
  <c r="DX43" i="14"/>
  <c r="DX47" i="14" s="1"/>
  <c r="DX39" i="14" s="1"/>
  <c r="DW42" i="14"/>
  <c r="DV46" i="14"/>
  <c r="DW47" i="14"/>
  <c r="DW39" i="14" s="1"/>
  <c r="BR38" i="14"/>
  <c r="DZ36" i="14"/>
  <c r="DY40" i="14"/>
  <c r="DY49" i="14" s="1"/>
  <c r="DY41" i="14" l="1"/>
  <c r="DY45" i="14" s="1"/>
  <c r="DY43" i="14"/>
  <c r="DY47" i="14" s="1"/>
  <c r="DY39" i="14" s="1"/>
  <c r="DX42" i="14"/>
  <c r="DW46" i="14"/>
  <c r="BS37" i="14"/>
  <c r="DZ40" i="14"/>
  <c r="DZ49" i="14" s="1"/>
  <c r="EA36" i="14"/>
  <c r="DY42" i="14" l="1"/>
  <c r="DX46" i="14"/>
  <c r="DZ41" i="14"/>
  <c r="DZ43" i="14"/>
  <c r="U60" i="14"/>
  <c r="W288" i="14"/>
  <c r="W291" i="14"/>
  <c r="W283" i="14"/>
  <c r="W292" i="14"/>
  <c r="W290" i="14"/>
  <c r="W285" i="14"/>
  <c r="W289" i="14"/>
  <c r="W286" i="14"/>
  <c r="W284" i="14"/>
  <c r="W287" i="14"/>
  <c r="V274" i="14"/>
  <c r="V281" i="14"/>
  <c r="V277" i="14"/>
  <c r="V276" i="14"/>
  <c r="V275" i="14"/>
  <c r="V280" i="14"/>
  <c r="V279" i="14"/>
  <c r="V278" i="14"/>
  <c r="V282" i="14"/>
  <c r="U266" i="14"/>
  <c r="U265" i="14"/>
  <c r="U269" i="14"/>
  <c r="U270" i="14"/>
  <c r="U268" i="14"/>
  <c r="U271" i="14"/>
  <c r="U267" i="14"/>
  <c r="U272" i="14"/>
  <c r="U264" i="14"/>
  <c r="U263" i="14"/>
  <c r="V273" i="14"/>
  <c r="T261" i="14"/>
  <c r="T260" i="14"/>
  <c r="T256" i="14"/>
  <c r="T262" i="14"/>
  <c r="T258" i="14"/>
  <c r="T257" i="14"/>
  <c r="T259" i="14"/>
  <c r="Q229" i="14"/>
  <c r="S250" i="14"/>
  <c r="Q231" i="14"/>
  <c r="R241" i="14"/>
  <c r="R238" i="14"/>
  <c r="P220" i="14"/>
  <c r="Q230" i="14"/>
  <c r="R239" i="14"/>
  <c r="P222" i="14"/>
  <c r="Q232" i="14"/>
  <c r="S249" i="14"/>
  <c r="R242" i="14"/>
  <c r="P221" i="14"/>
  <c r="S248" i="14"/>
  <c r="R240" i="14"/>
  <c r="S251" i="14"/>
  <c r="S252" i="14"/>
  <c r="S247" i="14"/>
  <c r="S243" i="14"/>
  <c r="S244" i="14"/>
  <c r="S245" i="14"/>
  <c r="S246" i="14"/>
  <c r="T255" i="14"/>
  <c r="T254" i="14"/>
  <c r="T253" i="14"/>
  <c r="Q228" i="14"/>
  <c r="R236" i="14"/>
  <c r="R237" i="14"/>
  <c r="R235" i="14"/>
  <c r="R233" i="14"/>
  <c r="R234" i="14"/>
  <c r="Q225" i="14"/>
  <c r="Q227" i="14"/>
  <c r="P219" i="14"/>
  <c r="P215" i="14"/>
  <c r="Q226" i="14"/>
  <c r="P216" i="14"/>
  <c r="Q224" i="14"/>
  <c r="P217" i="14"/>
  <c r="P214" i="14"/>
  <c r="P218" i="14"/>
  <c r="Q223" i="14"/>
  <c r="P201" i="14"/>
  <c r="P207" i="14"/>
  <c r="P208" i="14"/>
  <c r="P206" i="14"/>
  <c r="P213" i="14"/>
  <c r="P211" i="14"/>
  <c r="P209" i="14"/>
  <c r="P194" i="14"/>
  <c r="P198" i="14"/>
  <c r="P195" i="14"/>
  <c r="P200" i="14"/>
  <c r="P204" i="14"/>
  <c r="P193" i="14"/>
  <c r="P199" i="14"/>
  <c r="P202" i="14"/>
  <c r="P196" i="14"/>
  <c r="P197" i="14"/>
  <c r="P210" i="14"/>
  <c r="P203" i="14"/>
  <c r="P212" i="14"/>
  <c r="P205" i="14"/>
  <c r="EB36" i="14"/>
  <c r="EA40" i="14"/>
  <c r="EA49" i="14" s="1"/>
  <c r="BS38" i="14"/>
  <c r="EA43" i="14" l="1"/>
  <c r="EA41" i="14"/>
  <c r="DZ47" i="14"/>
  <c r="DZ39" i="14" s="1"/>
  <c r="U63" i="14"/>
  <c r="DZ45" i="14"/>
  <c r="U61" i="14"/>
  <c r="DZ42" i="14"/>
  <c r="DY46" i="14"/>
  <c r="P192" i="14"/>
  <c r="Q7" i="15" s="1"/>
  <c r="F7" i="19" s="1"/>
  <c r="BT37" i="14"/>
  <c r="EB40" i="14"/>
  <c r="EB49" i="14" s="1"/>
  <c r="EC36" i="14"/>
  <c r="EB43" i="14" l="1"/>
  <c r="EB47" i="14" s="1"/>
  <c r="EB39" i="14" s="1"/>
  <c r="EB41" i="14"/>
  <c r="EB45" i="14" s="1"/>
  <c r="EA42" i="14"/>
  <c r="DZ46" i="14"/>
  <c r="U62" i="14"/>
  <c r="EA45" i="14"/>
  <c r="EA47" i="14"/>
  <c r="EA39" i="14" s="1"/>
  <c r="BT38" i="14"/>
  <c r="EC40" i="14"/>
  <c r="EC49" i="14" s="1"/>
  <c r="ED36" i="14"/>
  <c r="J9" i="8"/>
  <c r="J37" i="8" s="1"/>
  <c r="O6" i="15"/>
  <c r="EC41" i="14" l="1"/>
  <c r="EC43" i="14"/>
  <c r="EB42" i="14"/>
  <c r="EA46" i="14"/>
  <c r="J4" i="8"/>
  <c r="EE36" i="14"/>
  <c r="ED40" i="14"/>
  <c r="ED49" i="14" s="1"/>
  <c r="BU37" i="14"/>
  <c r="Q8" i="15"/>
  <c r="Q9" i="15"/>
  <c r="Q10" i="15"/>
  <c r="L5" i="8"/>
  <c r="ED43" i="14" l="1"/>
  <c r="ED47" i="14" s="1"/>
  <c r="ED39" i="14" s="1"/>
  <c r="ED41" i="14"/>
  <c r="ED45" i="14" s="1"/>
  <c r="EC42" i="14"/>
  <c r="EB46" i="14"/>
  <c r="EC47" i="14"/>
  <c r="EC39" i="14" s="1"/>
  <c r="EC45" i="14"/>
  <c r="L8" i="8"/>
  <c r="L36" i="8" s="1"/>
  <c r="L7" i="8"/>
  <c r="L35" i="8" s="1"/>
  <c r="BU38" i="14"/>
  <c r="L6" i="8"/>
  <c r="L34" i="8" s="1"/>
  <c r="EF36" i="14"/>
  <c r="EE40" i="14"/>
  <c r="EE49" i="14" s="1"/>
  <c r="J33" i="8"/>
  <c r="J44" i="8" s="1"/>
  <c r="EE43" i="14" l="1"/>
  <c r="EE41" i="14"/>
  <c r="ED42" i="14"/>
  <c r="EC46" i="14"/>
  <c r="BV37" i="14"/>
  <c r="EG36" i="14"/>
  <c r="EF40" i="14"/>
  <c r="EF49" i="14" s="1"/>
  <c r="J39" i="8"/>
  <c r="J43" i="8" l="1"/>
  <c r="J42" i="8"/>
  <c r="EF43" i="14"/>
  <c r="EF47" i="14" s="1"/>
  <c r="EF39" i="14" s="1"/>
  <c r="EF41" i="14"/>
  <c r="EF45" i="14" s="1"/>
  <c r="EE45" i="14"/>
  <c r="EE42" i="14"/>
  <c r="ED46" i="14"/>
  <c r="EE47" i="14"/>
  <c r="EE39" i="14" s="1"/>
  <c r="J40" i="8"/>
  <c r="EH36" i="14"/>
  <c r="EG40" i="14"/>
  <c r="EG49" i="14" s="1"/>
  <c r="BV38" i="14"/>
  <c r="J45" i="8" l="1"/>
  <c r="J46" i="8"/>
  <c r="EF42" i="14"/>
  <c r="EE46" i="14"/>
  <c r="EG43" i="14"/>
  <c r="EG41" i="14"/>
  <c r="EI36" i="14"/>
  <c r="EH40" i="14"/>
  <c r="EH49" i="14" s="1"/>
  <c r="BW37" i="14"/>
  <c r="EH43" i="14" l="1"/>
  <c r="EH47" i="14" s="1"/>
  <c r="EH39" i="14" s="1"/>
  <c r="EH41" i="14"/>
  <c r="EH45" i="14" s="1"/>
  <c r="EG45" i="14"/>
  <c r="EG47" i="14"/>
  <c r="EG39" i="14" s="1"/>
  <c r="EG42" i="14"/>
  <c r="EF46" i="14"/>
  <c r="BW38" i="14"/>
  <c r="EJ36" i="14"/>
  <c r="EI40" i="14"/>
  <c r="EI49" i="14" s="1"/>
  <c r="EI43" i="14" l="1"/>
  <c r="EI41" i="14"/>
  <c r="EH42" i="14"/>
  <c r="EG46" i="14"/>
  <c r="BX37" i="14"/>
  <c r="EK36" i="14"/>
  <c r="EJ40" i="14"/>
  <c r="EJ49" i="14" s="1"/>
  <c r="EJ43" i="14" l="1"/>
  <c r="EJ47" i="14" s="1"/>
  <c r="EJ39" i="14" s="1"/>
  <c r="EJ41" i="14"/>
  <c r="EJ45" i="14" s="1"/>
  <c r="EI45" i="14"/>
  <c r="EI42" i="14"/>
  <c r="EH46" i="14"/>
  <c r="EI47" i="14"/>
  <c r="EI39" i="14" s="1"/>
  <c r="EK40" i="14"/>
  <c r="EK49" i="14" s="1"/>
  <c r="EL36" i="14"/>
  <c r="BX38" i="14"/>
  <c r="EK41" i="14" l="1"/>
  <c r="EK45" i="14" s="1"/>
  <c r="EK43" i="14"/>
  <c r="EK47" i="14" s="1"/>
  <c r="EK39" i="14" s="1"/>
  <c r="EJ42" i="14"/>
  <c r="EI46" i="14"/>
  <c r="EL40" i="14"/>
  <c r="EL49" i="14" s="1"/>
  <c r="EM36" i="14"/>
  <c r="BY37" i="14"/>
  <c r="EL43" i="14" l="1"/>
  <c r="EL41" i="14"/>
  <c r="V60" i="14"/>
  <c r="EK42" i="14"/>
  <c r="EJ46" i="14"/>
  <c r="BY38" i="14"/>
  <c r="EN36" i="14"/>
  <c r="EM40" i="14"/>
  <c r="EM49" i="14" s="1"/>
  <c r="EL45" i="14" l="1"/>
  <c r="V61" i="14"/>
  <c r="EM41" i="14"/>
  <c r="EM43" i="14"/>
  <c r="EL42" i="14"/>
  <c r="EK46" i="14"/>
  <c r="EL47" i="14"/>
  <c r="EL39" i="14" s="1"/>
  <c r="V63" i="14"/>
  <c r="EO36" i="14"/>
  <c r="EN40" i="14"/>
  <c r="EN49" i="14" s="1"/>
  <c r="BZ37" i="14"/>
  <c r="EN43" i="14" l="1"/>
  <c r="EN47" i="14" s="1"/>
  <c r="EN39" i="14" s="1"/>
  <c r="EN41" i="14"/>
  <c r="EN45" i="14" s="1"/>
  <c r="EM42" i="14"/>
  <c r="EL46" i="14"/>
  <c r="V62" i="14"/>
  <c r="EM47" i="14"/>
  <c r="EM39" i="14" s="1"/>
  <c r="EM45" i="14"/>
  <c r="BZ38" i="14"/>
  <c r="EO40" i="14"/>
  <c r="EO49" i="14" s="1"/>
  <c r="EP36" i="14"/>
  <c r="EO43" i="14" l="1"/>
  <c r="EO41" i="14"/>
  <c r="EN42" i="14"/>
  <c r="EM46" i="14"/>
  <c r="EQ36" i="14"/>
  <c r="EP40" i="14"/>
  <c r="EP49" i="14" s="1"/>
  <c r="CA37" i="14"/>
  <c r="EP43" i="14" l="1"/>
  <c r="EP47" i="14" s="1"/>
  <c r="EP39" i="14" s="1"/>
  <c r="EP41" i="14"/>
  <c r="EP45" i="14" s="1"/>
  <c r="EO45" i="14"/>
  <c r="EO42" i="14"/>
  <c r="EN46" i="14"/>
  <c r="EO47" i="14"/>
  <c r="EO39" i="14" s="1"/>
  <c r="CA38" i="14"/>
  <c r="ER36" i="14"/>
  <c r="EQ40" i="14"/>
  <c r="EQ49" i="14" s="1"/>
  <c r="EQ41" i="14" l="1"/>
  <c r="EQ43" i="14"/>
  <c r="EP42" i="14"/>
  <c r="EO46" i="14"/>
  <c r="ES36" i="14"/>
  <c r="ER40" i="14"/>
  <c r="ER49" i="14" s="1"/>
  <c r="CB37" i="14"/>
  <c r="ER43" i="14" l="1"/>
  <c r="ER47" i="14" s="1"/>
  <c r="ER39" i="14" s="1"/>
  <c r="ER41" i="14"/>
  <c r="ER45" i="14" s="1"/>
  <c r="EQ47" i="14"/>
  <c r="EQ39" i="14" s="1"/>
  <c r="EQ42" i="14"/>
  <c r="EP46" i="14"/>
  <c r="EQ45" i="14"/>
  <c r="CB38" i="14"/>
  <c r="ES40" i="14"/>
  <c r="ES49" i="14" s="1"/>
  <c r="ET36" i="14"/>
  <c r="ES43" i="14" l="1"/>
  <c r="ES41" i="14"/>
  <c r="ER42" i="14"/>
  <c r="EQ46" i="14"/>
  <c r="EU36" i="14"/>
  <c r="ET40" i="14"/>
  <c r="ET49" i="14" s="1"/>
  <c r="CC37" i="14"/>
  <c r="ET43" i="14" l="1"/>
  <c r="ET47" i="14" s="1"/>
  <c r="ET39" i="14" s="1"/>
  <c r="ET41" i="14"/>
  <c r="ET45" i="14" s="1"/>
  <c r="ES42" i="14"/>
  <c r="ER46" i="14"/>
  <c r="ES45" i="14"/>
  <c r="ES47" i="14"/>
  <c r="ES39" i="14" s="1"/>
  <c r="EV36" i="14"/>
  <c r="EU40" i="14"/>
  <c r="EU49" i="14" s="1"/>
  <c r="CC38" i="14"/>
  <c r="EU43" i="14" l="1"/>
  <c r="EU41" i="14"/>
  <c r="ET42" i="14"/>
  <c r="ES46" i="14"/>
  <c r="CD37" i="14"/>
  <c r="EW36" i="14"/>
  <c r="EV40" i="14"/>
  <c r="EV49" i="14" s="1"/>
  <c r="EV41" i="14" l="1"/>
  <c r="EV45" i="14" s="1"/>
  <c r="EV43" i="14"/>
  <c r="EV47" i="14" s="1"/>
  <c r="EV39" i="14" s="1"/>
  <c r="EU42" i="14"/>
  <c r="ET46" i="14"/>
  <c r="EU45" i="14"/>
  <c r="EU47" i="14"/>
  <c r="EU39" i="14" s="1"/>
  <c r="EX36" i="14"/>
  <c r="EY36" i="14" s="1"/>
  <c r="EW40" i="14"/>
  <c r="EW49" i="14" s="1"/>
  <c r="CD38" i="14"/>
  <c r="EW43" i="14" l="1"/>
  <c r="EW47" i="14" s="1"/>
  <c r="EW39" i="14" s="1"/>
  <c r="EW41" i="14"/>
  <c r="EW45" i="14" s="1"/>
  <c r="EV42" i="14"/>
  <c r="EU46" i="14"/>
  <c r="EZ36" i="14"/>
  <c r="EY40" i="14"/>
  <c r="EX40" i="14"/>
  <c r="EX49" i="14" s="1"/>
  <c r="CE37" i="14"/>
  <c r="EY49" i="14" l="1"/>
  <c r="EX43" i="14"/>
  <c r="EX41" i="14"/>
  <c r="W60" i="14"/>
  <c r="EY43" i="14"/>
  <c r="EY41" i="14"/>
  <c r="EW42" i="14"/>
  <c r="EV46" i="14"/>
  <c r="X288" i="14"/>
  <c r="X287" i="14"/>
  <c r="X290" i="14"/>
  <c r="X283" i="14"/>
  <c r="X284" i="14"/>
  <c r="X291" i="14"/>
  <c r="X289" i="14"/>
  <c r="X286" i="14"/>
  <c r="X292" i="14"/>
  <c r="X285" i="14"/>
  <c r="W275" i="14"/>
  <c r="W282" i="14"/>
  <c r="W279" i="14"/>
  <c r="W281" i="14"/>
  <c r="W277" i="14"/>
  <c r="W274" i="14"/>
  <c r="W276" i="14"/>
  <c r="W278" i="14"/>
  <c r="W280" i="14"/>
  <c r="V271" i="14"/>
  <c r="V268" i="14"/>
  <c r="V270" i="14"/>
  <c r="V266" i="14"/>
  <c r="V267" i="14"/>
  <c r="V265" i="14"/>
  <c r="V272" i="14"/>
  <c r="V269" i="14"/>
  <c r="V263" i="14"/>
  <c r="V264" i="14"/>
  <c r="W273" i="14"/>
  <c r="U260" i="14"/>
  <c r="U256" i="14"/>
  <c r="U262" i="14"/>
  <c r="U259" i="14"/>
  <c r="U258" i="14"/>
  <c r="U257" i="14"/>
  <c r="U261" i="14"/>
  <c r="R229" i="14"/>
  <c r="R232" i="14"/>
  <c r="Q220" i="14"/>
  <c r="S240" i="14"/>
  <c r="R231" i="14"/>
  <c r="S239" i="14"/>
  <c r="S241" i="14"/>
  <c r="S238" i="14"/>
  <c r="S242" i="14"/>
  <c r="T247" i="14"/>
  <c r="Q222" i="14"/>
  <c r="T250" i="14"/>
  <c r="R230" i="14"/>
  <c r="T251" i="14"/>
  <c r="T249" i="14"/>
  <c r="Q221" i="14"/>
  <c r="T252" i="14"/>
  <c r="T248" i="14"/>
  <c r="T244" i="14"/>
  <c r="T243" i="14"/>
  <c r="T246" i="14"/>
  <c r="T245" i="14"/>
  <c r="U253" i="14"/>
  <c r="U255" i="14"/>
  <c r="U254" i="14"/>
  <c r="S237" i="14"/>
  <c r="R228" i="14"/>
  <c r="S235" i="14"/>
  <c r="S236" i="14"/>
  <c r="S234" i="14"/>
  <c r="R225" i="14"/>
  <c r="Q217" i="14"/>
  <c r="R227" i="14"/>
  <c r="R226" i="14"/>
  <c r="S233" i="14"/>
  <c r="Q218" i="14"/>
  <c r="R223" i="14"/>
  <c r="Q216" i="14"/>
  <c r="Q215" i="14"/>
  <c r="Q214" i="14"/>
  <c r="Q219" i="14"/>
  <c r="R224" i="14"/>
  <c r="Q211" i="14"/>
  <c r="Q212" i="14"/>
  <c r="Q197" i="14"/>
  <c r="Q204" i="14"/>
  <c r="Q193" i="14"/>
  <c r="Q207" i="14"/>
  <c r="Q206" i="14"/>
  <c r="Q209" i="14"/>
  <c r="Q203" i="14"/>
  <c r="Q199" i="14"/>
  <c r="Q200" i="14"/>
  <c r="Q213" i="14"/>
  <c r="Q196" i="14"/>
  <c r="Q202" i="14"/>
  <c r="Q205" i="14"/>
  <c r="Q201" i="14"/>
  <c r="Q198" i="14"/>
  <c r="Q195" i="14"/>
  <c r="Q208" i="14"/>
  <c r="Q194" i="14"/>
  <c r="Q210" i="14"/>
  <c r="FA36" i="14"/>
  <c r="EZ40" i="14"/>
  <c r="EZ49" i="14" s="1"/>
  <c r="CE38" i="14"/>
  <c r="EZ43" i="14" l="1"/>
  <c r="EZ47" i="14" s="1"/>
  <c r="EZ39" i="14" s="1"/>
  <c r="EZ41" i="14"/>
  <c r="EZ45" i="14" s="1"/>
  <c r="EX42" i="14"/>
  <c r="EW46" i="14"/>
  <c r="EY45" i="14"/>
  <c r="EY47" i="14"/>
  <c r="EY39" i="14" s="1"/>
  <c r="EX45" i="14"/>
  <c r="W61" i="14"/>
  <c r="EX47" i="14"/>
  <c r="EX39" i="14" s="1"/>
  <c r="W63" i="14"/>
  <c r="Q192" i="14"/>
  <c r="R7" i="15" s="1"/>
  <c r="G7" i="19" s="1"/>
  <c r="FA40" i="14"/>
  <c r="FA49" i="14" s="1"/>
  <c r="FB36" i="14"/>
  <c r="CF37" i="14"/>
  <c r="FA43" i="14" l="1"/>
  <c r="FA41" i="14"/>
  <c r="EY42" i="14"/>
  <c r="EX46" i="14"/>
  <c r="W62" i="14"/>
  <c r="FC36" i="14"/>
  <c r="FB40" i="14"/>
  <c r="FB49" i="14" s="1"/>
  <c r="R10" i="15"/>
  <c r="K9" i="8"/>
  <c r="K37" i="8" s="1"/>
  <c r="P6" i="15"/>
  <c r="CF38" i="14"/>
  <c r="FB43" i="14" l="1"/>
  <c r="FB47" i="14" s="1"/>
  <c r="FB39" i="14" s="1"/>
  <c r="FB41" i="14"/>
  <c r="FB45" i="14" s="1"/>
  <c r="FA45" i="14"/>
  <c r="EZ42" i="14"/>
  <c r="EY46" i="14"/>
  <c r="FA47" i="14"/>
  <c r="FA39" i="14" s="1"/>
  <c r="FC40" i="14"/>
  <c r="FC49" i="14" s="1"/>
  <c r="FD36" i="14"/>
  <c r="R8" i="15"/>
  <c r="M6" i="8" s="1"/>
  <c r="M34" i="8" s="1"/>
  <c r="M5" i="8"/>
  <c r="R9" i="15"/>
  <c r="M7" i="8" s="1"/>
  <c r="M35" i="8" s="1"/>
  <c r="CG37" i="14"/>
  <c r="K4" i="8"/>
  <c r="M8" i="8"/>
  <c r="M36" i="8" s="1"/>
  <c r="FC43" i="14" l="1"/>
  <c r="FC41" i="14"/>
  <c r="FA42" i="14"/>
  <c r="EZ46" i="14"/>
  <c r="FE36" i="14"/>
  <c r="FD40" i="14"/>
  <c r="FD49" i="14" s="1"/>
  <c r="K33" i="8"/>
  <c r="K44" i="8" s="1"/>
  <c r="CG38" i="14"/>
  <c r="FD43" i="14" l="1"/>
  <c r="FD47" i="14" s="1"/>
  <c r="FD39" i="14" s="1"/>
  <c r="FD41" i="14"/>
  <c r="FD45" i="14" s="1"/>
  <c r="FB42" i="14"/>
  <c r="FA46" i="14"/>
  <c r="FC45" i="14"/>
  <c r="FC47" i="14"/>
  <c r="FC39" i="14" s="1"/>
  <c r="FE40" i="14"/>
  <c r="FE49" i="14" s="1"/>
  <c r="FF36" i="14"/>
  <c r="CH37" i="14"/>
  <c r="K39" i="8"/>
  <c r="K43" i="8" l="1"/>
  <c r="K42" i="8"/>
  <c r="FE43" i="14"/>
  <c r="FE41" i="14"/>
  <c r="FC42" i="14"/>
  <c r="FB46" i="14"/>
  <c r="FG36" i="14"/>
  <c r="FF40" i="14"/>
  <c r="FF49" i="14" s="1"/>
  <c r="K40" i="8"/>
  <c r="CH38" i="14"/>
  <c r="K45" i="8" l="1"/>
  <c r="K46" i="8"/>
  <c r="FF41" i="14"/>
  <c r="FF45" i="14" s="1"/>
  <c r="FF43" i="14"/>
  <c r="FF47" i="14" s="1"/>
  <c r="FF39" i="14" s="1"/>
  <c r="FD42" i="14"/>
  <c r="FC46" i="14"/>
  <c r="FE45" i="14"/>
  <c r="FE47" i="14"/>
  <c r="FE39" i="14" s="1"/>
  <c r="FH36" i="14"/>
  <c r="FG40" i="14"/>
  <c r="FG49" i="14" s="1"/>
  <c r="CI37" i="14"/>
  <c r="FG41" i="14" l="1"/>
  <c r="FG43" i="14"/>
  <c r="FE42" i="14"/>
  <c r="FD46" i="14"/>
  <c r="FH40" i="14"/>
  <c r="FH49" i="14" s="1"/>
  <c r="FI36" i="14"/>
  <c r="CI38" i="14"/>
  <c r="FH43" i="14" l="1"/>
  <c r="FH47" i="14" s="1"/>
  <c r="FH39" i="14" s="1"/>
  <c r="FH41" i="14"/>
  <c r="FH45" i="14" s="1"/>
  <c r="FF42" i="14"/>
  <c r="FE46" i="14"/>
  <c r="FG47" i="14"/>
  <c r="FG39" i="14" s="1"/>
  <c r="FG45" i="14"/>
  <c r="FJ36" i="14"/>
  <c r="FI40" i="14"/>
  <c r="FI49" i="14" s="1"/>
  <c r="CJ37" i="14"/>
  <c r="FI43" i="14" l="1"/>
  <c r="FI47" i="14" s="1"/>
  <c r="FI39" i="14" s="1"/>
  <c r="FI41" i="14"/>
  <c r="FI45" i="14" s="1"/>
  <c r="FG42" i="14"/>
  <c r="FF46" i="14"/>
  <c r="FK36" i="14"/>
  <c r="FJ40" i="14"/>
  <c r="FJ49" i="14" s="1"/>
  <c r="CJ38" i="14"/>
  <c r="FJ43" i="14" l="1"/>
  <c r="FJ41" i="14"/>
  <c r="X60" i="14"/>
  <c r="FH42" i="14"/>
  <c r="FG46" i="14"/>
  <c r="FK40" i="14"/>
  <c r="FK49" i="14" s="1"/>
  <c r="FL36" i="14"/>
  <c r="CK37" i="14"/>
  <c r="FK43" i="14" l="1"/>
  <c r="FK41" i="14"/>
  <c r="FI42" i="14"/>
  <c r="FH46" i="14"/>
  <c r="FJ45" i="14"/>
  <c r="X61" i="14"/>
  <c r="FJ47" i="14"/>
  <c r="FJ39" i="14" s="1"/>
  <c r="X63" i="14"/>
  <c r="FL40" i="14"/>
  <c r="FL49" i="14" s="1"/>
  <c r="FM36" i="14"/>
  <c r="CK38" i="14"/>
  <c r="FL41" i="14" l="1"/>
  <c r="FL45" i="14" s="1"/>
  <c r="FL43" i="14"/>
  <c r="FL47" i="14" s="1"/>
  <c r="FL39" i="14" s="1"/>
  <c r="FJ42" i="14"/>
  <c r="FI46" i="14"/>
  <c r="FK45" i="14"/>
  <c r="FK47" i="14"/>
  <c r="FK39" i="14" s="1"/>
  <c r="FM40" i="14"/>
  <c r="FM49" i="14" s="1"/>
  <c r="FN36" i="14"/>
  <c r="CL37" i="14"/>
  <c r="FM41" i="14" l="1"/>
  <c r="FM43" i="14"/>
  <c r="FK42" i="14"/>
  <c r="FJ46" i="14"/>
  <c r="X62" i="14"/>
  <c r="FO36" i="14"/>
  <c r="FN40" i="14"/>
  <c r="FN49" i="14" s="1"/>
  <c r="CL38" i="14"/>
  <c r="FN41" i="14" l="1"/>
  <c r="FN45" i="14" s="1"/>
  <c r="FN43" i="14"/>
  <c r="FN47" i="14" s="1"/>
  <c r="FN39" i="14" s="1"/>
  <c r="FL42" i="14"/>
  <c r="FK46" i="14"/>
  <c r="FM47" i="14"/>
  <c r="FM39" i="14" s="1"/>
  <c r="FM45" i="14"/>
  <c r="FP36" i="14"/>
  <c r="FO40" i="14"/>
  <c r="FO49" i="14" s="1"/>
  <c r="CM37" i="14"/>
  <c r="FO43" i="14" l="1"/>
  <c r="FO41" i="14"/>
  <c r="FM42" i="14"/>
  <c r="FL46" i="14"/>
  <c r="FQ36" i="14"/>
  <c r="FP40" i="14"/>
  <c r="FP49" i="14" s="1"/>
  <c r="CM38" i="14"/>
  <c r="FP43" i="14" l="1"/>
  <c r="FP47" i="14" s="1"/>
  <c r="FP39" i="14" s="1"/>
  <c r="FP41" i="14"/>
  <c r="FP45" i="14" s="1"/>
  <c r="FN42" i="14"/>
  <c r="FM46" i="14"/>
  <c r="FO45" i="14"/>
  <c r="FO47" i="14"/>
  <c r="FO39" i="14" s="1"/>
  <c r="FR36" i="14"/>
  <c r="FQ40" i="14"/>
  <c r="FQ49" i="14" s="1"/>
  <c r="CN37" i="14"/>
  <c r="FQ41" i="14" l="1"/>
  <c r="FQ43" i="14"/>
  <c r="FO42" i="14"/>
  <c r="FN46" i="14"/>
  <c r="FS36" i="14"/>
  <c r="FR40" i="14"/>
  <c r="FR49" i="14" s="1"/>
  <c r="CN38" i="14"/>
  <c r="FR43" i="14" l="1"/>
  <c r="FR47" i="14" s="1"/>
  <c r="FR39" i="14" s="1"/>
  <c r="FR41" i="14"/>
  <c r="FR45" i="14" s="1"/>
  <c r="FP42" i="14"/>
  <c r="FO46" i="14"/>
  <c r="FQ47" i="14"/>
  <c r="FQ39" i="14" s="1"/>
  <c r="FQ45" i="14"/>
  <c r="FT36" i="14"/>
  <c r="FS40" i="14"/>
  <c r="FS49" i="14" s="1"/>
  <c r="CO37" i="14"/>
  <c r="FS43" i="14" l="1"/>
  <c r="FS41" i="14"/>
  <c r="FQ42" i="14"/>
  <c r="FP46" i="14"/>
  <c r="FT40" i="14"/>
  <c r="FT49" i="14" s="1"/>
  <c r="FU36" i="14"/>
  <c r="CO38" i="14"/>
  <c r="FT43" i="14" l="1"/>
  <c r="FT47" i="14" s="1"/>
  <c r="FT39" i="14" s="1"/>
  <c r="FT41" i="14"/>
  <c r="FT45" i="14" s="1"/>
  <c r="FR42" i="14"/>
  <c r="FQ46" i="14"/>
  <c r="FS45" i="14"/>
  <c r="FS47" i="14"/>
  <c r="FS39" i="14" s="1"/>
  <c r="FU40" i="14"/>
  <c r="FU49" i="14" s="1"/>
  <c r="FV36" i="14"/>
  <c r="CP37" i="14"/>
  <c r="FU43" i="14" l="1"/>
  <c r="FU47" i="14" s="1"/>
  <c r="FU39" i="14" s="1"/>
  <c r="FU41" i="14"/>
  <c r="FU45" i="14" s="1"/>
  <c r="FS42" i="14"/>
  <c r="FR46" i="14"/>
  <c r="FW36" i="14"/>
  <c r="FV40" i="14"/>
  <c r="FV49" i="14" s="1"/>
  <c r="CP38" i="14"/>
  <c r="FV43" i="14" l="1"/>
  <c r="FV41" i="14"/>
  <c r="Y60" i="14"/>
  <c r="FT42" i="14"/>
  <c r="FS46" i="14"/>
  <c r="FW40" i="14"/>
  <c r="FW49" i="14" s="1"/>
  <c r="FX36" i="14"/>
  <c r="CQ37" i="14"/>
  <c r="FW43" i="14" l="1"/>
  <c r="FW41" i="14"/>
  <c r="FU42" i="14"/>
  <c r="FT46" i="14"/>
  <c r="FV45" i="14"/>
  <c r="Y61" i="14"/>
  <c r="FV47" i="14"/>
  <c r="FV39" i="14" s="1"/>
  <c r="Y63" i="14"/>
  <c r="Y292" i="14"/>
  <c r="Y289" i="14"/>
  <c r="Y287" i="14"/>
  <c r="Y284" i="14"/>
  <c r="Y288" i="14"/>
  <c r="Y290" i="14"/>
  <c r="Y283" i="14"/>
  <c r="Y286" i="14"/>
  <c r="Y291" i="14"/>
  <c r="Y285" i="14"/>
  <c r="X277" i="14"/>
  <c r="X274" i="14"/>
  <c r="X279" i="14"/>
  <c r="X281" i="14"/>
  <c r="X275" i="14"/>
  <c r="X280" i="14"/>
  <c r="X276" i="14"/>
  <c r="X278" i="14"/>
  <c r="X282" i="14"/>
  <c r="W268" i="14"/>
  <c r="W266" i="14"/>
  <c r="W271" i="14"/>
  <c r="W269" i="14"/>
  <c r="W267" i="14"/>
  <c r="W270" i="14"/>
  <c r="W272" i="14"/>
  <c r="W265" i="14"/>
  <c r="W263" i="14"/>
  <c r="W264" i="14"/>
  <c r="X273" i="14"/>
  <c r="V257" i="14"/>
  <c r="V258" i="14"/>
  <c r="V259" i="14"/>
  <c r="V262" i="14"/>
  <c r="V256" i="14"/>
  <c r="V260" i="14"/>
  <c r="V261" i="14"/>
  <c r="T242" i="14"/>
  <c r="S229" i="14"/>
  <c r="R220" i="14"/>
  <c r="S232" i="14"/>
  <c r="U247" i="14"/>
  <c r="U252" i="14"/>
  <c r="S230" i="14"/>
  <c r="T239" i="14"/>
  <c r="U248" i="14"/>
  <c r="T238" i="14"/>
  <c r="S231" i="14"/>
  <c r="T240" i="14"/>
  <c r="R221" i="14"/>
  <c r="U249" i="14"/>
  <c r="T241" i="14"/>
  <c r="U250" i="14"/>
  <c r="R222" i="14"/>
  <c r="U251" i="14"/>
  <c r="U246" i="14"/>
  <c r="U245" i="14"/>
  <c r="U244" i="14"/>
  <c r="U243" i="14"/>
  <c r="V255" i="14"/>
  <c r="V254" i="14"/>
  <c r="V253" i="14"/>
  <c r="S228" i="14"/>
  <c r="T237" i="14"/>
  <c r="T235" i="14"/>
  <c r="T236" i="14"/>
  <c r="S223" i="14"/>
  <c r="T233" i="14"/>
  <c r="R216" i="14"/>
  <c r="S225" i="14"/>
  <c r="R217" i="14"/>
  <c r="S224" i="14"/>
  <c r="T234" i="14"/>
  <c r="R218" i="14"/>
  <c r="S226" i="14"/>
  <c r="R214" i="14"/>
  <c r="S227" i="14"/>
  <c r="R219" i="14"/>
  <c r="R215" i="14"/>
  <c r="R193" i="14"/>
  <c r="R199" i="14"/>
  <c r="R211" i="14"/>
  <c r="R203" i="14"/>
  <c r="R209" i="14"/>
  <c r="R207" i="14"/>
  <c r="R197" i="14"/>
  <c r="R196" i="14"/>
  <c r="R204" i="14"/>
  <c r="R195" i="14"/>
  <c r="R194" i="14"/>
  <c r="R202" i="14"/>
  <c r="R206" i="14"/>
  <c r="R198" i="14"/>
  <c r="R201" i="14"/>
  <c r="R210" i="14"/>
  <c r="R208" i="14"/>
  <c r="R213" i="14"/>
  <c r="R200" i="14"/>
  <c r="R205" i="14"/>
  <c r="R212" i="14"/>
  <c r="FY36" i="14"/>
  <c r="FX40" i="14"/>
  <c r="FX49" i="14" s="1"/>
  <c r="CQ38" i="14"/>
  <c r="FV42" i="14" l="1"/>
  <c r="FU46" i="14"/>
  <c r="FX43" i="14"/>
  <c r="FX47" i="14" s="1"/>
  <c r="FX39" i="14" s="1"/>
  <c r="FX41" i="14"/>
  <c r="FX45" i="14" s="1"/>
  <c r="FW45" i="14"/>
  <c r="FW47" i="14"/>
  <c r="FW39" i="14" s="1"/>
  <c r="R192" i="14"/>
  <c r="S7" i="15" s="1"/>
  <c r="H7" i="19" s="1"/>
  <c r="FZ36" i="14"/>
  <c r="FY40" i="14"/>
  <c r="FY49" i="14" s="1"/>
  <c r="CR37" i="14"/>
  <c r="FY43" i="14" l="1"/>
  <c r="FY41" i="14"/>
  <c r="FW42" i="14"/>
  <c r="FV46" i="14"/>
  <c r="Y62" i="14"/>
  <c r="FZ40" i="14"/>
  <c r="FZ49" i="14" s="1"/>
  <c r="GA36" i="14"/>
  <c r="L9" i="8"/>
  <c r="L37" i="8" s="1"/>
  <c r="Q6" i="15"/>
  <c r="CR38" i="14"/>
  <c r="FZ43" i="14" l="1"/>
  <c r="FZ47" i="14" s="1"/>
  <c r="FZ39" i="14" s="1"/>
  <c r="FZ41" i="14"/>
  <c r="FZ45" i="14" s="1"/>
  <c r="FX42" i="14"/>
  <c r="FW46" i="14"/>
  <c r="FY45" i="14"/>
  <c r="FY47" i="14"/>
  <c r="FY39" i="14" s="1"/>
  <c r="GA40" i="14"/>
  <c r="GA49" i="14" s="1"/>
  <c r="GB36" i="14"/>
  <c r="CS37" i="14"/>
  <c r="S9" i="15"/>
  <c r="S10" i="15"/>
  <c r="N5" i="8"/>
  <c r="S8" i="15"/>
  <c r="L4" i="8"/>
  <c r="GA41" i="14" l="1"/>
  <c r="GA43" i="14"/>
  <c r="FY42" i="14"/>
  <c r="FX46" i="14"/>
  <c r="GB40" i="14"/>
  <c r="GB49" i="14" s="1"/>
  <c r="GC36" i="14"/>
  <c r="L33" i="8"/>
  <c r="L44" i="8" s="1"/>
  <c r="N8" i="8"/>
  <c r="N36" i="8" s="1"/>
  <c r="N6" i="8"/>
  <c r="N34" i="8" s="1"/>
  <c r="N7" i="8"/>
  <c r="N35" i="8" s="1"/>
  <c r="CS38" i="14"/>
  <c r="GB43" i="14" l="1"/>
  <c r="GB47" i="14" s="1"/>
  <c r="GB39" i="14" s="1"/>
  <c r="GB41" i="14"/>
  <c r="GB45" i="14" s="1"/>
  <c r="FZ42" i="14"/>
  <c r="FY46" i="14"/>
  <c r="GA47" i="14"/>
  <c r="GA39" i="14" s="1"/>
  <c r="GA45" i="14"/>
  <c r="GC40" i="14"/>
  <c r="GC49" i="14" s="1"/>
  <c r="GD36" i="14"/>
  <c r="CT37" i="14"/>
  <c r="L39" i="8"/>
  <c r="L43" i="8" l="1"/>
  <c r="L42" i="8"/>
  <c r="GA42" i="14"/>
  <c r="FZ46" i="14"/>
  <c r="GC43" i="14"/>
  <c r="GC41" i="14"/>
  <c r="GD40" i="14"/>
  <c r="GD49" i="14" s="1"/>
  <c r="GE36" i="14"/>
  <c r="L40" i="8"/>
  <c r="CT38" i="14"/>
  <c r="L45" i="8" l="1"/>
  <c r="L46" i="8"/>
  <c r="GD43" i="14"/>
  <c r="GD47" i="14" s="1"/>
  <c r="GD39" i="14" s="1"/>
  <c r="GD41" i="14"/>
  <c r="GD45" i="14" s="1"/>
  <c r="GC47" i="14"/>
  <c r="GC39" i="14" s="1"/>
  <c r="GC45" i="14"/>
  <c r="GB42" i="14"/>
  <c r="GA46" i="14"/>
  <c r="GE40" i="14"/>
  <c r="GE49" i="14" s="1"/>
  <c r="GF36" i="14"/>
  <c r="CU37" i="14"/>
  <c r="GC42" i="14" l="1"/>
  <c r="GB46" i="14"/>
  <c r="GE41" i="14"/>
  <c r="GE43" i="14"/>
  <c r="GF40" i="14"/>
  <c r="GF49" i="14" s="1"/>
  <c r="GG36" i="14"/>
  <c r="CU38" i="14"/>
  <c r="GF41" i="14" l="1"/>
  <c r="GF45" i="14" s="1"/>
  <c r="GF43" i="14"/>
  <c r="GF47" i="14" s="1"/>
  <c r="GF39" i="14" s="1"/>
  <c r="GE45" i="14"/>
  <c r="GE47" i="14"/>
  <c r="GE39" i="14" s="1"/>
  <c r="GD42" i="14"/>
  <c r="GC46" i="14"/>
  <c r="GH36" i="14"/>
  <c r="GG40" i="14"/>
  <c r="GG49" i="14" s="1"/>
  <c r="CV37" i="14"/>
  <c r="GE42" i="14" l="1"/>
  <c r="GD46" i="14"/>
  <c r="GG43" i="14"/>
  <c r="GG47" i="14" s="1"/>
  <c r="GG39" i="14" s="1"/>
  <c r="GG41" i="14"/>
  <c r="GG45" i="14" s="1"/>
  <c r="GH40" i="14"/>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HP49" i="14" s="1"/>
  <c r="HQ49" i="14" s="1"/>
  <c r="HR49" i="14" s="1"/>
  <c r="HS49" i="14" s="1"/>
  <c r="HT49" i="14" s="1"/>
  <c r="HU49" i="14" s="1"/>
  <c r="HV49" i="14" s="1"/>
  <c r="HW49" i="14" s="1"/>
  <c r="HX49" i="14" s="1"/>
  <c r="HY49" i="14" s="1"/>
  <c r="HZ49" i="14" s="1"/>
  <c r="IA49" i="14" s="1"/>
  <c r="IB49" i="14" s="1"/>
  <c r="IC49" i="14" s="1"/>
  <c r="ID49" i="14" s="1"/>
  <c r="IE49" i="14" s="1"/>
  <c r="IF49" i="14" s="1"/>
  <c r="IG49" i="14" s="1"/>
  <c r="IH49" i="14" s="1"/>
  <c r="II49" i="14" s="1"/>
  <c r="IJ49" i="14" s="1"/>
  <c r="IK49" i="14" s="1"/>
  <c r="IL49" i="14" s="1"/>
  <c r="IM49" i="14" s="1"/>
  <c r="IN49" i="14" s="1"/>
  <c r="IO49" i="14" s="1"/>
  <c r="IP49" i="14" s="1"/>
  <c r="CV38" i="14"/>
  <c r="GH43" i="14" l="1"/>
  <c r="GH41" i="14"/>
  <c r="G40" i="14"/>
  <c r="Z60" i="14"/>
  <c r="G60" i="14" s="1"/>
  <c r="GF42" i="14"/>
  <c r="GE46" i="14"/>
  <c r="CW37" i="14"/>
  <c r="GG42" i="14" l="1"/>
  <c r="GF46" i="14"/>
  <c r="GH45" i="14"/>
  <c r="G41" i="14"/>
  <c r="Z61" i="14"/>
  <c r="GH47" i="14"/>
  <c r="GH39" i="14" s="1"/>
  <c r="G39" i="14" s="1"/>
  <c r="G43" i="14"/>
  <c r="Z63" i="14"/>
  <c r="CW38" i="14"/>
  <c r="GH42" i="14" l="1"/>
  <c r="GG46" i="14"/>
  <c r="CX37" i="14"/>
  <c r="GI42" i="14" l="1"/>
  <c r="GH46" i="14"/>
  <c r="Z62" i="14"/>
  <c r="CX38" i="14"/>
  <c r="GJ42" i="14" l="1"/>
  <c r="GI46" i="14"/>
  <c r="CY37" i="14"/>
  <c r="GK42" i="14" l="1"/>
  <c r="GJ46" i="14"/>
  <c r="CY38" i="14"/>
  <c r="GL42" i="14" l="1"/>
  <c r="GK46" i="14"/>
  <c r="CZ37" i="14"/>
  <c r="GM42" i="14" l="1"/>
  <c r="GL46" i="14"/>
  <c r="CZ38" i="14"/>
  <c r="GN42" i="14" l="1"/>
  <c r="GM46" i="14"/>
  <c r="DA37" i="14"/>
  <c r="GO42" i="14" l="1"/>
  <c r="GN46" i="14"/>
  <c r="DA38" i="14"/>
  <c r="GP42" i="14" l="1"/>
  <c r="GO46" i="14"/>
  <c r="DB37" i="14"/>
  <c r="GQ42" i="14" l="1"/>
  <c r="GP46" i="14"/>
  <c r="DB38" i="14"/>
  <c r="GR42" i="14" l="1"/>
  <c r="GQ46" i="14"/>
  <c r="DC37" i="14"/>
  <c r="GS42" i="14" l="1"/>
  <c r="GR46" i="14"/>
  <c r="Z290" i="14"/>
  <c r="Z288" i="14"/>
  <c r="Z287" i="14"/>
  <c r="Z283" i="14"/>
  <c r="Z292" i="14"/>
  <c r="Z284" i="14"/>
  <c r="Z291" i="14"/>
  <c r="Z285" i="14"/>
  <c r="Z286" i="14"/>
  <c r="Z289" i="14"/>
  <c r="Y280" i="14"/>
  <c r="Y279" i="14"/>
  <c r="Y281" i="14"/>
  <c r="Y277" i="14"/>
  <c r="Y275" i="14"/>
  <c r="Y274" i="14"/>
  <c r="Y278" i="14"/>
  <c r="Y276" i="14"/>
  <c r="Y282" i="14"/>
  <c r="X267" i="14"/>
  <c r="X270" i="14"/>
  <c r="X271" i="14"/>
  <c r="X268" i="14"/>
  <c r="X272" i="14"/>
  <c r="X266" i="14"/>
  <c r="X265" i="14"/>
  <c r="X269" i="14"/>
  <c r="X264" i="14"/>
  <c r="X263" i="14"/>
  <c r="Y273" i="14"/>
  <c r="W257" i="14"/>
  <c r="W262" i="14"/>
  <c r="W261" i="14"/>
  <c r="W259" i="14"/>
  <c r="W256" i="14"/>
  <c r="W258" i="14"/>
  <c r="W260" i="14"/>
  <c r="S221" i="14"/>
  <c r="T229" i="14"/>
  <c r="T231" i="14"/>
  <c r="U239" i="14"/>
  <c r="V250" i="14"/>
  <c r="U238" i="14"/>
  <c r="U240" i="14"/>
  <c r="U242" i="14"/>
  <c r="S220" i="14"/>
  <c r="T232" i="14"/>
  <c r="V247" i="14"/>
  <c r="V252" i="14"/>
  <c r="U241" i="14"/>
  <c r="S222" i="14"/>
  <c r="T230" i="14"/>
  <c r="V249" i="14"/>
  <c r="V251" i="14"/>
  <c r="V248" i="14"/>
  <c r="V245" i="14"/>
  <c r="V246" i="14"/>
  <c r="V243" i="14"/>
  <c r="V244" i="14"/>
  <c r="W255" i="14"/>
  <c r="W253" i="14"/>
  <c r="W254" i="14"/>
  <c r="U235" i="14"/>
  <c r="T228" i="14"/>
  <c r="U237" i="14"/>
  <c r="U236" i="14"/>
  <c r="S215" i="14"/>
  <c r="U234" i="14"/>
  <c r="T223" i="14"/>
  <c r="U233" i="14"/>
  <c r="S217" i="14"/>
  <c r="S218" i="14"/>
  <c r="S216" i="14"/>
  <c r="S219" i="14"/>
  <c r="T227" i="14"/>
  <c r="S214" i="14"/>
  <c r="T226" i="14"/>
  <c r="T225" i="14"/>
  <c r="T224" i="14"/>
  <c r="S204" i="14"/>
  <c r="S200" i="14"/>
  <c r="S196" i="14"/>
  <c r="S205" i="14"/>
  <c r="S208" i="14"/>
  <c r="S199" i="14"/>
  <c r="S203" i="14"/>
  <c r="S207" i="14"/>
  <c r="S201" i="14"/>
  <c r="S197" i="14"/>
  <c r="S209" i="14"/>
  <c r="S194" i="14"/>
  <c r="S193" i="14"/>
  <c r="S195" i="14"/>
  <c r="S210" i="14"/>
  <c r="S206" i="14"/>
  <c r="S202" i="14"/>
  <c r="S211" i="14"/>
  <c r="S198" i="14"/>
  <c r="S213" i="14"/>
  <c r="S212" i="14"/>
  <c r="DC38" i="14"/>
  <c r="GT42" i="14" l="1"/>
  <c r="GS46" i="14"/>
  <c r="S192" i="14"/>
  <c r="T7" i="15" s="1"/>
  <c r="I7" i="19" s="1"/>
  <c r="DD37" i="14"/>
  <c r="M9" i="8"/>
  <c r="M37" i="8" s="1"/>
  <c r="R6" i="15"/>
  <c r="GU42" i="14" l="1"/>
  <c r="GT46" i="14"/>
  <c r="AA62" i="14"/>
  <c r="M33" i="8"/>
  <c r="M4" i="8"/>
  <c r="DD38" i="14"/>
  <c r="M39" i="8" l="1"/>
  <c r="M44" i="8"/>
  <c r="GV42" i="14"/>
  <c r="GU46" i="14"/>
  <c r="DE37" i="14"/>
  <c r="T9" i="15"/>
  <c r="O7" i="8" s="1"/>
  <c r="O35" i="8" s="1"/>
  <c r="T8" i="15"/>
  <c r="T10" i="15"/>
  <c r="O8" i="8" s="1"/>
  <c r="O36" i="8" s="1"/>
  <c r="O5" i="8"/>
  <c r="M40" i="8" l="1"/>
  <c r="M43" i="8"/>
  <c r="M42" i="8"/>
  <c r="GW42" i="14"/>
  <c r="GV46" i="14"/>
  <c r="O6" i="8"/>
  <c r="O34" i="8" s="1"/>
  <c r="DE38" i="14"/>
  <c r="M45" i="8" l="1"/>
  <c r="M46" i="8"/>
  <c r="GX42" i="14"/>
  <c r="GW46" i="14"/>
  <c r="DF37" i="14"/>
  <c r="GY42" i="14" l="1"/>
  <c r="GX46" i="14"/>
  <c r="DF38" i="14"/>
  <c r="GZ42" i="14" l="1"/>
  <c r="GY46" i="14"/>
  <c r="DG37" i="14"/>
  <c r="HA42" i="14" l="1"/>
  <c r="GZ46" i="14"/>
  <c r="DG38" i="14"/>
  <c r="HB42" i="14" l="1"/>
  <c r="HA46" i="14"/>
  <c r="DH37" i="14"/>
  <c r="HC42" i="14" l="1"/>
  <c r="HB46" i="14"/>
  <c r="DH38" i="14"/>
  <c r="HD42" i="14" l="1"/>
  <c r="HC46" i="14"/>
  <c r="DI37" i="14"/>
  <c r="HE42" i="14" l="1"/>
  <c r="HD46" i="14"/>
  <c r="DI38" i="14"/>
  <c r="HF42" i="14" l="1"/>
  <c r="HE46" i="14"/>
  <c r="DJ37" i="14"/>
  <c r="HG42" i="14" l="1"/>
  <c r="HF46" i="14"/>
  <c r="AB62" i="14"/>
  <c r="DJ38" i="14"/>
  <c r="HH42" i="14" l="1"/>
  <c r="HG46" i="14"/>
  <c r="DK37" i="14"/>
  <c r="HI42" i="14" l="1"/>
  <c r="HH46" i="14"/>
  <c r="DK38" i="14"/>
  <c r="HJ42" i="14" l="1"/>
  <c r="HI46" i="14"/>
  <c r="DL37" i="14"/>
  <c r="HK42" i="14" l="1"/>
  <c r="HJ46" i="14"/>
  <c r="DL38" i="14"/>
  <c r="HL42" i="14" l="1"/>
  <c r="HK46" i="14"/>
  <c r="DM37" i="14"/>
  <c r="HM42" i="14" l="1"/>
  <c r="HL46" i="14"/>
  <c r="DM38" i="14"/>
  <c r="HN42" i="14" l="1"/>
  <c r="HM46" i="14"/>
  <c r="DN37" i="14"/>
  <c r="HO42" i="14" l="1"/>
  <c r="HN46" i="14"/>
  <c r="DN38" i="14"/>
  <c r="HP42" i="14" l="1"/>
  <c r="HO46" i="14"/>
  <c r="DO37" i="14"/>
  <c r="HQ42" i="14" l="1"/>
  <c r="HP46" i="14"/>
  <c r="AA288" i="14"/>
  <c r="AA286" i="14"/>
  <c r="AA289" i="14"/>
  <c r="AA283" i="14"/>
  <c r="AA290" i="14"/>
  <c r="AA284" i="14"/>
  <c r="AA292" i="14"/>
  <c r="AA291" i="14"/>
  <c r="AA287" i="14"/>
  <c r="AA285" i="14"/>
  <c r="Z278" i="14"/>
  <c r="Z276" i="14"/>
  <c r="Z275" i="14"/>
  <c r="Z279" i="14"/>
  <c r="Z274" i="14"/>
  <c r="Z282" i="14"/>
  <c r="Z281" i="14"/>
  <c r="Z277" i="14"/>
  <c r="Z280" i="14"/>
  <c r="Y271" i="14"/>
  <c r="Y267" i="14"/>
  <c r="Y272" i="14"/>
  <c r="Y266" i="14"/>
  <c r="Y269" i="14"/>
  <c r="Y270" i="14"/>
  <c r="Y265" i="14"/>
  <c r="Y268" i="14"/>
  <c r="Y264" i="14"/>
  <c r="Y263" i="14"/>
  <c r="Z273" i="14"/>
  <c r="X261" i="14"/>
  <c r="X260" i="14"/>
  <c r="X262" i="14"/>
  <c r="X257" i="14"/>
  <c r="X258" i="14"/>
  <c r="X259" i="14"/>
  <c r="X256" i="14"/>
  <c r="U232" i="14"/>
  <c r="U229" i="14"/>
  <c r="V241" i="14"/>
  <c r="V239" i="14"/>
  <c r="T221" i="14"/>
  <c r="V238" i="14"/>
  <c r="U231" i="14"/>
  <c r="V242" i="14"/>
  <c r="U230" i="14"/>
  <c r="T220" i="14"/>
  <c r="V240" i="14"/>
  <c r="W252" i="14"/>
  <c r="W247" i="14"/>
  <c r="W249" i="14"/>
  <c r="T222" i="14"/>
  <c r="W250" i="14"/>
  <c r="W248" i="14"/>
  <c r="W251" i="14"/>
  <c r="W246" i="14"/>
  <c r="W245" i="14"/>
  <c r="W244" i="14"/>
  <c r="W243" i="14"/>
  <c r="X255" i="14"/>
  <c r="X253" i="14"/>
  <c r="X254" i="14"/>
  <c r="U228" i="14"/>
  <c r="V236" i="14"/>
  <c r="V235" i="14"/>
  <c r="V237" i="14"/>
  <c r="V234" i="14"/>
  <c r="U223" i="14"/>
  <c r="T215" i="14"/>
  <c r="T218" i="14"/>
  <c r="U227" i="14"/>
  <c r="T219" i="14"/>
  <c r="U225" i="14"/>
  <c r="V233" i="14"/>
  <c r="T217" i="14"/>
  <c r="T214" i="14"/>
  <c r="T216" i="14"/>
  <c r="U224" i="14"/>
  <c r="U226" i="14"/>
  <c r="T204" i="14"/>
  <c r="T213" i="14"/>
  <c r="T199" i="14"/>
  <c r="T206" i="14"/>
  <c r="T209" i="14"/>
  <c r="T201" i="14"/>
  <c r="T212" i="14"/>
  <c r="T196" i="14"/>
  <c r="T210" i="14"/>
  <c r="T198" i="14"/>
  <c r="T193" i="14"/>
  <c r="T208" i="14"/>
  <c r="T205" i="14"/>
  <c r="T202" i="14"/>
  <c r="T195" i="14"/>
  <c r="T194" i="14"/>
  <c r="T200" i="14"/>
  <c r="T207" i="14"/>
  <c r="T211" i="14"/>
  <c r="T203" i="14"/>
  <c r="T197" i="14"/>
  <c r="DO38" i="14"/>
  <c r="HR42" i="14" l="1"/>
  <c r="HQ46" i="14"/>
  <c r="T192" i="14"/>
  <c r="U7" i="15" s="1"/>
  <c r="J7" i="19" s="1"/>
  <c r="DP37" i="14"/>
  <c r="N9" i="8"/>
  <c r="N37" i="8" s="1"/>
  <c r="S6" i="15"/>
  <c r="HS42" i="14" l="1"/>
  <c r="HR46" i="14"/>
  <c r="AC62" i="14"/>
  <c r="N33" i="8"/>
  <c r="N4" i="8"/>
  <c r="DP38" i="14"/>
  <c r="N39" i="8" l="1"/>
  <c r="N44" i="8"/>
  <c r="HT42" i="14"/>
  <c r="HS46" i="14"/>
  <c r="U10" i="15"/>
  <c r="P8" i="8" s="1"/>
  <c r="P36" i="8" s="1"/>
  <c r="P5" i="8"/>
  <c r="U8" i="15"/>
  <c r="U9" i="15"/>
  <c r="P7" i="8" s="1"/>
  <c r="P35" i="8" s="1"/>
  <c r="DQ37" i="14"/>
  <c r="N40" i="8" l="1"/>
  <c r="N43" i="8"/>
  <c r="N42" i="8"/>
  <c r="HU42" i="14"/>
  <c r="HT46" i="14"/>
  <c r="P6" i="8"/>
  <c r="P34" i="8" s="1"/>
  <c r="DQ38" i="14"/>
  <c r="N46" i="8" l="1"/>
  <c r="N45" i="8"/>
  <c r="HV42" i="14"/>
  <c r="HU46" i="14"/>
  <c r="DR37" i="14"/>
  <c r="HW42" i="14" l="1"/>
  <c r="HV46" i="14"/>
  <c r="DR38" i="14"/>
  <c r="HX42" i="14" l="1"/>
  <c r="HW46" i="14"/>
  <c r="DS37" i="14"/>
  <c r="HY42" i="14" l="1"/>
  <c r="HX46" i="14"/>
  <c r="DS38" i="14"/>
  <c r="HZ42" i="14" l="1"/>
  <c r="HY46" i="14"/>
  <c r="DT37" i="14"/>
  <c r="IA42" i="14" l="1"/>
  <c r="HZ46" i="14"/>
  <c r="DT38" i="14"/>
  <c r="IB42" i="14" l="1"/>
  <c r="IA46" i="14"/>
  <c r="DU37" i="14"/>
  <c r="IC42" i="14" l="1"/>
  <c r="IB46" i="14"/>
  <c r="DU38" i="14"/>
  <c r="ID42" i="14" l="1"/>
  <c r="IC46" i="14"/>
  <c r="DV37" i="14"/>
  <c r="IE42" i="14" l="1"/>
  <c r="ID46" i="14"/>
  <c r="AD62" i="14"/>
  <c r="DV38" i="14"/>
  <c r="IF42" i="14" l="1"/>
  <c r="IE46" i="14"/>
  <c r="DW37" i="14"/>
  <c r="IG42" i="14" l="1"/>
  <c r="IF46" i="14"/>
  <c r="DW38" i="14"/>
  <c r="IH42" i="14" l="1"/>
  <c r="IG46" i="14"/>
  <c r="DX37" i="14"/>
  <c r="II42" i="14" l="1"/>
  <c r="IH46" i="14"/>
  <c r="DX38" i="14"/>
  <c r="IJ42" i="14" l="1"/>
  <c r="II46" i="14"/>
  <c r="DY37" i="14"/>
  <c r="IK42" i="14" l="1"/>
  <c r="IJ46" i="14"/>
  <c r="DY38" i="14"/>
  <c r="IL42" i="14" l="1"/>
  <c r="IK46" i="14"/>
  <c r="DZ37" i="14"/>
  <c r="IM42" i="14" l="1"/>
  <c r="IL46" i="14"/>
  <c r="DZ38" i="14"/>
  <c r="IN42" i="14" l="1"/>
  <c r="IM46" i="14"/>
  <c r="EA37" i="14"/>
  <c r="IO42" i="14" l="1"/>
  <c r="IN46" i="14"/>
  <c r="AB291" i="14"/>
  <c r="AB290" i="14"/>
  <c r="AB285" i="14"/>
  <c r="AB286" i="14"/>
  <c r="AB287" i="14"/>
  <c r="AB284" i="14"/>
  <c r="AB289" i="14"/>
  <c r="AB288" i="14"/>
  <c r="AB292" i="14"/>
  <c r="AB283" i="14"/>
  <c r="AA274" i="14"/>
  <c r="AA279" i="14"/>
  <c r="AA275" i="14"/>
  <c r="AA281" i="14"/>
  <c r="AA280" i="14"/>
  <c r="AA282" i="14"/>
  <c r="AA276" i="14"/>
  <c r="AA277" i="14"/>
  <c r="AA278" i="14"/>
  <c r="Z271" i="14"/>
  <c r="Z269" i="14"/>
  <c r="Z265" i="14"/>
  <c r="Z270" i="14"/>
  <c r="Z268" i="14"/>
  <c r="Z267" i="14"/>
  <c r="Z272" i="14"/>
  <c r="Z266" i="14"/>
  <c r="Z263" i="14"/>
  <c r="Z264" i="14"/>
  <c r="AA273" i="14"/>
  <c r="Y256" i="14"/>
  <c r="Y262" i="14"/>
  <c r="Y259" i="14"/>
  <c r="Y257" i="14"/>
  <c r="Y261" i="14"/>
  <c r="Y260" i="14"/>
  <c r="Y258" i="14"/>
  <c r="U221" i="14"/>
  <c r="X250" i="14"/>
  <c r="W238" i="14"/>
  <c r="W239" i="14"/>
  <c r="W241" i="14"/>
  <c r="U222" i="14"/>
  <c r="V229" i="14"/>
  <c r="U220" i="14"/>
  <c r="V232" i="14"/>
  <c r="W242" i="14"/>
  <c r="X247" i="14"/>
  <c r="W240" i="14"/>
  <c r="V231" i="14"/>
  <c r="X252" i="14"/>
  <c r="X248" i="14"/>
  <c r="V230" i="14"/>
  <c r="X251" i="14"/>
  <c r="X249" i="14"/>
  <c r="X243" i="14"/>
  <c r="X246" i="14"/>
  <c r="X244" i="14"/>
  <c r="X245" i="14"/>
  <c r="Y255" i="14"/>
  <c r="Y253" i="14"/>
  <c r="Y254" i="14"/>
  <c r="V228" i="14"/>
  <c r="W235" i="14"/>
  <c r="W236" i="14"/>
  <c r="W237" i="14"/>
  <c r="W233" i="14"/>
  <c r="U218" i="14"/>
  <c r="V227" i="14"/>
  <c r="W234" i="14"/>
  <c r="U219" i="14"/>
  <c r="U216" i="14"/>
  <c r="U214" i="14"/>
  <c r="U217" i="14"/>
  <c r="V223" i="14"/>
  <c r="V226" i="14"/>
  <c r="U215" i="14"/>
  <c r="V224" i="14"/>
  <c r="V225" i="14"/>
  <c r="U193" i="14"/>
  <c r="U201" i="14"/>
  <c r="U199" i="14"/>
  <c r="U206" i="14"/>
  <c r="U202" i="14"/>
  <c r="U210" i="14"/>
  <c r="U212" i="14"/>
  <c r="U209" i="14"/>
  <c r="U205" i="14"/>
  <c r="U196" i="14"/>
  <c r="U195" i="14"/>
  <c r="U197" i="14"/>
  <c r="U211" i="14"/>
  <c r="U200" i="14"/>
  <c r="U198" i="14"/>
  <c r="U203" i="14"/>
  <c r="U194" i="14"/>
  <c r="U208" i="14"/>
  <c r="U204" i="14"/>
  <c r="U213" i="14"/>
  <c r="U207" i="14"/>
  <c r="EA38" i="14"/>
  <c r="IP42" i="14" l="1"/>
  <c r="IO46" i="14"/>
  <c r="U192" i="14"/>
  <c r="V7" i="15" s="1"/>
  <c r="K7" i="19" s="1"/>
  <c r="O9" i="8"/>
  <c r="O37" i="8" s="1"/>
  <c r="T6" i="15"/>
  <c r="EB37" i="14"/>
  <c r="IP46" i="14" l="1"/>
  <c r="G42" i="14"/>
  <c r="AE62" i="14"/>
  <c r="Q5" i="8"/>
  <c r="EB38" i="14"/>
  <c r="O33" i="8"/>
  <c r="O4" i="8"/>
  <c r="O39" i="8" l="1"/>
  <c r="O44" i="8"/>
  <c r="V10" i="15"/>
  <c r="Q8" i="8" s="1"/>
  <c r="Q36" i="8" s="1"/>
  <c r="V8" i="15"/>
  <c r="Q6" i="8" s="1"/>
  <c r="Q34" i="8" s="1"/>
  <c r="V9" i="15"/>
  <c r="Q7" i="8" s="1"/>
  <c r="Q35" i="8" s="1"/>
  <c r="EC37" i="14"/>
  <c r="O40" i="8" l="1"/>
  <c r="O43" i="8"/>
  <c r="O42" i="8"/>
  <c r="EC38" i="14"/>
  <c r="O45" i="8" l="1"/>
  <c r="O46" i="8"/>
  <c r="ED37" i="14"/>
  <c r="ED38" i="14" l="1"/>
  <c r="EE37" i="14" l="1"/>
  <c r="EE38" i="14" l="1"/>
  <c r="EF37" i="14" l="1"/>
  <c r="EF38" i="14" l="1"/>
  <c r="EG37" i="14" l="1"/>
  <c r="EG38" i="14" l="1"/>
  <c r="EH37" i="14" l="1"/>
  <c r="EH38" i="14" l="1"/>
  <c r="EI37" i="14" l="1"/>
  <c r="EI38" i="14" l="1"/>
  <c r="EJ37" i="14" l="1"/>
  <c r="EJ38" i="14" l="1"/>
  <c r="EK37" i="14" l="1"/>
  <c r="EK38" i="14" l="1"/>
  <c r="EL37" i="14" l="1"/>
  <c r="EL38" i="14" l="1"/>
  <c r="EM37" i="14" l="1"/>
  <c r="AC289" i="14" l="1"/>
  <c r="AC288" i="14"/>
  <c r="AC290" i="14"/>
  <c r="AC284" i="14"/>
  <c r="AC291" i="14"/>
  <c r="AC285" i="14"/>
  <c r="AC286" i="14"/>
  <c r="AC283" i="14"/>
  <c r="AC287" i="14"/>
  <c r="AC292" i="14"/>
  <c r="AB278" i="14"/>
  <c r="AB277" i="14"/>
  <c r="AB281" i="14"/>
  <c r="AB276" i="14"/>
  <c r="AB282" i="14"/>
  <c r="AB280" i="14"/>
  <c r="AB275" i="14"/>
  <c r="AB279" i="14"/>
  <c r="AB274" i="14"/>
  <c r="AA270" i="14"/>
  <c r="AA265" i="14"/>
  <c r="AA271" i="14"/>
  <c r="AA269" i="14"/>
  <c r="AA272" i="14"/>
  <c r="AA267" i="14"/>
  <c r="AA266" i="14"/>
  <c r="AA268" i="14"/>
  <c r="AA263" i="14"/>
  <c r="AA264" i="14"/>
  <c r="AB273" i="14"/>
  <c r="Z258" i="14"/>
  <c r="Z262" i="14"/>
  <c r="Z259" i="14"/>
  <c r="Z256" i="14"/>
  <c r="Z261" i="14"/>
  <c r="Z257" i="14"/>
  <c r="Z260" i="14"/>
  <c r="W229" i="14"/>
  <c r="X239" i="14"/>
  <c r="X241" i="14"/>
  <c r="X238" i="14"/>
  <c r="V222" i="14"/>
  <c r="W230" i="14"/>
  <c r="W232" i="14"/>
  <c r="X240" i="14"/>
  <c r="W231" i="14"/>
  <c r="Y248" i="14"/>
  <c r="X242" i="14"/>
  <c r="V220" i="14"/>
  <c r="Y250" i="14"/>
  <c r="Y249" i="14"/>
  <c r="V221" i="14"/>
  <c r="Y252" i="14"/>
  <c r="Y247" i="14"/>
  <c r="Y251" i="14"/>
  <c r="Y243" i="14"/>
  <c r="Y246" i="14"/>
  <c r="Y245" i="14"/>
  <c r="Y244" i="14"/>
  <c r="Z253" i="14"/>
  <c r="Z254" i="14"/>
  <c r="Z255" i="14"/>
  <c r="W228" i="14"/>
  <c r="X237" i="14"/>
  <c r="X236" i="14"/>
  <c r="X235" i="14"/>
  <c r="V216" i="14"/>
  <c r="V219" i="14"/>
  <c r="X233" i="14"/>
  <c r="W223" i="14"/>
  <c r="W226" i="14"/>
  <c r="V214" i="14"/>
  <c r="X234" i="14"/>
  <c r="W224" i="14"/>
  <c r="V215" i="14"/>
  <c r="W225" i="14"/>
  <c r="V217" i="14"/>
  <c r="W227" i="14"/>
  <c r="V218" i="14"/>
  <c r="V201" i="14"/>
  <c r="V197" i="14"/>
  <c r="V195" i="14"/>
  <c r="V200" i="14"/>
  <c r="V196" i="14"/>
  <c r="V203" i="14"/>
  <c r="V206" i="14"/>
  <c r="V198" i="14"/>
  <c r="V211" i="14"/>
  <c r="V205" i="14"/>
  <c r="V199" i="14"/>
  <c r="V213" i="14"/>
  <c r="V212" i="14"/>
  <c r="V208" i="14"/>
  <c r="V209" i="14"/>
  <c r="V204" i="14"/>
  <c r="V207" i="14"/>
  <c r="V194" i="14"/>
  <c r="V193" i="14"/>
  <c r="V210" i="14"/>
  <c r="V202" i="14"/>
  <c r="EM38" i="14"/>
  <c r="V192" i="14" l="1"/>
  <c r="W7" i="15" s="1"/>
  <c r="L7" i="19" s="1"/>
  <c r="EN37" i="14"/>
  <c r="P9" i="8"/>
  <c r="P37" i="8" s="1"/>
  <c r="U6" i="15"/>
  <c r="P33" i="8" l="1"/>
  <c r="P4" i="8"/>
  <c r="EN38" i="14"/>
  <c r="P39" i="8" l="1"/>
  <c r="P44" i="8"/>
  <c r="EO37" i="14"/>
  <c r="W10" i="15"/>
  <c r="R8" i="8" s="1"/>
  <c r="R36" i="8" s="1"/>
  <c r="R5" i="8"/>
  <c r="W9" i="15"/>
  <c r="R7" i="8" s="1"/>
  <c r="R35" i="8" s="1"/>
  <c r="W8" i="15"/>
  <c r="P40" i="8" l="1"/>
  <c r="P42" i="8"/>
  <c r="P43" i="8"/>
  <c r="R6" i="8"/>
  <c r="R34" i="8" s="1"/>
  <c r="W6" i="15"/>
  <c r="EO38" i="14"/>
  <c r="P45" i="8" l="1"/>
  <c r="P46" i="8"/>
  <c r="EP37" i="14"/>
  <c r="R33" i="8"/>
  <c r="R4" i="8"/>
  <c r="R39" i="8" l="1"/>
  <c r="R44" i="8"/>
  <c r="EP38" i="14"/>
  <c r="R42" i="8" l="1"/>
  <c r="R43" i="8"/>
  <c r="EQ37" i="14"/>
  <c r="EQ38" i="14" l="1"/>
  <c r="ER37" i="14" l="1"/>
  <c r="ER38" i="14" l="1"/>
  <c r="ES37" i="14" l="1"/>
  <c r="ES38" i="14" l="1"/>
  <c r="ET37" i="14" l="1"/>
  <c r="ET38" i="14" l="1"/>
  <c r="EU37" i="14" l="1"/>
  <c r="EU38" i="14" l="1"/>
  <c r="EV37" i="14" l="1"/>
  <c r="EV38" i="14" l="1"/>
  <c r="EW37" i="14" l="1"/>
  <c r="EW38" i="14" l="1"/>
  <c r="EX37" i="14" l="1"/>
  <c r="EX38" i="14" l="1"/>
  <c r="EY37" i="14" l="1"/>
  <c r="EY38" i="14" s="1"/>
  <c r="AD290" i="14" l="1"/>
  <c r="AD284" i="14"/>
  <c r="AD287" i="14"/>
  <c r="AD285" i="14"/>
  <c r="AD292" i="14"/>
  <c r="AD289" i="14"/>
  <c r="AD288" i="14"/>
  <c r="AD283" i="14"/>
  <c r="AD286" i="14"/>
  <c r="AD291" i="14"/>
  <c r="AC275" i="14"/>
  <c r="AC277" i="14"/>
  <c r="AC280" i="14"/>
  <c r="AC279" i="14"/>
  <c r="AC281" i="14"/>
  <c r="AC276" i="14"/>
  <c r="AC274" i="14"/>
  <c r="AC282" i="14"/>
  <c r="AC278" i="14"/>
  <c r="AB267" i="14"/>
  <c r="AB266" i="14"/>
  <c r="AB269" i="14"/>
  <c r="AB272" i="14"/>
  <c r="AB271" i="14"/>
  <c r="AB265" i="14"/>
  <c r="AB270" i="14"/>
  <c r="AB268" i="14"/>
  <c r="AB263" i="14"/>
  <c r="AB264" i="14"/>
  <c r="AC273" i="14"/>
  <c r="AA259" i="14"/>
  <c r="AA257" i="14"/>
  <c r="AA262" i="14"/>
  <c r="AA258" i="14"/>
  <c r="AA256" i="14"/>
  <c r="AA260" i="14"/>
  <c r="AA261" i="14"/>
  <c r="Y240" i="14"/>
  <c r="W220" i="14"/>
  <c r="W222" i="14"/>
  <c r="X232" i="14"/>
  <c r="Y242" i="14"/>
  <c r="Y239" i="14"/>
  <c r="X231" i="14"/>
  <c r="X230" i="14"/>
  <c r="Y238" i="14"/>
  <c r="Z251" i="14"/>
  <c r="Y241" i="14"/>
  <c r="Z249" i="14"/>
  <c r="W221" i="14"/>
  <c r="Z248" i="14"/>
  <c r="X229" i="14"/>
  <c r="Z247" i="14"/>
  <c r="Z252" i="14"/>
  <c r="Z250" i="14"/>
  <c r="Z246" i="14"/>
  <c r="Z244" i="14"/>
  <c r="Z243" i="14"/>
  <c r="Z245" i="14"/>
  <c r="AA253" i="14"/>
  <c r="AA254" i="14"/>
  <c r="AA255" i="14"/>
  <c r="X228" i="14"/>
  <c r="Y237" i="14"/>
  <c r="Y236" i="14"/>
  <c r="Y235" i="14"/>
  <c r="Y234" i="14"/>
  <c r="W215" i="14"/>
  <c r="Y233" i="14"/>
  <c r="X224" i="14"/>
  <c r="W218" i="14"/>
  <c r="W214" i="14"/>
  <c r="X225" i="14"/>
  <c r="X227" i="14"/>
  <c r="W216" i="14"/>
  <c r="X226" i="14"/>
  <c r="W219" i="14"/>
  <c r="W217" i="14"/>
  <c r="X223" i="14"/>
  <c r="W210" i="14"/>
  <c r="W201" i="14"/>
  <c r="W199" i="14"/>
  <c r="W198" i="14"/>
  <c r="W193" i="14"/>
  <c r="W195" i="14"/>
  <c r="W196" i="14"/>
  <c r="W200" i="14"/>
  <c r="W212" i="14"/>
  <c r="W213" i="14"/>
  <c r="W208" i="14"/>
  <c r="W203" i="14"/>
  <c r="W206" i="14"/>
  <c r="W207" i="14"/>
  <c r="W202" i="14"/>
  <c r="W211" i="14"/>
  <c r="W209" i="14"/>
  <c r="W197" i="14"/>
  <c r="W204" i="14"/>
  <c r="W205" i="14"/>
  <c r="W194" i="14"/>
  <c r="EZ37" i="14"/>
  <c r="EZ38" i="14" s="1"/>
  <c r="FA37" i="14" s="1"/>
  <c r="FA38" i="14" s="1"/>
  <c r="FB37" i="14" s="1"/>
  <c r="FB38" i="14" s="1"/>
  <c r="FC37" i="14" s="1"/>
  <c r="FC38" i="14" s="1"/>
  <c r="FD37" i="14" s="1"/>
  <c r="FD38" i="14" s="1"/>
  <c r="FE37" i="14" s="1"/>
  <c r="FE38" i="14" s="1"/>
  <c r="FF37" i="14" s="1"/>
  <c r="FF38" i="14" s="1"/>
  <c r="FG37" i="14" s="1"/>
  <c r="FG38" i="14" s="1"/>
  <c r="FH37" i="14" s="1"/>
  <c r="FH38" i="14" s="1"/>
  <c r="FI37" i="14" s="1"/>
  <c r="FI38" i="14" s="1"/>
  <c r="FJ37" i="14" s="1"/>
  <c r="FJ38" i="14" s="1"/>
  <c r="FK37" i="14" s="1"/>
  <c r="FK38" i="14" s="1"/>
  <c r="W192" i="14" l="1"/>
  <c r="X7" i="15" s="1"/>
  <c r="M7" i="19" s="1"/>
  <c r="FL37" i="14"/>
  <c r="FL38" i="14" s="1"/>
  <c r="FM37" i="14" s="1"/>
  <c r="FM38" i="14" s="1"/>
  <c r="FN37" i="14" s="1"/>
  <c r="FN38" i="14" s="1"/>
  <c r="FO37" i="14" s="1"/>
  <c r="FO38" i="14" s="1"/>
  <c r="FP37" i="14" s="1"/>
  <c r="FP38" i="14" s="1"/>
  <c r="FQ37" i="14" s="1"/>
  <c r="FQ38" i="14" s="1"/>
  <c r="FR37" i="14" s="1"/>
  <c r="FR38" i="14" s="1"/>
  <c r="FS37" i="14" s="1"/>
  <c r="FS38" i="14" s="1"/>
  <c r="FT37" i="14" s="1"/>
  <c r="FT38" i="14" s="1"/>
  <c r="FU37" i="14" s="1"/>
  <c r="FU38" i="14" s="1"/>
  <c r="FV37" i="14" s="1"/>
  <c r="FV38" i="14" s="1"/>
  <c r="FW37" i="14" s="1"/>
  <c r="FW38" i="14" s="1"/>
  <c r="AE292" i="14" l="1"/>
  <c r="AE287" i="14"/>
  <c r="AE285" i="14"/>
  <c r="AE283" i="14"/>
  <c r="AE289" i="14"/>
  <c r="AE288" i="14"/>
  <c r="AE286" i="14"/>
  <c r="AE290" i="14"/>
  <c r="AE291" i="14"/>
  <c r="AE284" i="14"/>
  <c r="AD280" i="14"/>
  <c r="AD279" i="14"/>
  <c r="AD274" i="14"/>
  <c r="AD278" i="14"/>
  <c r="AD282" i="14"/>
  <c r="AD276" i="14"/>
  <c r="AD277" i="14"/>
  <c r="AD281" i="14"/>
  <c r="AD275" i="14"/>
  <c r="AC269" i="14"/>
  <c r="AC266" i="14"/>
  <c r="AC265" i="14"/>
  <c r="AC271" i="14"/>
  <c r="AC270" i="14"/>
  <c r="AC268" i="14"/>
  <c r="AC267" i="14"/>
  <c r="AC272" i="14"/>
  <c r="AC263" i="14"/>
  <c r="AC264" i="14"/>
  <c r="AD273" i="14"/>
  <c r="AB262" i="14"/>
  <c r="AB256" i="14"/>
  <c r="AB261" i="14"/>
  <c r="AB258" i="14"/>
  <c r="AB260" i="14"/>
  <c r="AB257" i="14"/>
  <c r="AB259" i="14"/>
  <c r="Z239" i="14"/>
  <c r="X221" i="14"/>
  <c r="AA249" i="14"/>
  <c r="Z238" i="14"/>
  <c r="Z240" i="14"/>
  <c r="AA248" i="14"/>
  <c r="Y230" i="14"/>
  <c r="X222" i="14"/>
  <c r="Y232" i="14"/>
  <c r="Y231" i="14"/>
  <c r="X220" i="14"/>
  <c r="Z241" i="14"/>
  <c r="Y229" i="14"/>
  <c r="AA250" i="14"/>
  <c r="AA252" i="14"/>
  <c r="AA251" i="14"/>
  <c r="AA247" i="14"/>
  <c r="Z242" i="14"/>
  <c r="AA246" i="14"/>
  <c r="AA245" i="14"/>
  <c r="AA244" i="14"/>
  <c r="AA243" i="14"/>
  <c r="AB255" i="14"/>
  <c r="AB254" i="14"/>
  <c r="AB253" i="14"/>
  <c r="Z236" i="14"/>
  <c r="Y228" i="14"/>
  <c r="Z237" i="14"/>
  <c r="Z235" i="14"/>
  <c r="Z234" i="14"/>
  <c r="Y225" i="14"/>
  <c r="X219" i="14"/>
  <c r="X216" i="14"/>
  <c r="Y227" i="14"/>
  <c r="Z233" i="14"/>
  <c r="Y226" i="14"/>
  <c r="X217" i="14"/>
  <c r="X214" i="14"/>
  <c r="X218" i="14"/>
  <c r="X215" i="14"/>
  <c r="Y223" i="14"/>
  <c r="Y224" i="14"/>
  <c r="X202" i="14"/>
  <c r="X201" i="14"/>
  <c r="X204" i="14"/>
  <c r="X207" i="14"/>
  <c r="X203" i="14"/>
  <c r="X213" i="14"/>
  <c r="X194" i="14"/>
  <c r="X206" i="14"/>
  <c r="X211" i="14"/>
  <c r="X208" i="14"/>
  <c r="X195" i="14"/>
  <c r="X193" i="14"/>
  <c r="X209" i="14"/>
  <c r="X200" i="14"/>
  <c r="X196" i="14"/>
  <c r="X205" i="14"/>
  <c r="X198" i="14"/>
  <c r="X210" i="14"/>
  <c r="X197" i="14"/>
  <c r="X212" i="14"/>
  <c r="X199" i="14"/>
  <c r="FX37" i="14"/>
  <c r="FX38" i="14" s="1"/>
  <c r="FY37" i="14" s="1"/>
  <c r="FY38" i="14" s="1"/>
  <c r="FZ37" i="14" s="1"/>
  <c r="FZ38" i="14" s="1"/>
  <c r="GA37" i="14" s="1"/>
  <c r="GA38" i="14" s="1"/>
  <c r="GB37" i="14" s="1"/>
  <c r="GB38" i="14" s="1"/>
  <c r="GC37" i="14" s="1"/>
  <c r="GC38" i="14" s="1"/>
  <c r="GD37" i="14" s="1"/>
  <c r="GD38" i="14" s="1"/>
  <c r="GE37" i="14" s="1"/>
  <c r="GE38" i="14" s="1"/>
  <c r="GF37" i="14" s="1"/>
  <c r="GF38" i="14" s="1"/>
  <c r="GG37" i="14" s="1"/>
  <c r="GG38" i="14" s="1"/>
  <c r="GH37" i="14" s="1"/>
  <c r="GH38" i="14" s="1"/>
  <c r="AL9" i="15"/>
  <c r="AG7" i="8" s="1"/>
  <c r="AG35" i="8" s="1"/>
  <c r="AK9" i="15"/>
  <c r="AF7" i="8" s="1"/>
  <c r="AF35" i="8" s="1"/>
  <c r="Q9" i="8"/>
  <c r="Q37" i="8" s="1"/>
  <c r="H11" i="15"/>
  <c r="V6" i="15"/>
  <c r="AF256" i="14" l="1"/>
  <c r="AF230" i="14"/>
  <c r="AF229" i="14"/>
  <c r="AF231" i="14"/>
  <c r="AF232" i="14"/>
  <c r="AF286" i="14"/>
  <c r="AF288" i="14"/>
  <c r="AF292" i="14"/>
  <c r="AF290" i="14"/>
  <c r="AF283" i="14"/>
  <c r="AF289" i="14"/>
  <c r="AF287" i="14"/>
  <c r="AF284" i="14"/>
  <c r="AF285" i="14"/>
  <c r="AF291" i="14"/>
  <c r="AD267" i="14"/>
  <c r="AF248" i="14"/>
  <c r="AF247" i="14"/>
  <c r="AD266" i="14"/>
  <c r="AD269" i="14"/>
  <c r="AD265" i="14"/>
  <c r="AD270" i="14"/>
  <c r="AE275" i="14"/>
  <c r="AE278" i="14"/>
  <c r="AE279" i="14"/>
  <c r="AE281" i="14"/>
  <c r="AE280" i="14"/>
  <c r="AE276" i="14"/>
  <c r="AE282" i="14"/>
  <c r="AE277" i="14"/>
  <c r="AE274" i="14"/>
  <c r="AD268" i="14"/>
  <c r="AD271" i="14"/>
  <c r="AD272" i="14"/>
  <c r="AD221" i="14"/>
  <c r="AD222" i="14"/>
  <c r="AE225" i="14"/>
  <c r="AE226" i="14"/>
  <c r="AE227" i="14"/>
  <c r="AE241" i="14"/>
  <c r="AD228" i="14"/>
  <c r="AE234" i="14"/>
  <c r="AE233" i="14"/>
  <c r="AF238" i="14"/>
  <c r="AF239" i="14"/>
  <c r="AF240" i="14"/>
  <c r="AD264" i="14"/>
  <c r="AD263" i="14"/>
  <c r="AE273" i="14"/>
  <c r="AB248" i="14"/>
  <c r="AB247" i="14"/>
  <c r="AB252" i="14"/>
  <c r="AB251" i="14"/>
  <c r="AC217" i="14"/>
  <c r="AC261" i="14"/>
  <c r="AC256" i="14"/>
  <c r="AC262" i="14"/>
  <c r="AC258" i="14"/>
  <c r="AC260" i="14"/>
  <c r="AC257" i="14"/>
  <c r="AC259" i="14"/>
  <c r="AB250" i="14"/>
  <c r="Z226" i="14"/>
  <c r="Y219" i="14"/>
  <c r="AA242" i="14"/>
  <c r="Y221" i="14"/>
  <c r="Z232" i="14"/>
  <c r="Z225" i="14"/>
  <c r="Y217" i="14"/>
  <c r="Z223" i="14"/>
  <c r="AA240" i="14"/>
  <c r="Z229" i="14"/>
  <c r="AA238" i="14"/>
  <c r="Z224" i="14"/>
  <c r="Y215" i="14"/>
  <c r="Y220" i="14"/>
  <c r="Y222" i="14"/>
  <c r="AA241" i="14"/>
  <c r="Z231" i="14"/>
  <c r="AB249" i="14"/>
  <c r="Z230" i="14"/>
  <c r="Y218" i="14"/>
  <c r="Y216" i="14"/>
  <c r="AA239" i="14"/>
  <c r="Z227" i="14"/>
  <c r="Y214" i="14"/>
  <c r="AB243" i="14"/>
  <c r="AB244" i="14"/>
  <c r="AB245" i="14"/>
  <c r="AB246" i="14"/>
  <c r="AC253" i="14"/>
  <c r="AC255" i="14"/>
  <c r="AC254" i="14"/>
  <c r="Z228" i="14"/>
  <c r="AA235" i="14"/>
  <c r="AA236" i="14"/>
  <c r="AA237" i="14"/>
  <c r="AA233" i="14"/>
  <c r="AA234" i="14"/>
  <c r="Y211" i="14"/>
  <c r="Y201" i="14"/>
  <c r="Y203" i="14"/>
  <c r="Y198" i="14"/>
  <c r="Y207" i="14"/>
  <c r="Y204" i="14"/>
  <c r="Y197" i="14"/>
  <c r="Y194" i="14"/>
  <c r="Y206" i="14"/>
  <c r="Y209" i="14"/>
  <c r="Y196" i="14"/>
  <c r="Y202" i="14"/>
  <c r="Y212" i="14"/>
  <c r="Y193" i="14"/>
  <c r="Y205" i="14"/>
  <c r="Y210" i="14"/>
  <c r="Y199" i="14"/>
  <c r="Y213" i="14"/>
  <c r="Y195" i="14"/>
  <c r="Y208" i="14"/>
  <c r="Y200" i="14"/>
  <c r="X192" i="14"/>
  <c r="Y7" i="15" s="1"/>
  <c r="N7" i="19" s="1"/>
  <c r="G62" i="14"/>
  <c r="G61" i="14"/>
  <c r="G63" i="14"/>
  <c r="G64" i="14"/>
  <c r="AK8" i="15"/>
  <c r="AF6" i="8" s="1"/>
  <c r="AF34" i="8" s="1"/>
  <c r="AF5" i="8"/>
  <c r="AK10" i="15"/>
  <c r="AF8" i="8" s="1"/>
  <c r="AF36" i="8" s="1"/>
  <c r="AG5" i="8"/>
  <c r="AL10" i="15"/>
  <c r="AG8" i="8" s="1"/>
  <c r="AG36" i="8" s="1"/>
  <c r="AL8" i="15"/>
  <c r="X8" i="15"/>
  <c r="X10" i="15"/>
  <c r="S8" i="8" s="1"/>
  <c r="S36" i="8" s="1"/>
  <c r="S5" i="8"/>
  <c r="X9" i="15"/>
  <c r="S7" i="8" s="1"/>
  <c r="S35" i="8" s="1"/>
  <c r="AQ10" i="15"/>
  <c r="AQ8" i="15"/>
  <c r="AQ9" i="15"/>
  <c r="AL5" i="8"/>
  <c r="AI10" i="15"/>
  <c r="AD8" i="8" s="1"/>
  <c r="AD36" i="8" s="1"/>
  <c r="AD5" i="8"/>
  <c r="AI9" i="15"/>
  <c r="AD7" i="8" s="1"/>
  <c r="AD35" i="8" s="1"/>
  <c r="AI8" i="15"/>
  <c r="AJ5" i="8"/>
  <c r="AO9" i="15"/>
  <c r="AJ7" i="8" s="1"/>
  <c r="AJ35" i="8" s="1"/>
  <c r="AO8" i="15"/>
  <c r="AO10" i="15"/>
  <c r="AJ8" i="8" s="1"/>
  <c r="AJ36" i="8" s="1"/>
  <c r="B9" i="8"/>
  <c r="Q4" i="8"/>
  <c r="AJ10" i="15"/>
  <c r="AE8" i="8" s="1"/>
  <c r="AE36" i="8" s="1"/>
  <c r="AJ9" i="15"/>
  <c r="AE7" i="8" s="1"/>
  <c r="AE35" i="8" s="1"/>
  <c r="AE5" i="8"/>
  <c r="AJ8" i="15"/>
  <c r="AI5" i="8"/>
  <c r="AN10" i="15"/>
  <c r="AI8" i="8" s="1"/>
  <c r="AI36" i="8" s="1"/>
  <c r="AN8" i="15"/>
  <c r="AN9" i="15"/>
  <c r="AI7" i="8" s="1"/>
  <c r="AI35" i="8" s="1"/>
  <c r="AP8" i="15"/>
  <c r="AK5" i="8"/>
  <c r="AP9" i="15"/>
  <c r="AK7" i="8" s="1"/>
  <c r="AK35" i="8" s="1"/>
  <c r="AP10" i="15"/>
  <c r="AK8" i="8" s="1"/>
  <c r="AK36" i="8" s="1"/>
  <c r="AM10" i="15"/>
  <c r="AH8" i="8" s="1"/>
  <c r="AH36" i="8" s="1"/>
  <c r="AM8" i="15"/>
  <c r="AM9" i="15"/>
  <c r="AH7" i="8" s="1"/>
  <c r="AH35" i="8" s="1"/>
  <c r="AH5" i="8"/>
  <c r="AF33" i="8" l="1"/>
  <c r="AF44" i="8" s="1"/>
  <c r="AG230" i="14"/>
  <c r="AG232" i="14"/>
  <c r="AG229" i="14"/>
  <c r="AG231" i="14"/>
  <c r="AG262" i="14"/>
  <c r="AG261" i="14"/>
  <c r="AG257" i="14"/>
  <c r="AG258" i="14"/>
  <c r="AG259" i="14"/>
  <c r="AG256" i="14"/>
  <c r="AG260" i="14"/>
  <c r="AG289" i="14"/>
  <c r="AG284" i="14"/>
  <c r="AG290" i="14"/>
  <c r="AG287" i="14"/>
  <c r="AG291" i="14"/>
  <c r="AG285" i="14"/>
  <c r="AG292" i="14"/>
  <c r="AG288" i="14"/>
  <c r="AG286" i="14"/>
  <c r="AG283" i="14"/>
  <c r="AG247" i="14"/>
  <c r="AG251" i="14"/>
  <c r="AG249" i="14"/>
  <c r="AG252" i="14"/>
  <c r="AG248" i="14"/>
  <c r="AG250" i="14"/>
  <c r="AG266" i="14"/>
  <c r="AG267" i="14"/>
  <c r="AG270" i="14"/>
  <c r="AG268" i="14"/>
  <c r="AG272" i="14"/>
  <c r="AG271" i="14"/>
  <c r="AG265" i="14"/>
  <c r="AG269" i="14"/>
  <c r="AG276" i="14"/>
  <c r="AG280" i="14"/>
  <c r="AG274" i="14"/>
  <c r="AG278" i="14"/>
  <c r="AG282" i="14"/>
  <c r="AG281" i="14"/>
  <c r="AG277" i="14"/>
  <c r="AG279" i="14"/>
  <c r="AG275" i="14"/>
  <c r="AF252" i="14"/>
  <c r="AF254" i="14"/>
  <c r="AF253" i="14"/>
  <c r="AF249" i="14"/>
  <c r="AF251" i="14"/>
  <c r="AF255" i="14"/>
  <c r="AF250" i="14"/>
  <c r="AF279" i="14"/>
  <c r="AF277" i="14"/>
  <c r="AF282" i="14"/>
  <c r="AF275" i="14"/>
  <c r="AF274" i="14"/>
  <c r="AF276" i="14"/>
  <c r="AF280" i="14"/>
  <c r="AF281" i="14"/>
  <c r="AF278" i="14"/>
  <c r="AE265" i="14"/>
  <c r="AE266" i="14"/>
  <c r="AE268" i="14"/>
  <c r="AE270" i="14"/>
  <c r="AE271" i="14"/>
  <c r="AE267" i="14"/>
  <c r="AE269" i="14"/>
  <c r="AE272" i="14"/>
  <c r="AE224" i="14"/>
  <c r="AE222" i="14"/>
  <c r="AE221" i="14"/>
  <c r="AE223" i="14"/>
  <c r="AF227" i="14"/>
  <c r="AF228" i="14"/>
  <c r="AF226" i="14"/>
  <c r="AF225" i="14"/>
  <c r="AE228" i="14"/>
  <c r="AE231" i="14"/>
  <c r="AE230" i="14"/>
  <c r="AE229" i="14"/>
  <c r="AE232" i="14"/>
  <c r="AF234" i="14"/>
  <c r="AF236" i="14"/>
  <c r="AF237" i="14"/>
  <c r="AF233" i="14"/>
  <c r="AF235" i="14"/>
  <c r="AG241" i="14"/>
  <c r="AG238" i="14"/>
  <c r="AG242" i="14"/>
  <c r="AG239" i="14"/>
  <c r="AG240" i="14"/>
  <c r="AF258" i="14"/>
  <c r="AF264" i="14"/>
  <c r="AF257" i="14"/>
  <c r="AF261" i="14"/>
  <c r="AF259" i="14"/>
  <c r="AF262" i="14"/>
  <c r="AF260" i="14"/>
  <c r="AF263" i="14"/>
  <c r="AE237" i="14"/>
  <c r="AE236" i="14"/>
  <c r="AE235" i="14"/>
  <c r="AE239" i="14"/>
  <c r="AE238" i="14"/>
  <c r="AE240" i="14"/>
  <c r="AF243" i="14"/>
  <c r="AF241" i="14"/>
  <c r="AF242" i="14"/>
  <c r="AF245" i="14"/>
  <c r="AF244" i="14"/>
  <c r="AF246" i="14"/>
  <c r="AE249" i="14"/>
  <c r="AE252" i="14"/>
  <c r="AE253" i="14"/>
  <c r="AE254" i="14"/>
  <c r="AE251" i="14"/>
  <c r="AE250" i="14"/>
  <c r="AE255" i="14"/>
  <c r="AE259" i="14"/>
  <c r="AE260" i="14"/>
  <c r="AE257" i="14"/>
  <c r="AE263" i="14"/>
  <c r="AE264" i="14"/>
  <c r="AE262" i="14"/>
  <c r="AE258" i="14"/>
  <c r="AE256" i="14"/>
  <c r="AE261" i="14"/>
  <c r="AF271" i="14"/>
  <c r="AF266" i="14"/>
  <c r="AF265" i="14"/>
  <c r="AF273" i="14"/>
  <c r="AF272" i="14"/>
  <c r="AF269" i="14"/>
  <c r="AF268" i="14"/>
  <c r="AF267" i="14"/>
  <c r="AF270" i="14"/>
  <c r="AC223" i="14"/>
  <c r="AE245" i="14"/>
  <c r="AE243" i="14"/>
  <c r="AE242" i="14"/>
  <c r="AE246" i="14"/>
  <c r="AE244" i="14"/>
  <c r="AE247" i="14"/>
  <c r="AE248" i="14"/>
  <c r="AB241" i="14"/>
  <c r="AB239" i="14"/>
  <c r="AA231" i="14"/>
  <c r="AB238" i="14"/>
  <c r="AA213" i="14"/>
  <c r="AB218" i="14"/>
  <c r="AB219" i="14"/>
  <c r="AC226" i="14"/>
  <c r="AC225" i="14"/>
  <c r="AA209" i="14"/>
  <c r="AD233" i="14"/>
  <c r="AD229" i="14"/>
  <c r="AD234" i="14"/>
  <c r="AD232" i="14"/>
  <c r="AD230" i="14"/>
  <c r="AD231" i="14"/>
  <c r="AC227" i="14"/>
  <c r="AC224" i="14"/>
  <c r="AB220" i="14"/>
  <c r="AC250" i="14"/>
  <c r="Z220" i="14"/>
  <c r="AB242" i="14"/>
  <c r="AC251" i="14"/>
  <c r="AC247" i="14"/>
  <c r="AC220" i="14"/>
  <c r="AC219" i="14"/>
  <c r="AB214" i="14"/>
  <c r="AC218" i="14"/>
  <c r="AB216" i="14"/>
  <c r="AA210" i="14"/>
  <c r="AA212" i="14"/>
  <c r="AA211" i="14"/>
  <c r="AB213" i="14"/>
  <c r="AC222" i="14"/>
  <c r="AC221" i="14"/>
  <c r="AD227" i="14"/>
  <c r="AD226" i="14"/>
  <c r="AD224" i="14"/>
  <c r="AD223" i="14"/>
  <c r="AD225" i="14"/>
  <c r="AB217" i="14"/>
  <c r="AB215" i="14"/>
  <c r="AC248" i="14"/>
  <c r="AA206" i="14"/>
  <c r="AA207" i="14"/>
  <c r="AA208" i="14"/>
  <c r="AA205" i="14"/>
  <c r="AB210" i="14"/>
  <c r="AB212" i="14"/>
  <c r="AB209" i="14"/>
  <c r="AB211" i="14"/>
  <c r="AC215" i="14"/>
  <c r="AC214" i="14"/>
  <c r="AC216" i="14"/>
  <c r="AC213" i="14"/>
  <c r="AD218" i="14"/>
  <c r="AD220" i="14"/>
  <c r="AD219" i="14"/>
  <c r="AD217" i="14"/>
  <c r="AC236" i="14"/>
  <c r="AD260" i="14"/>
  <c r="AD259" i="14"/>
  <c r="AD258" i="14"/>
  <c r="AD261" i="14"/>
  <c r="AD257" i="14"/>
  <c r="AD262" i="14"/>
  <c r="AD256" i="14"/>
  <c r="Z222" i="14"/>
  <c r="AA230" i="14"/>
  <c r="Z221" i="14"/>
  <c r="AA232" i="14"/>
  <c r="AA229" i="14"/>
  <c r="AC252" i="14"/>
  <c r="AC249" i="14"/>
  <c r="AB240" i="14"/>
  <c r="AA224" i="14"/>
  <c r="AD243" i="14"/>
  <c r="AD244" i="14"/>
  <c r="AD245" i="14"/>
  <c r="AD246" i="14"/>
  <c r="AD242" i="14"/>
  <c r="AB228" i="14"/>
  <c r="AC237" i="14"/>
  <c r="AC235" i="14"/>
  <c r="AC239" i="14"/>
  <c r="AA225" i="14"/>
  <c r="AA226" i="14"/>
  <c r="Z214" i="14"/>
  <c r="AB233" i="14"/>
  <c r="AC238" i="14"/>
  <c r="AB232" i="14"/>
  <c r="AB230" i="14"/>
  <c r="AA223" i="14"/>
  <c r="Z217" i="14"/>
  <c r="AC241" i="14"/>
  <c r="AA221" i="14"/>
  <c r="AA222" i="14"/>
  <c r="Z219" i="14"/>
  <c r="Z218" i="14"/>
  <c r="AA227" i="14"/>
  <c r="Z216" i="14"/>
  <c r="AB229" i="14"/>
  <c r="Z215" i="14"/>
  <c r="AB231" i="14"/>
  <c r="AB234" i="14"/>
  <c r="AC244" i="14"/>
  <c r="AC246" i="14"/>
  <c r="AC242" i="14"/>
  <c r="AC243" i="14"/>
  <c r="AC245" i="14"/>
  <c r="AD248" i="14"/>
  <c r="AD255" i="14"/>
  <c r="AD254" i="14"/>
  <c r="AD253" i="14"/>
  <c r="AD252" i="14"/>
  <c r="AD250" i="14"/>
  <c r="AD249" i="14"/>
  <c r="AD247" i="14"/>
  <c r="AD251" i="14"/>
  <c r="AB236" i="14"/>
  <c r="AB237" i="14"/>
  <c r="AB235" i="14"/>
  <c r="AA228" i="14"/>
  <c r="AC240" i="14"/>
  <c r="Y8" i="15"/>
  <c r="Y10" i="15"/>
  <c r="T8" i="8" s="1"/>
  <c r="T36" i="8" s="1"/>
  <c r="Y192" i="14"/>
  <c r="Z7" i="15" s="1"/>
  <c r="O7" i="19" s="1"/>
  <c r="T5" i="8"/>
  <c r="Z206" i="14"/>
  <c r="Z198" i="14"/>
  <c r="Z195" i="14"/>
  <c r="Z197" i="14"/>
  <c r="Z199" i="14"/>
  <c r="Z212" i="14"/>
  <c r="Z213" i="14"/>
  <c r="Z209" i="14"/>
  <c r="Z208" i="14"/>
  <c r="Z205" i="14"/>
  <c r="Z202" i="14"/>
  <c r="Z204" i="14"/>
  <c r="Z211" i="14"/>
  <c r="Z201" i="14"/>
  <c r="Z196" i="14"/>
  <c r="Z200" i="14"/>
  <c r="Z194" i="14"/>
  <c r="Z193" i="14"/>
  <c r="Z210" i="14"/>
  <c r="Z207" i="14"/>
  <c r="Z203" i="14"/>
  <c r="AA216" i="14"/>
  <c r="AA220" i="14"/>
  <c r="AA214" i="14"/>
  <c r="AA219" i="14"/>
  <c r="AA215" i="14"/>
  <c r="AA217" i="14"/>
  <c r="AA218" i="14"/>
  <c r="AB227" i="14"/>
  <c r="AB226" i="14"/>
  <c r="AB223" i="14"/>
  <c r="AB222" i="14"/>
  <c r="AB224" i="14"/>
  <c r="AB225" i="14"/>
  <c r="AB221" i="14"/>
  <c r="AC232" i="14"/>
  <c r="AC234" i="14"/>
  <c r="AC231" i="14"/>
  <c r="AC230" i="14"/>
  <c r="AC228" i="14"/>
  <c r="AC229" i="14"/>
  <c r="AC233" i="14"/>
  <c r="AD239" i="14"/>
  <c r="AD241" i="14"/>
  <c r="AD240" i="14"/>
  <c r="AD238" i="14"/>
  <c r="AD236" i="14"/>
  <c r="AD237" i="14"/>
  <c r="AD235" i="14"/>
  <c r="Y9" i="15"/>
  <c r="T7" i="8" s="1"/>
  <c r="T35" i="8" s="1"/>
  <c r="AK6" i="15"/>
  <c r="AL6" i="15"/>
  <c r="AG6" i="8"/>
  <c r="AL7" i="8"/>
  <c r="AL35" i="8" s="1"/>
  <c r="AM6" i="15"/>
  <c r="AH6" i="8"/>
  <c r="AP6" i="15"/>
  <c r="AK6" i="8"/>
  <c r="AQ6" i="15"/>
  <c r="AL6" i="8"/>
  <c r="AL34" i="8" s="1"/>
  <c r="E37" i="8"/>
  <c r="Q33" i="8"/>
  <c r="AL8" i="8"/>
  <c r="AL36" i="8" s="1"/>
  <c r="AE6" i="8"/>
  <c r="AE34" i="8" s="1"/>
  <c r="AJ6" i="15"/>
  <c r="AI6" i="15"/>
  <c r="AD6" i="8"/>
  <c r="AD34" i="8" s="1"/>
  <c r="AO6" i="15"/>
  <c r="AJ6" i="8"/>
  <c r="AF4" i="8"/>
  <c r="AN6" i="15"/>
  <c r="AI6" i="8"/>
  <c r="S6" i="8"/>
  <c r="S34" i="8" s="1"/>
  <c r="X6" i="15"/>
  <c r="AI34" i="8" l="1"/>
  <c r="AI33" i="8" s="1"/>
  <c r="AK34" i="8"/>
  <c r="AK33" i="8" s="1"/>
  <c r="AH34" i="8"/>
  <c r="AH33" i="8" s="1"/>
  <c r="AJ34" i="8"/>
  <c r="AJ33" i="8" s="1"/>
  <c r="AG34" i="8"/>
  <c r="AG33" i="8" s="1"/>
  <c r="AF39" i="8"/>
  <c r="AF42" i="8" s="1"/>
  <c r="Q39" i="8"/>
  <c r="Q44" i="8"/>
  <c r="AL33" i="8"/>
  <c r="AL44" i="8" s="1"/>
  <c r="AG4" i="8"/>
  <c r="AG192" i="14"/>
  <c r="AH7" i="15" s="1"/>
  <c r="W7" i="19" s="1"/>
  <c r="AF192" i="14"/>
  <c r="AG7" i="15" s="1"/>
  <c r="V7" i="19" s="1"/>
  <c r="AE192" i="14"/>
  <c r="AF7" i="15" s="1"/>
  <c r="U7" i="19" s="1"/>
  <c r="Y6" i="15"/>
  <c r="T6" i="8"/>
  <c r="T34" i="8" s="1"/>
  <c r="AD192" i="14"/>
  <c r="Z192" i="14"/>
  <c r="AA7" i="15" s="1"/>
  <c r="P7" i="19" s="1"/>
  <c r="AA192" i="14"/>
  <c r="AB7" i="15" s="1"/>
  <c r="Q7" i="19" s="1"/>
  <c r="Z8" i="15"/>
  <c r="Z10" i="15"/>
  <c r="Z9" i="15"/>
  <c r="U5" i="8"/>
  <c r="AC192" i="14"/>
  <c r="AD7" i="15" s="1"/>
  <c r="S7" i="19" s="1"/>
  <c r="AB192" i="14"/>
  <c r="AC7" i="15" s="1"/>
  <c r="R7" i="19" s="1"/>
  <c r="AD4" i="8"/>
  <c r="AD33" i="8"/>
  <c r="AE4" i="8"/>
  <c r="AE33" i="8"/>
  <c r="S33" i="8"/>
  <c r="S4" i="8"/>
  <c r="AL4" i="8"/>
  <c r="AH4" i="8"/>
  <c r="AK4" i="8"/>
  <c r="AJ4" i="8"/>
  <c r="AI4" i="8"/>
  <c r="AK44" i="8" l="1"/>
  <c r="AK39" i="8"/>
  <c r="AK42" i="8" s="1"/>
  <c r="AG44" i="8"/>
  <c r="AG39" i="8"/>
  <c r="AG42" i="8" s="1"/>
  <c r="AJ44" i="8"/>
  <c r="AJ39" i="8"/>
  <c r="AJ43" i="8" s="1"/>
  <c r="AH44" i="8"/>
  <c r="AH39" i="8"/>
  <c r="AH43" i="8" s="1"/>
  <c r="AI44" i="8"/>
  <c r="AI39" i="8"/>
  <c r="AI42" i="8" s="1"/>
  <c r="AF43" i="8"/>
  <c r="AD39" i="8"/>
  <c r="AD44" i="8"/>
  <c r="AE39" i="8"/>
  <c r="AE44" i="8"/>
  <c r="S39" i="8"/>
  <c r="S44" i="8"/>
  <c r="Q40" i="8"/>
  <c r="Q43" i="8"/>
  <c r="Q42" i="8"/>
  <c r="T33" i="8"/>
  <c r="T4" i="8"/>
  <c r="AH10" i="15"/>
  <c r="AC8" i="8" s="1"/>
  <c r="AC36" i="8" s="1"/>
  <c r="AC5" i="8"/>
  <c r="AH8" i="15"/>
  <c r="AH9" i="15"/>
  <c r="AC7" i="8" s="1"/>
  <c r="AC35" i="8" s="1"/>
  <c r="AG9" i="15"/>
  <c r="AB7" i="8" s="1"/>
  <c r="AB35" i="8" s="1"/>
  <c r="AG8" i="15"/>
  <c r="AB5" i="8"/>
  <c r="AG10" i="15"/>
  <c r="AB8" i="8" s="1"/>
  <c r="AB36" i="8" s="1"/>
  <c r="AF9" i="15"/>
  <c r="AA7" i="8" s="1"/>
  <c r="AA35" i="8" s="1"/>
  <c r="AF10" i="15"/>
  <c r="AA8" i="8" s="1"/>
  <c r="AA36" i="8" s="1"/>
  <c r="AA5" i="8"/>
  <c r="AF8" i="15"/>
  <c r="AE7" i="15"/>
  <c r="U8" i="8"/>
  <c r="U36" i="8" s="1"/>
  <c r="U6" i="8"/>
  <c r="U34" i="8" s="1"/>
  <c r="Z6" i="15"/>
  <c r="X5" i="8"/>
  <c r="AC8" i="15"/>
  <c r="AC10" i="15"/>
  <c r="X8" i="8" s="1"/>
  <c r="X36" i="8" s="1"/>
  <c r="AC9" i="15"/>
  <c r="X7" i="8" s="1"/>
  <c r="X35" i="8" s="1"/>
  <c r="U7" i="8"/>
  <c r="U35" i="8" s="1"/>
  <c r="AB10" i="15"/>
  <c r="W8" i="8" s="1"/>
  <c r="W36" i="8" s="1"/>
  <c r="AB8" i="15"/>
  <c r="AB9" i="15"/>
  <c r="W7" i="8" s="1"/>
  <c r="W35" i="8" s="1"/>
  <c r="W5" i="8"/>
  <c r="AD10" i="15"/>
  <c r="Y8" i="8" s="1"/>
  <c r="Y36" i="8" s="1"/>
  <c r="AD9" i="15"/>
  <c r="Y7" i="8" s="1"/>
  <c r="Y35" i="8" s="1"/>
  <c r="Y5" i="8"/>
  <c r="AD8" i="15"/>
  <c r="AA9" i="15"/>
  <c r="V7" i="8" s="1"/>
  <c r="V35" i="8" s="1"/>
  <c r="AA10" i="15"/>
  <c r="V8" i="8" s="1"/>
  <c r="V36" i="8" s="1"/>
  <c r="AA8" i="15"/>
  <c r="V5" i="8"/>
  <c r="AE8" i="15" l="1"/>
  <c r="Z6" i="8" s="1"/>
  <c r="Z34" i="8" s="1"/>
  <c r="T7" i="19"/>
  <c r="AH42" i="8"/>
  <c r="AG43" i="8"/>
  <c r="AJ42" i="8"/>
  <c r="AK43" i="8"/>
  <c r="AI43" i="8"/>
  <c r="T39" i="8"/>
  <c r="T44" i="8"/>
  <c r="S43" i="8"/>
  <c r="S42" i="8"/>
  <c r="AE43" i="8"/>
  <c r="AE42" i="8"/>
  <c r="AD42" i="8"/>
  <c r="AD43" i="8"/>
  <c r="R40" i="8"/>
  <c r="S40" i="8" s="1"/>
  <c r="Q46" i="8"/>
  <c r="Q45" i="8"/>
  <c r="C12" i="16"/>
  <c r="AC6" i="8"/>
  <c r="AC34" i="8" s="1"/>
  <c r="AH6" i="15"/>
  <c r="AB6" i="8"/>
  <c r="AB34" i="8" s="1"/>
  <c r="AG6" i="15"/>
  <c r="AA6" i="8"/>
  <c r="AA34" i="8" s="1"/>
  <c r="AF6" i="15"/>
  <c r="AE9" i="15"/>
  <c r="Z7" i="8" s="1"/>
  <c r="Z35" i="8" s="1"/>
  <c r="Z5" i="8"/>
  <c r="B5" i="8" s="1"/>
  <c r="AE10" i="15"/>
  <c r="Z8" i="8" s="1"/>
  <c r="Z36" i="8" s="1"/>
  <c r="H7" i="15"/>
  <c r="AB6" i="15"/>
  <c r="W6" i="8"/>
  <c r="W34" i="8" s="1"/>
  <c r="AC6" i="15"/>
  <c r="X6" i="8"/>
  <c r="X34" i="8" s="1"/>
  <c r="AA6" i="15"/>
  <c r="V6" i="8"/>
  <c r="V34" i="8" s="1"/>
  <c r="AD6" i="15"/>
  <c r="Y6" i="8"/>
  <c r="Y34" i="8" s="1"/>
  <c r="H8" i="15"/>
  <c r="C16" i="16" s="1"/>
  <c r="U4" i="8"/>
  <c r="AL39" i="8"/>
  <c r="S46" i="8" l="1"/>
  <c r="S45" i="8"/>
  <c r="AL42" i="8"/>
  <c r="AL43" i="8"/>
  <c r="R45" i="8"/>
  <c r="R46" i="8"/>
  <c r="T40" i="8"/>
  <c r="T43" i="8"/>
  <c r="T42" i="8"/>
  <c r="B8" i="8"/>
  <c r="E36" i="8"/>
  <c r="H9" i="15"/>
  <c r="B7" i="8"/>
  <c r="E35" i="8"/>
  <c r="Z33" i="8"/>
  <c r="Z4" i="8"/>
  <c r="H10" i="15"/>
  <c r="AE6" i="15"/>
  <c r="H6" i="15" s="1"/>
  <c r="AC4" i="8"/>
  <c r="AC33" i="8"/>
  <c r="AB4" i="8"/>
  <c r="AB33" i="8"/>
  <c r="AA4" i="8"/>
  <c r="AA33" i="8"/>
  <c r="B6" i="8"/>
  <c r="U33" i="8"/>
  <c r="U44" i="8" s="1"/>
  <c r="W4" i="8"/>
  <c r="W33" i="8"/>
  <c r="Y4" i="8"/>
  <c r="Y33" i="8"/>
  <c r="V33" i="8"/>
  <c r="V4" i="8"/>
  <c r="X33" i="8"/>
  <c r="X4" i="8"/>
  <c r="V39" i="8" l="1"/>
  <c r="V44" i="8"/>
  <c r="AB39" i="8"/>
  <c r="AB44" i="8"/>
  <c r="Z39" i="8"/>
  <c r="Z44" i="8"/>
  <c r="X39" i="8"/>
  <c r="X44" i="8"/>
  <c r="Y39" i="8"/>
  <c r="Y44" i="8"/>
  <c r="W39" i="8"/>
  <c r="W44" i="8"/>
  <c r="AA39" i="8"/>
  <c r="AA44" i="8"/>
  <c r="AC39" i="8"/>
  <c r="AC44" i="8"/>
  <c r="T46" i="8"/>
  <c r="T45" i="8"/>
  <c r="E33" i="8"/>
  <c r="E34" i="8"/>
  <c r="B4" i="8"/>
  <c r="U39" i="8"/>
  <c r="U43" i="8" l="1"/>
  <c r="U42" i="8"/>
  <c r="X43" i="8"/>
  <c r="X42" i="8"/>
  <c r="AB42" i="8"/>
  <c r="AB43" i="8"/>
  <c r="Y42" i="8"/>
  <c r="Y43" i="8"/>
  <c r="Z42" i="8"/>
  <c r="Z43" i="8"/>
  <c r="AC43" i="8"/>
  <c r="AC42" i="8"/>
  <c r="AA42" i="8"/>
  <c r="AA43" i="8"/>
  <c r="W43" i="8"/>
  <c r="W42" i="8"/>
  <c r="V43" i="8"/>
  <c r="V42" i="8"/>
  <c r="U40" i="8"/>
  <c r="E39" i="8"/>
  <c r="D45" i="8"/>
  <c r="D44" i="8"/>
  <c r="U45" i="8" l="1"/>
  <c r="U46" i="8"/>
  <c r="C19" i="16"/>
  <c r="V40" i="8"/>
  <c r="W40" i="8" l="1"/>
  <c r="V46" i="8"/>
  <c r="V45" i="8"/>
  <c r="X40" i="8" l="1"/>
  <c r="W46" i="8"/>
  <c r="W45" i="8"/>
  <c r="Y40" i="8" l="1"/>
  <c r="X46" i="8"/>
  <c r="X45" i="8"/>
  <c r="Z40" i="8" l="1"/>
  <c r="Y46" i="8"/>
  <c r="Y45" i="8"/>
  <c r="AA40" i="8" l="1"/>
  <c r="Z45" i="8"/>
  <c r="Z46" i="8"/>
  <c r="AB40" i="8" l="1"/>
  <c r="AA45" i="8"/>
  <c r="AA46" i="8"/>
  <c r="AC40" i="8" l="1"/>
  <c r="AB45" i="8"/>
  <c r="AB46" i="8"/>
  <c r="AD40" i="8" l="1"/>
  <c r="AC45" i="8"/>
  <c r="AC46" i="8"/>
  <c r="AE40" i="8" l="1"/>
  <c r="AD45" i="8"/>
  <c r="AD46" i="8"/>
  <c r="AF40" i="8" l="1"/>
  <c r="AE45" i="8"/>
  <c r="AE46" i="8"/>
  <c r="AG40" i="8" l="1"/>
  <c r="AF45" i="8"/>
  <c r="AF46" i="8"/>
  <c r="AH40" i="8" l="1"/>
  <c r="AG45" i="8"/>
  <c r="AG46" i="8"/>
  <c r="AI40" i="8" l="1"/>
  <c r="AH45" i="8"/>
  <c r="AH46" i="8"/>
  <c r="AJ40" i="8" l="1"/>
  <c r="AI45" i="8"/>
  <c r="AI46" i="8"/>
  <c r="AK40" i="8" l="1"/>
  <c r="AJ45" i="8"/>
  <c r="AJ46" i="8"/>
  <c r="AL40" i="8" l="1"/>
  <c r="AK45" i="8"/>
  <c r="AK46" i="8"/>
  <c r="AM40" i="8" l="1"/>
  <c r="AL45" i="8"/>
  <c r="AL46" i="8"/>
  <c r="AN40" i="8" l="1"/>
  <c r="AM46" i="8"/>
  <c r="AM45" i="8"/>
  <c r="AO40" i="8" l="1"/>
  <c r="AN45" i="8"/>
  <c r="AN46" i="8"/>
  <c r="AP40" i="8" l="1"/>
  <c r="AO46" i="8"/>
  <c r="AO45" i="8"/>
  <c r="AQ40" i="8" l="1"/>
  <c r="AP46" i="8"/>
  <c r="AP45" i="8"/>
  <c r="AR40" i="8" l="1"/>
  <c r="AQ45" i="8"/>
  <c r="AQ46" i="8"/>
  <c r="AS40" i="8" l="1"/>
  <c r="AR46" i="8"/>
  <c r="AR45" i="8"/>
  <c r="AT40" i="8" l="1"/>
  <c r="AS46" i="8"/>
  <c r="AS45" i="8"/>
  <c r="AU40" i="8" l="1"/>
  <c r="AT45" i="8"/>
  <c r="AT46" i="8"/>
  <c r="AV40" i="8" l="1"/>
  <c r="AU46" i="8"/>
  <c r="AU45" i="8"/>
  <c r="AW40" i="8" l="1"/>
  <c r="AV45" i="8"/>
  <c r="AV46" i="8"/>
  <c r="AX40" i="8" l="1"/>
  <c r="AW46" i="8"/>
  <c r="AW45" i="8"/>
  <c r="AY40" i="8" l="1"/>
  <c r="D47" i="8" s="1"/>
  <c r="AX45" i="8"/>
  <c r="AX46" i="8"/>
  <c r="D49" i="8" l="1"/>
  <c r="C22" i="16" s="1"/>
  <c r="C20" i="16"/>
  <c r="AY46" i="8"/>
  <c r="AY45" i="8"/>
  <c r="D48" i="8"/>
  <c r="C21" i="16" s="1"/>
  <c r="D50" i="8" l="1"/>
  <c r="C23" i="16" s="1"/>
</calcChain>
</file>

<file path=xl/comments1.xml><?xml version="1.0" encoding="utf-8"?>
<comments xmlns="http://schemas.openxmlformats.org/spreadsheetml/2006/main">
  <authors>
    <author>Franco Sivila</author>
  </authors>
  <commentList>
    <comment ref="C48" authorId="0" shapeId="0">
      <text>
        <r>
          <rPr>
            <b/>
            <sz val="9"/>
            <color indexed="81"/>
            <rFont val="Tahoma"/>
            <family val="2"/>
          </rPr>
          <t>Franco Sivila:</t>
        </r>
        <r>
          <rPr>
            <sz val="9"/>
            <color indexed="81"/>
            <rFont val="Tahoma"/>
            <family val="2"/>
          </rPr>
          <t xml:space="preserve">
Worst financial position over the life of the project</t>
        </r>
      </text>
    </comment>
    <comment ref="C49" authorId="0" shapeId="0">
      <text>
        <r>
          <rPr>
            <b/>
            <sz val="9"/>
            <color indexed="81"/>
            <rFont val="Tahoma"/>
            <family val="2"/>
          </rPr>
          <t>Franco Sivila:</t>
        </r>
        <r>
          <rPr>
            <sz val="9"/>
            <color indexed="81"/>
            <rFont val="Tahoma"/>
            <family val="2"/>
          </rPr>
          <t xml:space="preserve">
End point of Cumulative Cash Flow</t>
        </r>
      </text>
    </comment>
  </commentList>
</comments>
</file>

<file path=xl/sharedStrings.xml><?xml version="1.0" encoding="utf-8"?>
<sst xmlns="http://schemas.openxmlformats.org/spreadsheetml/2006/main" count="380" uniqueCount="203">
  <si>
    <t>decimal</t>
  </si>
  <si>
    <t>Total</t>
  </si>
  <si>
    <t>b</t>
  </si>
  <si>
    <t>GLP</t>
  </si>
  <si>
    <t>Merma</t>
  </si>
  <si>
    <t>Yield Condensado</t>
  </si>
  <si>
    <t>Yield Gasolina</t>
  </si>
  <si>
    <t>Yield GLP</t>
  </si>
  <si>
    <t>Workover</t>
  </si>
  <si>
    <t>Yield Gasolina:</t>
  </si>
  <si>
    <t>Yield GLP:</t>
  </si>
  <si>
    <t>Prices</t>
  </si>
  <si>
    <t>Gas Sale</t>
  </si>
  <si>
    <t>Gasoline</t>
  </si>
  <si>
    <t>Gas Produced</t>
  </si>
  <si>
    <t>Oil</t>
  </si>
  <si>
    <t>Revenue</t>
  </si>
  <si>
    <t>NPV</t>
  </si>
  <si>
    <t>IRR</t>
  </si>
  <si>
    <t>Interest Rate</t>
  </si>
  <si>
    <t>CASH FLOW</t>
  </si>
  <si>
    <t>Payback Period</t>
  </si>
  <si>
    <t>Maximum Capital Outlay (MCO)</t>
  </si>
  <si>
    <t>CUMULATIVE CASH FLOW</t>
  </si>
  <si>
    <t>Terminal Cash Surplus (TCS)</t>
  </si>
  <si>
    <t>Profit to Investment Ratio (PIR)</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</si>
  <si>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</si>
  <si>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</si>
  <si>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</si>
  <si>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</si>
  <si>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</si>
  <si>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</si>
  <si>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</si>
  <si>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</si>
  <si>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</si>
  <si>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</si>
  <si>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</si>
  <si>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</si>
  <si>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c1c7070e-bc08-4abd-8bba-d82ccd534f31</t>
  </si>
  <si>
    <t>CB_Block_0</t>
  </si>
  <si>
    <t>Decisioneering:7.0.0.0</t>
  </si>
  <si>
    <t>d3c25350-439a-4dca-9e27-edbc31158a7a</t>
  </si>
  <si>
    <t>CB_Block_7.0.0.0:1</t>
  </si>
  <si>
    <t>㜸〱敤㕣㕢㙣ㅣ㔷ㄹ摥㌳摥㔹敦慣敤搸㡤搳㑢㑡㘹つ愵㉤搴挱㡤搳㠶搲㐲〸扥㌴㤷搶㠹摤搸㐹㐱㠰㌶攳摤㌳昱㌴㍢㌳敥捣慣㘳㤷㑡慤愰攵㈲㙥攲㉡ち〵㑡㠵㉡昱挲攵㠵晢ぢㄲㄲ〸ㄵ㠹〷㜸㐰攲愱㈰〴ㄲ㈰ㄴ㠹ㄷㅥ㤰捡昷㥤㤹搹㥤摤昵㡥摤㙤ぢ㉥昲㐹昷昷㤹㜳㥢㜳捥㝦㍤晦㝦愶㌹㤱换攵㕥㐰攲㕦愶㍣㌳搷㉤㙥〴愱㜴㈶㘶扣㕡㑤㔶㐲摢㜳㠳㠹㈹摦㌷㌷收散㈰散㐳㠳㐲搹㐶㝤愰㤷〳晢㘱㔹㉣慦㐹㍦㐰㈳㍤㤷㉢ㄶつつ昵ㅣ㠴扦㤱攴挱㘰慦挱㍣挰搲捣昴晣昲㠳ㄸ㜵㌱昴㝣㜹㘰散㕣搴昷挸攴攴挴攴挴愱摢敦㥡㥣㌸㜸㘰㙣愶㕥ぢ敢扥㍣攲捡㝡攸㥢戵〳㘳ぢ昵攵㥡㕤戹㑦㙥㉣㜹ㄷ愵㝢㐴㉥ㅦ扣㝤搹扣攳慤㤳㜷ㅣ㍥㙣摤㜵搷㕢〷昱敡摣改㤹改〵㕦㕡挱换㌴愶捥㈹摦㌱㉢㉢㌶搷㈶愵㙦扢ㄷ㈶㘶愶昱㕦㙡晥㜸扡㜳㘲㜱㐵捡㤰慦㤶扥㜴㉢㌲㌰搰㜱挰㤹ち㠲扡戳捡捤㌳㥣㘳㔸㙡挵っ㐲摤㤹㤱戵㥡攱㈴愳ㄶ㥤㜹散㕤捤摣ㄸ㜴ㄶ愵ㅢ搸愱扤㘶㠷ㅢ〵㘷〹〳㔵㠷㥣戳㠱㍣㘳扡ㄷ攴㘹搳㤱扡㜳扣㙥㔷昳㔱捡昵摤㤲っ㤱㥥㤸㕡晥挴㔴攰捣慣㤸扥㥡㔱挰㡤挹㘸㝢捣慦戴戶扤戱晢戸㥣扡㝡〳挷扣愹㝢㍢搴㥣㌳晤㐶换昱敥㉤攳挵户捥攰戶敥敤㔳㝢搴摡攷㑤摤晢愸慤㙣㙤㉤〶㘲晡㔶㍢㡡挵ㄸ〵㠲㝥㠲㈲〱ㄱ㘸㤴〸〶〸〶〱㐴晥㥦攰㤲㜴㐷㔶㘹㘵㔳㉢㉦㙢攵㡡㔶慥㙡㘵愹㤵㉤慤㝣㐱㉢慦㘸㘵㕢㉢㍦愸㤵㉦愲㑤㤲㡡晤晤㕡㥣晥晡捥ㄷ㠶㍦扤慥ㅦ晦晡愱搲昳户晤昳㑢㜷て敥㐱愳晢攳㐹捤晡收㈵㤰㕡㤳㡡て㑤ㅣ攴扦慤戹〲㑣㘱ㅤ戶敥戴㈶㈷慢㠷て㥡户㥢㍡㤷㤵㠱晣ㄶ㐲ㄹ㐱摢㐱敢〱摢慤㝡㤷ㄴ敥慥㥢㌶〳搹摣戸昱戸㙥摡慢扢搵攰㌵㥢㔷㉥㠶㘶㈸慦㙤慦㙢づ搲搱㙤ㄱ㙣㈵〳昵扥敢摢扢㥤㌳㙢㜵㌹戵㙥㐷搵慦㙤慢㜶ㄶ㝣㙦戹㝢敤㌱㕦㍥搴愸敤㤸搱ㄴ㠴摡㥡ㅡ扢㘳㤵㔱㔵㌴慦戱㤹ㄵ㉦㤰慥㥡摥戸戳㘰㔷㉥㑡㝦㔱㔲㈴捡慡㕡敡㤵慣㡡戹㝥㝣摥挵㐲挱慤搵搷愷㑢慤㝢搶㐳㌰戳慣㘲扥慢搲て㌷㤶捣攵㥡扣慡愵㐹昴㑥㔴散㙦㈹㍥收㔵敡挱㡣攷㠶扥㔷㙢慤㤹慡慥㤹㤰㌴搵㔳㕥㔵收昳㌹㈵ㄴ㈰㜰晢晡㠴挸摤摡㥤ㄷㄴ㈲㔲㈸㈶㈳㕦搳㑡㜶ㄳ㘷戰㍡慣愲㈶㐹㤳摡ㅢ戶ㄸ㡣昳㔵㌲㈶㠳〳㔳㙢愲晥攰㑢摦戸挵戰つ捣扤戲㡤㌵㙤㌴㕥晤㍤㙢搲つ㑦㤸㙥戵㈶晤㑣敤㈷㌸㈳㘳ㄸ㐰扦っ㠱搰㜵昷愸敡挴扡搸搰㉦搹搵㜰愵戰㈲敤ぢ㉢㈱捡愰㈱㡢㐵㙥㙤㐷㌲慥㐰㤱戱㤷㘰ㄴ愰㔴捡ㄵ昶戱㔱愱㠴㤴搳㈹㥤㌲㜸戹㐵㤰戳㕦ぢ㉦て㕡挷散㕡㈸㈳愱㍣㙣〱㈳㤱㔶㔳攸ㅢ㈲㠹晡㘶㈵㔲ㄸ晢慣ㄹ㔰愹㘹扢攱㐶㤳㙦㍢戸㈴㈲愲㕤㔹戰攳㘴〱㐵㐱慢㍣挸攰㌵㄰㑤㥢㌴挸㙥㥣㈲㈲戲㐱㠶㘶挷挸慤㐴挶昶ㄹ㌲〲敤搳㐴挸搶〷扢换〸ㄲ㝢㈷㤱戲㔳㔷㝥摣㤵㘶㥢搹昲㤱㌴扢ㄲㅢ㘷㕣㐵㜰㌵挱㌵〴晢〱挴㥦㈱攱㈸攵㤰㙦㑤挶㙢昰㙣㕣㐷昰㕡〰挸㈷㠳㌲㈷ㄶ㔵戴愱戶㘳㐷戲摤㄰散㘴㘵ㄴ㐷愲㠸㤶㜱挳捥ㅣ㜲ㄴ愲㘳慢㜳㘷攸摡扣搲戱㌷㜷愷捤昴㜲㐸㤱ㄹ㑤搳㙢摤愲㘹㝡㈳搸戴㐷扤㜵〳扡ㅡ㘳〴慦〳㈸ㄹ慦㈷㠴㜲愱挱扢㍤㡢㥥㈶攵慢挲㉣㡡㡣愱ㅥㄵ㝣㑣挸㍣〲㘴〸戹㡥攳换慥つ㑤㜳㜰摣㝡搵摢搰〷扡昳㜷㡣昴㌶扤戹慢㜷攸㉦㝡㤱㔶昴㡤㘰㉦昱晢慥㍡收㈶㔴ㅢ㌷ㄳ摣〲搰愶㘳㜸晡㝥戱㥥〲㘵ㄶ㍢㈹捣敤愵搷㐵㔹戹㑢ㅢ慢㔲㘹愰㐱㙢挹昴㉦挸㄰ㅥ㡣㤳戳戰㠵㍤摦㤷㌵ㅣ㙡慢慡㠰攷㤷慢㕢ぢ㠳㘳扥攷戰㝣搷㐶づ㕥ㄵ㡡㈱㥦搷晡㜲㙤㌶㜲㠶慤㤹昲㌹愵㈸㠷㍡昸昶敥㐲㈲搵愹㤵扣搸㉦晢㝣戹㉢㐹㝡㤰㈴㙦挲戶ㅡ户〲㐰㑡㠸摦㜶㤵㈸〷搸散捤慡㔹慢挵㑡て㕦挶改愴捤㠷搸㈱㐷〶㈲㠷敤㌴晣〷挱㤰戳㘸㍢つ㘱㌱攰㉣㐸扦〲摦㠲㕤㤳愵挸㉤㑢㔱戳㉢㉢㕥㈵戲愲慦慦攳㍣㥤攱㕦㔳㜴搲㈶㈵㌲戹㍤戳㌲攳㉣摥㈴㉡扡㈱㈹㔴㌲㕣㐳つ〹㐴捡㘳摢㕤ㄱ搳㠳㠸戹つㅢ㘷ㅣ㈴㤸㈴㌸〴愰晦ち㤲㘶扢ㅢ捦㜰㔸晦ㅡ㕤摡攵㜲慥㐸㌴㈸ㄷ攱㜳㕤㠵搵㘱扥收㉤〴㜷〲戴㤹㍦㜴㐰㘶㄰愲㐲㜹㡡㄰㔵ㄸ挳㍡㘷换㑢愴㠱㍤ㄶ〲㑢㌳昵㈰昴ㅣ㐶㤶㠶慣㔹敦戴ㄷ捥摡挱㉡㈲㔱愳㔶㥣㜹㘰㐵扡愰㉥ㅦ戶㑦㕢㤹户扡㉡慢㠶戵攸搵㈱摡㑥捥敥㠴㠳㌹戶〳戶愴㍡㥢㙢〲愹户昳㌱㠶㄰搸㘹攵㙦愵㌷㜶㕢摥㙦ㅥ晡㠶㥢㍢扡㘴㠷㌵㌹㘰㐵㑣挷㝣搱挲㉥㈲㜲㔰敤户㤶㔶㝣㈹㘷㠷慣攳扥㕤慤搹慥㈴㌲㘰㘳㌲㔸㌷㈷㉦㈰㑡戰攰㌱〶攸戹㐳搶㤲㙦扡挱慡挹㠰攲挶摥㤶㈷ㄵㄶ搱慤㘹摢つ昰ㅡ㠵㐵收㠷慤挵ㄵ敦ㄲ㈲戶㜵挷㍤㙥慥〶㍢〲㉢㈴晡㈸㈹搴〸㑤㘸㥡㈸㙡挵㕥昱挳〳㜹㉥㐷摥换ㄳ㈸㕣攵㜴晡捣㌳戴㌷敤晡㌸㐶㐳㍢㥤㜳ㅡ㐴昴愸㔱搸㤷㈹㠵挹愹挶㕤散㜳㌷挰扤挷捦㥥㙣㐶收㕥㔲捣㕡愷㤷㍦㐳挶㉢戲㘸〴㐲攸愳摢ㄳ㤱ち换㐸㌹攰㐰㘰㥣㑦敤攴㔷戲㔴ㅢ㔲摦㥥㘶昶ㄸ㈲㐹㠳搶㥣戹㉣㙢㠸㐷㍢㘶戸㈷㝡愰ㄹ敢㤸戵㈰慥㥢昱ㅣ挷㈴㘹㤱㉣ㄷ㉢㈶㈹㜸慡ㅥ㝡愷㙣搷戰〰ㄴ晤挵㐵收㍡㡡捣㜵㔵㌴㘸㥤㘱㘸㔰攵㌹㤶㜷挱昴敤㜰挵戱㉢㐵㍥㌰㝣户㈳㘸ㄲ㑣㑥挹㥢愴㐴㘶㡣戵㔹昳㘷㘱戲〵ㄳ㐰昷〴攴㈸户㡥攸〷攵㙡愲㠰㝦愲㐷挷ㄲ〴㡣昲㤴ㅡ㙦挷㘸扡扡ㅤ〱㤱愳搲攵攴づ挶攵㐷㔱ㄲ〹㈱㘲㍤㠳㐴攰ㄵ㑣〹㜹扡戸ぢ搶㔹搷づ㠱㍤㘲散㤸ㅤ捥〶㐰㌹〰戲敡㜸㝢慤挲㙡慡搳㜸㐳㉢摣搰㔹搵愲㈶慥敦慣㑦敢㡤㌷㙣㔲ㅤ㘹㤴㤴㈲搹慡㤱搲㉣㥢捣㜱㈷愹ㅡ愱ㄴ㜷愲㙤㐴㤶摢戴戹敦㤴㈲㉦㐱㌱㈹㥡挹ㄹ敦㔰㠴㠲㐰㙦慣愳攸戳捦㈶㡦㔴挴㠶㌶㐰㠹㝡㉡㉡ㅢ㡡㐳㠲㈷㜱敤愴㉡㑢昱ㄳ昸㝢㑦㥣㥤慦㠷㉤㌵收晡㘸㕣㌳㔵慢捤扢戰ㄲ㉡愶㕦摤㈱㉣㡤戵㐵ㅡ㐶㜱㘷慦摡㍦摡摥ㄴ㈳挶㙣挸戰㐸㠶ㅦㄸ㙣〸收㑡㐵㔴㘹㥤つ㜱慢ㅢ挵㐵㍥㥤㤲愶慢㌰戰ㄸ㔶㘷攵㥡㌲挳㥡㤶晣愸敡搰㌸㉤㉡㌹㙡㔸㔳换〱㔴㝡㐸㌹ㅥ攷ㄴ㠳ㅢ搶ㄹ扡愵㜰㠹〱㘲㌷捥㉤㔴㐲㠴㜶ㅢ〳昰㘴戰㜳戰㠳ㅤ㠹㐲㈷戴捥㈸㐱ぢㄹ㠴摢扡〸昲㑥㡦ㄸ㠵㈰戵㔴晡挷㔱昱愵㈷㤹扥㜹㌴㤷㘴㘲㈶㘲戸㉢挳㝡〰㜲搳㤱㐹㜲搱㘸ㄲ㌰㡦㈴㥢ㄲ㕡㠳㐹ㄹ㑤㡣㈱㥡㝣㝥㠸㕢㍣㡣㘵つ㤳㙤㙡戸攷ㄶ摡搰愶戵㡤㍤搶㐹户㔲慢㔷愵㔲挵㠹慣㔶ㅡ㜹㐷攰㑢㕤〱㡣戸㈹㘳㕦攲㑤㌹㠹愳ㄴ㤷㑣㈴昵㙥㜷ㅢ㐷搱㕤〹㌹㡣ㄱ愹㍥〶㈰㌳摣㜲㉡㈰搶㜱㑦㠱昶攱摥收〵〶㜵㜹づ㈲慤愳㠸戲㙣づ昷昱ㅡ㔱㘴挵㙤愹㘶㜳摥㥣㐷㥢㍤㔵㜴挲㡥㡡㜶〴㡥戰捥㐸攰ㄵち㌰㐶㝡攴づづ㤲扢ㅣ㐷㜷㉦㍦慡ㅥ㜳㤷㠱ち㠵〱挱ㄸ㉦㑦㐱㌹散㉡ㄸ㠹〶户搶戴扡〵愳扦戴扣㡤㈹〰挱㌰㌰つ㕡戴㡣っ㥣ㄹ攴户㌶㜰㙥㐰慢㡣〸㘹㍡㤸捡ㄸ攵㈸ㅣ昶㐰ㅡ戸㠹〷改㈵て㑡㈸摣愷㉥㠶㈵㜷ㄳ挷ㅤㅣ㠱㍣晦慡戶挲〵㌳挴昵ㄷ㜷㝦㕢昱㔴戵㑡㜳ㄷ晥戹ㅤ㠱㔵㕣摤㠸捣搱㝤㙤㤷戲搴㥡㘸摦摤搸㔶ㄱ㕦ㄶ㍣㌴㍢㜱挲っ㉢㉢㡢攱㐶㜴㜱慢㔷㤲搰㝦〲㝦挴愶㙦愷捤㥣㜷㜹ㄱ㜵㡤㝢㕦扡攸㝡㤷㕣㌵㉦㍤攰慤㍦㔰〸慥㔰昶㜳㤲愵摣ぢ昸愷㤲㤶搳㝦㡣ㄱ户㌳㙤づ搰㜴㤰㜰ㅣ㤵㈲㘹㌰㠶㝣〶㥤挰㜶㙦摣ㅡ㈰㥤散㙢愳ㄳ㈵〸㜶〹挵扤昰戲ㄱ㡡昸ㄱ搰㑡㘲㠹㡥攴搸昳㘷挱晡攲㠷㈸㈱挲昱ㅣ㡢ㄱ晤㜵挸㘵愰㑥〹昲昸㡡〷㉦㠴晣晦㘰㈹攱收㑤搹改扦挰捣攲〷敤㈸扡㥥㈸晡㝥〷㡡〴慦㠱㈸晥扤ㄷ㤹㈴改っ捦扥愸㐰㌸搷戴㝢〰㝤挵㉦晣晥てて愰㜳㌱㜱㈸ㅢつ愱戶㥢昰摣㌰ㄱ晡㍡㑣〴〶敦㤵㠹㜰ちㄹ挱㈸㝥㘴㈲挴㍥㤰㜹ㄴ㙣㙤㈲㌰戶㤷㘱〸愶㐲慤㈹户〶㑦㘰㔷㌹昴㡦㥤挰挵㕢ㄹ㈰㥥て愵ㄵ捣挰㈳㜵㜵㘷昱㠲改㥢捥㝥㔵㝥摣㤷㔰㘶晥ㄲ㙥㜲慢㉥散㜱敤愶㌵慡搳㈶扥㡡挴换扥敢㑦搹摥晤㜵㘰㉡㑡㤱晢㕥ㄴ㐵攱㈵㜸㑡〴捦つ戹昷敦晢搶昱㍦㍣晣昸㔱摥㔶㡢㘹㔵扦ㄵ昹㕥㐲昶戴㈷㄰搴㑤㕤ㄴ戹㤲ㅦ收㥣挲㈷㑡昶㙡㑤㑥㥢扥戲㠲〲挳㐹戲ㄱ攱愵〸㌳㈲扥㥤㘰㘲攲摥㐳㘴㘲㑥戴戹㍢搵㠷㑤捡㐵㌸㤱㥡戸昲改㈵㘱㐳搱㔵㤱昵㘸㙤敡摦㠱㉡㝡㤱ㄳ㘹戵ㄲ㜹敡㘴ㄲ攲摢敤扡敥㌰㜵㕤㜴㤰㘱搸㍦㤱㔲㠸㍦㤰㐲搲〷ㄹ㕥〸㔰㔲敡っ㌲晡㙤〰ㄹ㤱戵昶㄰㉦晤〱扢㐲㐰㌶㉥晤昵昸ㄱぢ㜶ㄱ㔸㑣㝣昱扤㥥㘸㘹㡢㈶慡㠹愱㕡㘵搳㉣㈲愳づ㉦㉣㤸㑣㑡㤷㤰㐹㤲㝥〸戹㙤扢愳昸㤲㈱㈷ち扣㐵㡣慤㍢昴戵㤵㥣㝢摣㍡㙥㝥㐰捦ㄴ㤴挲㜰昷戲ㄸ〷㔲ㄵ愳㡢㥡㤶愲㈲挲攱㈸摢攸㌴㄰㔷㐱㘷戹晢㜱㉡㐵昰㡦㕦ち戱㝥扣㌹昴㤵敤㌵搴㜱㙥㍦ㄶ挸ㅦ散慦敢㌳ㄸㅢ㙦㈵挷㐰挲㙥慢㔵㌱扡ㅥ㝥ㄶ㕤戸攸㥣㌰㥡㔹昵㉣づ攳㑦挲㔹㝤㕡㠷晥㘷昴㕡㜱搶㌹昶㘶ㄸ扢㐵晦扦ぢ〵㕢敡㝦挱搸㥢㐲攴扢攳っㅦ㜴挶㑦戶っ搹㜰㐷攰搹㐶昰㐶ㅤ㡣つ㤵㘵挸㍢捡㉤攲攳搵愸㕡㐹㜰昸扤昲敤㔷㈳ㅡ㝤㘹摢づ㜴ㄵ㠰㡣つ改捦㐲〴㜵敤摦㉡户㤲搳㙤攱㍤攸戸敦㤴㕤昱扤挰戳挲戱㐵〴㝤挷昸敤㤹〵㥢㘷㑡㝣愳㕤愸摤㠸㥤ㄸ㝣ㅦ晡㥣㥥㠷挰㍥㉤挳㤷㉢ㄶ挹挸挲昶㈲ㄹ晣づ㘹㈴ㄵ㕥愲㜶〸慥戰敥慦㥢㌵㝣扡㍡て㕦㘷挸愲ㅤ愱散㈲㡦㜳晢つつ㙥ㅤ敥㘸摤〷㝦㤰慣㑤㈰㌸愶㤶昰㥥昷㜱㕦摢昷愰戵㙤扣戶㠰㉤㝢昳戹㤵昴㘷㠰搳敤扤愵㤵㘴昸㑥㝥㤱㕣㌲捡㠴戸戴㝦ㄴ㝦户敦愰攵㘸愳愰昳昸㠳㙥㍡挲挶㙢㜰㥦㙤㈳晡㝤ㅥ㕤挵ㄴ〱㝥㠶ㄹ㘷昸㈰攸攵㈳㉢㡡慦㘲㔹㘴〰攴㜳㠵ち㐰㜷慡㝥㙡㌳慡ㅥ戹㤷㍤㤱〴捦ㄸ㈴挷㤲昸㌲ㅡ㜲扢愲㘵㠳㈵戸㙣愱捥ㄲ挸ㅢ㐹て攴㜳㠲㘷〹㌵㤱㉦愲㐳㘳㈲㌶㑡扢㑦攴ぢ㥢㑤㐴搰ち㔰ぢ㑤㡦㍦㤲㘸ㄱ愳㠶㙡挳㈱㜰〹㍣㠰㤱㐴㤹っ㔳㍥㔲攸ㄴ愲ㄸ挳て㠹㈲愴㕦挷㝦㥦㍦晡慢攷㤸晥㝥㔴㈸㠹㠸慡搶㔵㔰㈲慡㔵㝣㉡扤ちㅦ愵摤㔷昱㠹捤㔶㌱㐲㘱挹㤹ㄸ㈱挰㔰㥦㈸攳㡦㕡㔵ㅤㄹ㙥㈸㝦攲㍣〱㝥㉤戳ㄸ㌱㔱愲晡㕥㐲〶㝤戹昳慡搵㍡㌲㐹㕦㥤ㅢ㤱昱㤵㡦㌲㤴㜸㈳㤲㑥㥤㐲攴㤵㉤㐴敡戱攸挴敥搸ㅤ㈱㈴戰㈴㝥㌶摢㔵戶ㄷ㝡っ昵㡢て㈷㠸㌹㜱㈲昹㠴㑡㡢㠳㑦㈰㡣挸㌴㈵㈱㜱㈳挵㠷㤲挶摦晤㕥搳㜷㡡ち㈴㔰㑦搴㤸〴愷ㅡ㍦㤱㌴㍥㠴捦戳㔴㥢ㅣ慦ㄲ㌰㍤㥦㌴㈶㘱慡挶㡦㈷㡤晦㜶㘸㝦愳㜱㐲㠷搱挸㍡㠹㈴挳攸㔵挷㠰搴愷摡挳㘸慥㕢㔴愴〳㔶㔴㑣ㄱ慡㘲挸㌵愵㑡〷㜱㉢挴挷挷搲㜳戸攴㠴扢㈰㤰戶搱晦㌳攱㈴㉥㍦捤㥡愱㠹㙦愱搷㄰㜵昶つ昵挴捥〵㙢摥㐷㐱扦㜵㌲挰攱慡扡愳㐸〴㜶㐱㍥摡摦㉤扣昳ㄹ㌶㘴㜳㍦㤲㘸㤹挶换㈴扤㘹ㄱㄵ㘱挹㡢て㈴㤸捤㍤搶愴ㄹ攳㔱㈰〷㘲ㄲ㤰ㄹ攳㌱挰㈸㈲戳㡦〵㈳攴㝦挵摣ㅦ㘰挵〷〹ㅥ〷㈸〹㌲㍢改愰昰〴挰㜰昲㝦慣ㄸ㕢㔳㡥ㄳ㑤㍣㥣扣㉣㑤㐶挶㠷搹攱㈳〰㝤昰攳㡡㤸〸㑢挶㐷㔱㤲㝥㈹〵㠷㝡改挷㔸昱㜱㠲㑦〰㤴㜴㑥㜶摢扢挶㌵昵愸挲㍥㠹慥攲㌱〲晣㡣㑦挵ㄹ㍥攸摣㠷户㜵㌷㥡㜹㈶㑥扥昰㐷捣戳攵㔳晥㝢昰㘹晥〶ㄷ摤㠷晦㌳㠹慥㉣晣扣㜶㜷㙦㘳㤱〹㘸㥣慢摦㉡㌶晢㈵㡣挳㜵㌵㐳㈹ㅣ㤱㑡愵愸ㄵ〴昱捤〵ぢて㙦攰㕢㡥愸ち㈱㐸〳慡挲㡤㉢㡥愲挰昸㉣㥢ㄲ挷挴㤳昱㌹㍥ㄱ戵㙡ㄳ㍦ㅦ㘷昸㈰㠸㔷搵晤挱戸㝢昲㐲攲㕡㔵搸㙤㉦㈴晥㔵挵㑡晡㠵㑦㜲㌰㠵㉣㘴㕡戵ㄲ㤱愶㘸攸换挸っ昵つ㜳㙥て攰愷慤㡢捡昹敡昹昳晦ㅡ捥㡦㕤㥢㝦搷㍢〷㥦㝣晥㤷㝦晣捣㙦摥㝢攴㉦晦㝥敡愹摦晣改㌳捦晤晢㈷换㐷㝥晥捣㌳㍦扢昷㙢捦晤㜱慦昵戴昶扤㝦捤㍤晤挸攴挵㐷ㅥ戲捥摥㝡晣㤱㜷㍦㜸晦攴挲ㄵ攳㝤㝤晤晤户㡣晥攲㥡㌷㡥㍣昶搰て挴㑦㝦㜷戵㉢搴㜲昱㠲搶㘹㜰搹㙡ㅡ㕦㐱〶搳攰㡣㕦搱㘹㜰戹㙡愳㤶攳㡤㥡㐶㐱ㄱ捥つ㑥㐰㔵㤸慤ㄵ〳晦〱㐷挶戲敤</t>
  </si>
  <si>
    <t>fad33816-f862-4a1c-9a64-976c1298b923</t>
  </si>
  <si>
    <t>㜸〱敤㕣㕢㙣ㅣ㔷ㄹ摥㌳摥㔹敦慣敤搸㡤搳㑢㑡㘹㑤㑢㕢愸㠳ㅢ愷つ愵㐰〸扥㌴㌷㥣搸㡤㥤ㄴ〴㘸㌳摥㍤ㄳ㑦戳㌳攳捥捣㍡㜱愹搴ちち攵㔶㤰捡㐵ㄴち㔴ㄵ㐲㐲㐸㕣㕥捡昵〵〹〱㐲㐵攲〱㤰㤰㜸㈸ㄵ㠲〷㄰㡡挴ぢて㐸昰㝤㘷㘶㜶㘷㜷扤㘳㜷摢㠲㡢㝣搲晤㝤收摣收㥣昳㕦捦晦㥦㘹㑥攴㜲戹㝦㈳昱㉦㔳㥥㤹敢ㄶ搷㠳㔰㍡ㄳ㌳㕥慤㈶㉢愱敤戹挱挴㤴敦㥢敢㜳㜶㄰昶愱㐱愱㙣愳㍥搰换㠱晤愰㉣㤶搷愴ㅦ愰㤱㥥换ㄵ㡢㠶㠶㝡づ挲摦㐸昲㘰戰搷㘰ㅥ㘰㘹㘶㝡㝥昹㝥㡣扡ㄸ㝡扥摣㌷㜶㌶敡㝢㘸㜲㜲㘲㜲攲挰ㅤ㜷㑦㑥散摦㌷㌶㔳慦㠵㜵㕦ㅥ㜲㘵㍤昴捤摡扥戱㠵晡㜲捤慥扣㑢慥㉦㜹ㄷ愴㝢㐸㉥敦扦㘳搹扣昳㉤㤳㜷ㅥ㍣㘸摤㝤昷㕢〶昱敡摣愹㤹改〵㕦㕡挱换㌴愶捥㈹摦㌹㉢㉢㌶搷㈶愵㙦扢攷㈷㘶愶昱㕦㙡晥㜸扡㙢㘲㜱㐵捡㤰慦㤶扥㜴㉢㌲㌰搰㜱挰㤹ち㠲扡戳捡捤㌳㥣㈳㔸㙡挵っ㐲摤㤹㤱戵㥡攱㈴愳ㄶ㥤㜹散㕤捤㕣ㅦ㜴ㄶ愵ㅢ搸愱扤㘶㠷敢〵㘷〹〳㔵㠷㥣㌳㠱㍣㙤扡攷攵㈹搳㤱扡㜳戴㙥㔷昳㔱捡昵摤㥡っ㤱㥥㤸㕡晥挴㔴攰捣慣㤸扥㥡㔱挰㡤挹㘸㝢挴慦戴戶扤愹晢戸㥣扡㝡〳挷扣戹㝢㍢搴㥣㌵晤㐶换昱敥㉤攳挵户捥攰昶敥敤㔳㝢搴摡攷㡤摤晢愸慤㙣㙤㉤〶㘲晡㔶㍢㡡挵ㄸ〵㠲㝥㠲㈲〱ㄱ㘸㤴〸〶〸〶〱㐴晥ㅦ攰㤲㜴㐷㔶㘹㘵㔳㉢㉦㙢攵㡡㔶慥㙡㘵愹㤵㉤慤㝣㕥㉢慦㘸㘵㕢㉢摦慦㤵㉦愰㑤㤲㡡晤晤㕡㥣㕥㜸晡㜷㝦㍥扡晥搳ㄳㅦ晦搹晣摦㍦昲愷㘳摦ㅣ摣㠵㐶昷挶㤳㥡昵捤㡢㈰戵㈶ㄵㅦ㤸搸捦㝦㥢㜳〵㤸挲㍡㘸摤㘵㑤㑥㔶て敥㌷敦㌰㜵㉥㉢〳昹㉤㠴㌲㠲戶㠳搶㝤戶㕢昵㉥㉡摣㕤㌷㙤〶戲戹㜱攳㜱摤戴㔷㜷慢挱㙢㌶慥㕣っ捤㔰㕥摢㕥搷ㅣ愴愳摢㈲搸㑡〶敡㝤搷户㜷㍢㙢搶敡㜲敡㤲ㅤ㔵扦戶慤摡㔹昰扤攵敥戵㐷㝣昹㐰愳戶㘳㐶㔳㄰㙡㙢㙡散㡥㔵㐶㔵搱扣挶㘶㔶扣㐰扡㙡㝡攳捥㠲㕤戹㈰晤㐵㐹㤱㈸慢㙡愹㔷戲㉡收晡昱㜹ㄷぢ〵户㔶㙦㑣㤷㕡昷㕣ち挱捣戲㡡昹慥㑡㍦㕣㕦㌲㤷㙢昲慡㤶㈶搱㍢㔱戱户愵昸㠸㔷愹〷㌳㥥ㅢ晡㕥慤戵㘶慡扡㘶㐲搲㔴㑦㝡㔵㤹捦攷㤴㔰㠰挰敤敢ㄳ㈲㜷㕢㜷㕥㔰㠸㐸愱㤸㡣㝣㑤㉢搹㑤㥣挶敡戰㡡㥡㈴㑤㙡慦摦㘴㌰捥㔷挹㤸っづ㑣慤㠹晡㠳㉦㝤挳㈶挳㌶㌰昷捡㌶搶戴搱㜸昵昷慣㐹㌷㍣㘶扡搵㥡昴㌳戵㥦攰㡣㡣㘱〰晤㌲〴㐲搷摤愳慡ㄳ㤷挴扡㝥搱慥㠶㉢㠵ㄵ㘹㥦㕦〹㔱〶つ㔹㉣㜲㙢㍢㤲㜱〵㡡㡣摤〴愳〰愵㔲慥戰㠷㡤ち㈵愴㥣㑥改㤴挱换㉤㠲㥣晤㕡㜸㜹搰㍡㘲搷㐲ㄹ〹攵㘱ぢㄸ㠹戴㥡㐲摦㄰㐹搴㌷㉢㤱挲搸㘳捤㠰㑡㑤摢つ搷㥢㝣摢挱㈵ㄱㄱ敤挸㠲㙤㈷ぢ㈸ち㕡攵㐱〶慦㠱㘸摡愴㐱㜶攳ㄴㄱ㤱つ㌲㌴㍢㐶㙥㈵㌲戶捦㤰ㄱ㘸㥦㈶㐲戶摥摦㕤㐶㤰搸㍢㠹㤴㥤扡昲攳㡥㌴摢挸㤶㡦愴搹㤵搸㌸攳㉡㠲慢〹慥㈱搸ぢ㈰晥っ〹㐷㈹㠷㝣㙢㌲㕥㠳㘷攳㍡㠲搷〲㐰㍥ㄹ㤴㌹戱愸愲つ戵ㄵ㍢㤲敤㠶㘰㈷㉢愳㌸ㄲ㐵戴㡣ㅢ㜶收㤰愳㄰ㅤ㕢㥤摢㐳搷收㤵㡥扤愵㍢㙤愶㤷㐳㡡捣㘸㥡㕥敢㈶㑤搳ㅢ挱愶㍤敡慤ㅢ搰搵ㄸ㈳㜸ㅤ㐰挹戸㤱㄰捡㠵〶敦搶㉣㝡㥡㤴慦ち戳㈸㌲㠶㝡㔴昰㌱㈱昳〸㤰㈱攴㍡㡥㉦㍢㌶㌴捤挱㜱敢㔵㙦㐳敦敢捥摦㌱搲摢昴收㡥摥愱扦攸㐵㕡搱㌷㠱扤挴ㅦ扡敡㤸㥢㔱㙤摣㐲㜰㉢㐰㥢㡥攱改晢挵㝡ち㤴㔹散愴㌰户㥢㕥ㄷ㘵攵㉥慤慦㑡愵㠱〶慤㈵搳㍦㉦㐳㜸㌰㡥捦挲ㄶ昶㝣㕦搶㜰愸慤慡〲㥥㕦慥㙥㉤っ㡥昸㥥挳昲ㅤㅢ㌹㜸㔵㈸㠶㝣㕥敢换戵搹挸ㄹ戶㘶捡攷㤴愲ㅣ敡攰㍢扡ぢ㠹㔴愷㔶昲㘲扦散昳攵㡥㈴改㐱㤲扣ㄱ摢㙡摣〶〰㈹㈱㝥摢㔵愲散㘳戳㌷愹㘶慤ㄶ㉢㍤㝣ㄹ愷㤳㌶ㅦ㘲㠷ㅣㄹ㠸ㅣ戶搳昰ㅦ〴㐳捥愲敤㌴㠴挵㠰戳㈰晤ち㝣ぢ㜶㑤㤶㈲户㉣㐵捤㡥慣㜸㤵挸㡡扥扥㡥昳㜴㠶㝦㑤搱㐹㥢㤴挸攴昶捣捡㡣戳㜸㤳愸攸㠶愴㔰挹㜰つ㌵㈴㄰㈹㡦㙤㜷㐴㑣て㈲收㜶㙣㥣戱㥦㘰㤲攰〰㠰晥㉢㐸㥡慤㙥㍣挳㘱晤㙢㜴㘹㤷换戹㈲搱愰㕣㠴捦㜵ㄵ㔶〷昹㥡㌷ㄳ摣〵搰㘶晥搰〱㤹㐱㠸ち攵㈹㐲㔴㘱っ敢慣㉤㉦㤲〶㜶㔹〸㉣捤搴㠳搰㜳ㄸ㔹ㅡ戲㘶扤㔳㕥㌸㙢〷慢㠸㐴㡤㕡㜱收扥ㄵ改㠲扡㝣搸㍥㙤㘵摥敡慡慣ㅡ搶愲㔷㠷㘸㍢㍥扢ㅤづ收搸づ搸㤲敡㙣慥〹愴摥捥挷ㄸ㐲㘰愷㤵扦㤵摥搸㉤㜹扦㜹攸ㅢ㙥敥攸㤲ㅤ搶攴㠰ㄵ㌱ㅤ昳㐵ぢ扢㠸挸㐱戵摦㕡㕡昱愵㥣ㅤ戲㡥晡㜶戵㘶扢㤲挸㠰㡤挹㘰摤㥣㍣㡦㈸挱㠲挷ㄸ愰攷づ㔹㑢扥改〶慢㈶〳㡡敢扢㕢㥥㔴㔸㐴户愶㙤㌷挰㙢ㄴㄶ㤹ㅦ戶ㄶ㔷扣㡢㠸搸搶ㅤ昷愸戹ㅡ㙣ぢ慣㤰攸愳愴㔰㈳㌴愱㘹愲愸ㄵ㝢挵てて攴戹ㅣ㜹㉦㑦愰㜰㤵搳改㌳捦搰摥戴敢攳ㄸつ敤㜴捥㘹㄰搱愳㐶㘱㕦愶ㄴ㈶愷ㅡ㜷戳捦㕢〱㑥ㅣ㍤㜳扣ㄹ㤹㝢㐹㌱㙢㥤㕥晥っㄹ慦挸愲ㄱ〸愱㡦㙥㔷㐴㉡㉣㈳攵㠰〳㠱㜱㍥戵㤳㕦挹㔲㙤㐸㝤扢㥡搹㈳㠸㈴つ㕡㜳收戲慣㈱ㅥ敤㤸攱慥攸㠱㘶慣㘳搶㠲戸㙥挶㜳ㅣ㤳愴㐵戲㕣慣㤸愴攰愹㝡攸㥤戴㕤挳〲㔰昴ㄷㄷ㤹㤷㔰㘴㕥㔲㐵㠳搶㘹㠶〶㔵㥥㘳㜹攷㑤摦づ㔷ㅣ扢㔲攴〳挳㜷摢㠲㈶挱攴㤴扣㐹㑡㘴挶㔸㥢㌵㝦〶㈶㕢㌰〱㜴㑦㐰㡥㜲敢㠸㝥㔰慥㈶ち昸㈷㝡㜴㉣㐱挰㈸㑦愹昱㜶㡣愶慢摢ㄱ㄰㌹㉡㕤㑥敥㘰㕣㝥ㄸ㈵㤱㄰㈲搶㌳㐸〴㕥挱㤴㤰愷㡢扢㘰㥤㜱敤㄰搸㈳挶㡥搸攱㙣〰㤴〳㈰慢㡥户搷㉡慣愶㍡㡤㌷戴挲つ㥤㔵㉤㙡攲晡捥晡戴摥㜸晤〶搵㤱㐶㐹㈹㤲捤ㅡ㈹捤戲挱ㅣ户㤳慡ㄱ㑡㜱㈷摡㐶㘴戹㑤㥢晢㑥㈹昲ㄲㄴ㤳愲㤹㥣昱づ㐵㈸〸昴挶㍡㡡㍥晢㙣昲㐸㐵㙣㘸〳㤴愸愷愲戲愱㌸㈴㜸ㅣ搷㑥慡戲ㄴ㍦㠱扦㜷挵搹昹㝡搸㔲㘳㕥ㅡ㡤㙢愶㙡戵㜹ㄷ㔶㐲挵昴慢摢㠴愵戱戶㐸挳㈸敥散㔵晢㐷摢㥢㘲挴㤸つㄹㄶ挹昰〳㠳つ挱㕣愹㠸㉡慤戳㈱㙥㜵愳戸挸愷㤳搲㜴ㄵ〶ㄶ挳敡慣㕣㔳㘶㔸搳㤲ㅦ㔵ㅤㅡ愷㐵㈵㐷つ㙢㙡㌹㠰㑡て㈹挷攳㥣㘲㜰挳㍡㑤户ㄴ㉥㌱㐰散挶戹㠵㑡㠸搰㙥㘳〰㥥っ戶て㜶戰㈳㔱攸㠴搶ㄹ㈵㘸㈱㠳㜰㕢ㄷ㐱摥改ㄱ愳㄰愴㤶㑡㝦㍦㉣扥昸㈴搳㌷づ攷㤲㑣捣㐴っ㜷㘵㔸て㐰㙥㍡㌲㐹㉥ㅡ㑤〲收㤱㘴㔳㐲㙢㌰㈹愳㠹㌱㐴㤳捦て㜱㡢㠷戱慣㘱戲㑤つ昷摣㐲ㅢ摡戴戶扥换㍡敥㔶㙡昵慡㔴慡㌸㤱搵㑡㈳㙦ぢ㝣愹㉢㠰ㄱ㌷㘵散㑢扣㈹挷㜱㤴攲㤲㠹愴摥敤㙥攳㌰扡㉢㈱㠷㌱㈲搵挷〰㘴㠶㕢㑥〵挴㍡敥㈹搰㍥摣摤扣挰愰㉥捦㐱愴㜵ㄴ㔱㤶捤攱㍥㕥㈳㡡慣戸㉤搵㙣捥㥢昳㘸戳愷㡡㡥搹㔱搱戶挰ㄱ搶ㄹ〹扣㐲〱挶㐸㡦摣挱㐱㜲㤷攳攸敥攵㠷搵㘳敥㌲㔰愱㌰㈰ㄸ攳攵㈹㈸㠷㕤〵㈳搱攰搶㥡㔶户㘰昴㤷㤶户㌱〵㈰ㄸ〶愶㐱㡢㤶㤱㠱㌳㠳晣收〶捥つ㘸㤵ㄱ㈱㑤〷㔳ㄹ愳ㅣ㠵挳ㅥ㐸〳㌷昱㈰扤攴㐱〹㠵㝢搴挵戰攴㙥攲戸㠳㈳㤰攷㕦搵㔶戸㘰㠶戸晥攲敥㙤㉢㥥慡㔶㘹敥挲㍦户㉤戰㡡慢ㅢ㤱㌹扡愷敤㔲㤶㕡ㄳ敤扢㥢摡㉡攲换㠲〷㘶㈷㡥㤹㘱㘵㘵㌱㕣㡦㉥㙥昵㑡ㄲ晡㡦攱㡦搸昰敤戴㤹昳㉥㉦愲慥㜱敦㑢ㄷ㕣敦愲慢收愵〷扣昵〷ち挱ㄵ捡㝥㑥戲㤴晢㌷晥愹愴攵昴ㅦ㘱挴慤㑣㥢〳㌴ㅤ㈴ㅣ㐷愵㐸ㅡ㡣㈱㥦㐱㈷戰摤ㅢ户〶㐸㈷㝢摡攸㐴〹㠲ㅤ㐲㜱捦扦㙣㠴㈲㝥〸戴㤲㔸愲㈳㌹昶晣敢㘰㝤昱〳㤴㄰攱㜸㡥挵㠸晥㍡攴㌲㔰愷〴㜹㝣挵㠳ㄷ㐲晥㝦戰㤴㜰昳㠶散昴㕦㘰㘶昱晤㜶ㄴ㕤㑦ㄴ㝤慦〳㐵㠲搷㐰ㄴ晦㥥㐰㈶㐹㍡挳戳㉦㉡㄰捥㌵敤ㅣ㐰㕦昱ぢ扦晦挳〳攸㕣㑣ㅣ捡㐶㐳愸敤㘶㍣㌷㑣㠴扥づㄳ㠱挱㝢㘵㈲㥣㐴㐶㌰㡡ㅦ㤹〸戱て㘴ㅥ〵㥢㥢〸㡣敤㘵ㄸ㠲愹㔰㙢捡慤挱ㄳ搸㔵づ晤㘳挷㜰昱㔶〶㠸攷㐳㘹〵㌳昰㐸㕤摤㔹扣㘰晡愶戳㔷㤵ㅦ昵㈵㤴㤹扦㠴㥢摣慡ぢ㝢㕣扢㘱㡤敡戴㠱慦㈲昱戲敦昸㔳戶㜶㝦ㅤ㤸㡡㔲攴扥ㄷ㐵㔱㜸〹㥥ㄲ挱㜳㐳敥〳㝢扥㜵昴㡦て㍥㝡㤸户搵㘲㕡搵㙦㐳扥㤷㤰㍤敤〹〴㜵㔳ㄷ㐵慥攴㠷㌹㈷昱㠹㤲扤㕡㤳搳愶慦慣愰挰㜰㤲㙣㐴㜸㈹挲㡣㠸㙦㍢㤸㤸戸昷㄰㤹㤸ㄳ㙤敥㑥昵㘱㤳㜲ㄱ㑥愴㈶慥㝣㝡㐹搸㔰㜴㔵㘴㍤㕡㥢晡㜷愰㡡㕥攴㐴㕡慤㐴㥥㍡㤹㠴昸㜶扢慥㍢㐸㕤ㄷㅤ㘴ㄸ昶㑦愴ㄴ攲て愴㤰昴㐱㠶ㄷ〲㤴㤴㍡㡤㡣㝥㍢㐰㐶㘴慤㍤挴㑢㝦挰㡥㄰㤰㡤㑢㝦㍤㝥挴㠲㕤〴ㄶㄳ㕦㝣慦㈷㕡摡愲㠹㙡㘲愸㔶搹㌴㡢挸愸挳ぢぢ㈶㤳搲㈵㘴㤲愴ㅦ㐰㙥换敥㈸扥㘴挸㠹〲㙦ㄱ㘳敢づ㝤㙤㈵攷ㅥ户㡥㥢ㅦ搰㌳〵愵㌰摣摤㉣挶㠱㔴挵攸愲愶愵愸㠸㜰㌸捡㌶㍡つ挴㔵搰㔹敥㕥㥣㑡ㄱ晣攳㤷㐲慣ㅦ㙦づ㝤㘵㝢つ㜵㥣摢㡦〵昲〷晢敢晡っ挶挶㕢挹㌱㤰戰㕢㙡㔵㡣慥㠷㥦㐱ㄷ㉥㍡㈷㡣㘶㔶㍤㡢㠳昸㤳㜰㔶㥦搶愱晦ㄹ扤㔶㥣㜵㤶扤ㄹ挶㙥搱晦敦㐶挱愶晡㕦㌰昶愶㄰昹㥥㌸挳〷㥤昱㤳㑤㐳㌶摣ㄱ㜸戶ㄱ扣㔱〷㘳㐳㘵ㄹ昲㡥㜲㡢昸㜸㌵慡㔶ㄲㅣ㝥慦㝣晢搵㠸㐶㕦摡戶〳㕤〵㈰㘳㐳晡搷㈱㠲扡昶㙦㤵㕢挹改戶昰㕥㜴摣㜳搲慥昸㕥攰㔹攱搸㈲㠲扥㘳晣昶捣㠲捤㌳㈵扥搶㉥搴㙥挲㑥っ扥ㅦ㝤㑥捤㐳㘰㥦㤲攱换ㄵ㡢㘴㘴㘱㙢㤱っ㝥㠷㌴㤲ち㉦㔱㍢〴㔷㔸昷搶捤ㅡ㍥㕤㥤㠷慦㌳㘴搱戶㔰㜶㤱挷戹晤㠶〶户づ㜷戴摥〵㝦㤰慣㑤㈰㌸愶㤶昰摥昷㜳㕦摢昷愰戵㙤扣戶㠰㉤㝢昳戹㤵昴㘷㠰搳慤扤愵㤵㘴昸㑥㝥㤱㕣㌲捡㠴戸戴㝦ㄸ㝦户敥愰攵㘸愳愰昳昸㠳㙥㍡挲挶㙢㜰㥦㙤㈱晡㝤づ㕤挵ㄴ〱㝥㠶ㄹ㘷昸㈰攸攵㈳㉢㡡慦㘰㔹㘴〰攴㜳㠵ち㐰㜷慡㝥㙡㈳慡ㅥ㌹挱㥥㐸㠲㘷っ㤲㘳㐹㝣〹つ戹㕤搱戲挱ㄲ㕣戶㔰㘷〹攴㡤愴〷昲㌹挱戳㠴㥡挸ㄷ搰愱㌱ㄱㅢ愵摤㈷昲昹㡤㈶㈲㘸〵愸㠵愶挷ㅦ㐹戴㠸㔱㐳戵攱㄰戸〴ㅥ挰㐸愲㑣㠶㈹ㅦ㈹㜴ち㔱㡣攱〷㐴ㄱ搲慦攳扦捦ㅦ晥搵㜳㑣㝦㍢㉣㤴㐴㐴㔵敢㉡㈸ㄱ搵㉡㍥㥤㕥㠵㡦搲敥慢㜸㝣愳㔵㡣㔰㔸㜲㈶㐶〸㌰搴㈷捡昸愳㔶㔵㐷㠶ㅢ捡㥦㌸㐷㠰㕦换㉣㐶㑣㤴愸扥ㄷ㤱㐱㕦敥扣㙡㜵〹㤹愴慦捥㡤挸昸捡㐷ㄹ㑡扣ㄱ㐹愷㑥㈱昲捡ㄶ㈲昵㔸㜴㘲㜷散戶㄰ㄲ㔸ㄲ㍦㥢敤㉡摢ぢ㍤㠶晡挵㘳〹㘲㡥ㅤ㑢㍥愱搲攲攰ㄳ〸㈳㌲㑤㐹㐸摣㐸昱㤱愴昱㜷㥦㙤晡㑥㔱㠱〴敡㠹ㅡ㤳攰㔴攳て㈷㡤て攰昳㉣搵㈶挷慢〴㑣捦㈷㡤㐹㤸慡昱愳㐹攳扦ㅥ搸摢㘸㥣搰㘱㌴戲㑥㈲挹㌰㝡搵㌱㈰昵愹昶㌰㥡敢ㄶㄵ改㠰ㄵㄵ㔳㠴慡ㄸ㜲㑤愹搲㐱摣ち昱昱戱昴ㅣ㉥㌹攱㉥〸愴㙤昴晦㑣㌸㡥换㑦戳㘶㘸攲㕢攸㌵㐴㥤㝤㐳㍤戱㜳挱㥡昷㔱搰㙦ㅤて㜰戸慡㙥㉢ㄲ㠱㕤㤰㡦昶㜷ㄳ敦㝣㠶つ搹摣㡦㈴㕡愶昱㌲㐹㙦㕡㐴㐵㔸昲攲㠳〹㘶㜳㡦㌴㘹挶㜸ㄸ挸㠱㤸〴㘴挶㜸〴㌰㡡挸散㘱挱〸昹㕦㌱昷〷㔹昱㈱㠲㐷〱㑡㠲捣㑥㍡㈸㝣ㄸ㘰㌸昹㍦㔶㡣慤㈹挷㠹㈶ㅥ㑣㕥㤶㈶㈳攳㌱㜶昸㈸㐰ㅦ晣戸㈲㈶挲㤲昱㌱㤴愴㕦㑡挱愱㕥晡〹㔶㝣㤲攰㜱㠰㤲捥挹㙥㜹搷戸愶ㅥ㔵搸愷搰㔵㍣㐲㠰㥦昱改㌸挳〷㥤晢昰戶敥㐶㌳捦挴挹ㄷ晥㠸㜹戶㝣捡㝦て㍥捤㕦攷愲晢昰㝦㈶搱㤵㠵㥦搷摥摡摢㔸㘴〲ㅡ攷敡户㡡捤㝥〹攳㜰㕤捤㔰ち㐷愴㔲㈹㙡〵㐱㝣㜳挱挲挳ㅢ昸㤶㐳慡㐲〸搲㠰慡㜰攳㡡挳㈸㌰㍥挳愶挴㌱昱㘴㝣㤶㑦㐴慤摡挴捦挵ㄹ㍥〸攲㔵㜵扦㍦敥㥥扣㤰戸㔶ㄵ㜶摢ぢ㠹㝦㔵戱㤲㝥攱㤳ㅣ㑣㈱ぢ㤹㔶慤㐴愴㈹ㅡ晡ㄲ㌲㐳㝤挳㥣摢㝤昸㘹㤷㐴攵㕣昵摣戹㝦づ攷挷慥捤扦晢㥤㠳㑦㍥晦换ㄷ㥥昸捤晢づ晤攵㕦㑦㍤昵㥢㍦㍤昱摣扦㝥扣㝣攸攷捦㍣昳搳ㄳ㕦㝤敥㠵摤搶搳摡戳晦㥣㝢晡愱挹ぢて㍤㘰㥤戹敤攸㐳敦戹晦摥挹㠵㉢挶晢晡晡晢㙦ㅤ晤挵㌵㙦ㄸ㜹攴㠱敦㡢㥦晣晥㙡㔷愸攵攲〵慤搳攰戲搵㌴扥㡣っ愶挱ㄹ扦愲搳攰㜲搵㐶㉤挷ㅢ㌵㡤㠲㈲㥣ㅢ㥣㠰慡㌰㕢㉢〶晥〳㤸散戵愳</t>
  </si>
  <si>
    <t>bcf</t>
  </si>
  <si>
    <t>Inversión Total</t>
  </si>
  <si>
    <t>93b63097-6282-492b-9bc7-628c834a54f0</t>
  </si>
  <si>
    <t>㜸〱敤㕣㕢㙣ㅣ㔷ㄹ摥㌳摥㔹敦慣敤搸㡤搳㑢㑡㘹つ愵戴搴挱㡤搳㠶搰㐲〸扥挴㐹㡡ㄳ扢戱㤳㠲〰㙤挶扢㘷攲㐹㜶㘶摣㤹㔹㈷㉥㤵㕡㐱戹㠹㥢挴㑤ㄴ捡㐵ㄵ㐲攲㠵换ぢ昷〷㤰㤰㐰愸㐸㍣㤴〷㈴ㅥち㐲昰〰㐲㤱㜸攱〱〹扥敦捣捣敥散慥㜷散㙥㕢㜰㤱㑦扡扦捦㥣摢㥣㜳晥敢昹晦㌳捤㠹㕣㉥昷㙦㈴晥㘵捡㌳㜳换搲㐶㄰㑡㘷㘲挶慢搵㘴㈵戴㍤㌷㤸㤸昲㝤㜳㘳摥づ挲㍥㌴㈸㤴㙤搴〷㝡㌹戰ㅦ㤵挵昲扡昴〳㌴搲㜳戹㘲搱搰㔰捦㐱昸ㅢ㐹ㅥっ昶ㅡ捣〳㉣捦㑣㉦慣㕣挲愸㑢愱攷换〳㘳攷愳扥㐷㈷㈷㈷㈶㈷づ摤㝢晦攴挴挱〳㘳㌳昵㕡㔸昷攵㔱㔷搶㐳摦慣ㅤㄸ㕢慣慦搴散捡㍢攴挶戲㜷㔹扡㐷攵捡挱㝢㔷捣晢摥㍣㜹摦攱挳搶晤昷扦㜹㄰慦捥㥤㤹㤹㕥昴愵ㄵ扣㐴㘳敡㥣昲㝤戳戲㘲㜳㙤㔲晡戶㝢㜱㘲㘶ㅡ晦愵收㡦愷㈳ㄳ㑢慢㔲㠶㝣戵昴愵㕢㤱㠱㠱㡥〳捥㔴㄰搴㥤㌵㙥㥥攱捣㘱愹ㄵ㌳〸㜵㘷㐶搶㙡㠶㤳㡣㕡㜴ㄶ戰㜷㌵㜳㘳搰㔹㤲㙥㘰㠷昶扡ㅤ㙥ㄴ㥣㘵っ㔴ㅤ㜲捥〵昲慣改㕥㤴㘷㑣㐷敡捥㠹扡㕤捤㐷㈹搷㜷㘷㌲㐴㝡㘲㙡昹ㄳ㔳㠱㌳戳㙡晡㙡㐶〱㌷㈶愳敤㥣㕦㘹㙤㝢㝢昷㜱㌹㜵昵〶㡥㜹㐷昷㜶愸㌹㙦晡㡤㤶攳摤㕢挶㡢㙦㥤挱㍤摤摢愷昶愸戵捦ㅢ扡昷㔱㕢搹摡㕡っ挴昴慤㜶ㄴ㡢㌱ち〴晤〴㐵〲㈲搰㈸ㄱっ㄰っ〲㠸晣㍦挰㈵改㡥慣搲捡愶㔶㕥搱捡ㄵ慤㕣搵捡㔲㉢㕢㕡昹愲㔶㕥搵捡戶㔶扥愴㤵㉦愳㑤㤲㡡晤晤㕡㥣㥥扢㜴攴㤱㉦㙢挷攷㍥㜴攴摡㑦敦捡ㄷㅦㄸ摣㠳㐶て挵㤳㥡昵捤㉢㈰戵㈶ㄵㅦ㥡㌸挸㝦㕢㜳〵㤸挲㍡㙣ㅤ戱㈶㈷慢㠷て㥡昷㥡㍡㤷㤵㠱晣ㄶ㐲ㄹ㐱摢㐱敢㘱摢慤㝡㔷ㄴ敥㙥㤹㌶〳搹摣戸昱戸㙥摡慢扢搵攰㔵㥢㔷㉥㠵㘶㈸㙦㙥慦㙢づ搲搱㙤〹㙣㈵〳昵扥㕢摢扢㥤㌷㙢㜵㌹㜵搵㡥慡㕦摤㔶敤㉣晡摥㑡昷摡㌹㕦㍥搲愸敤㤸搱ㄴ㠴摡扡ㅡ扢㘳㤵㔱㔵㌴慦戱㤹㔵㉦㤰慥㥡摥戸戳㘸㔷㉥㑢㝦㐹㔲㈴捡慡㕡敡昵慣㡡戹㝥㝣挱挵㐲挱慤搵搷愶㑢慤攳㔷㐳㌰戳慣㘲扥㙢搲て㌷㤶捤㤵㥡扣愱愵㐹昴㑥㔴散㙦㈹㥥昳㉡昵㘰挶㜳㐳摦慢戵搶㑣㔵搷㑤㐸㥡敡㘹慦㉡昳昹㥣ㄲち㄰戸㝤㝤㐲攴敥敥捥ぢちㄱ㈹ㄴ㤳㤱㙦㙡㈵扢㠹戳㔸ㅤ㔶㔱㤳愴㐹敤㜵㕢っ挶昹㉡ㄹ㤳挱㠱愹㌵㔱㝦昰愵㜷㙤㌱㙣〳㜳㉦㙦㘳㑤ㅢ㡤㔷㝦㝣㕤扡攱㐹搳慤搶愴㥦愹晤〴㘷㘴っ〳攸搷㈰㄰扡敥ㅥ㔵㥤戸㉡㌶昴㉢㜶㌵㕣㉤慣㑡晢攲㙡㠸㌲㘸挸㘲㤱㕢摢㤱㡣敢㔰㘴散㈵ㄸ〵㈸㤵㜲㠵㝤㙣㔴㈸㈱攵㜴㑡愷っ㕥㙥ㄱ攴散搷挲换㠳搶㥣㕤ぢ㘵㈴㤴㠷㉤㘰㈴搲㙡ち㝤㐳㈴㔱摦慣㐴ち㘳㥦㌵〳㉡㌵㙤㌷摣㘸昲㙤〷㤷㐴㐴戴㉢ぢ㜶㥣㉣愰㈸㘸㤵〷ㄹ扣〶愲㘹㤳〶搹㡤㔳㐴㐴㌶挸搰散ㄸ戹㤵挸搸㍥㐳㐶愰㝤㥡〸搹晡㘰㜷ㄹ㐱㘲敦㈴㔲㜶敡捡㡦扢搲㙣㌳㕢㍥㤲㘶搷㘳攳㡣ㅢ〸㙥㈴戸㠹㘰㍦㠰昸㌳㈴ㅣ愵ㅣ昲慤挹㜸ㄵ㥥㡤㕢〸㕥つ〰昹㘴㔰收挴愲㡡㌶搴㜶散㐸戶ㅢ㠲㥤慣㡣攲㐸ㄴ搱㌲㙥搸㤹㐳㡥㐲㜴㙣㜵敥っ㕤㥢㔷㍡昶昵摤㘹㌳扤ㅣ㔲㘴㐶搳昴㕡户㘸㥡摥〸㌶敤㔱㙦摤㠶慥挶ㄸ挱㙢〰㑡挶㙢〹愱㕣㘸昰㙥捦愲愷㐹昹㡡㌰㡢㈲㘳愸㐷〵ㅦㄳ㌲㡦〰ㄹ㐲慥攳昸戲㙢㐳搳ㅣㅣ户㕥昱㌶昴㠱敥晣ㅤ㈳扤㑤㙦敥敡ㅤ晡㡢㕥愰ㄵ㝤㍢搸㑢晣扥慢㡥戹〳搵挶敢〹敥〴㘸搳㌱㍣㝤扦㔰㑦㠱㌲㡢㥤ㄴ收昶搲敢愲慣摣攵㡤㌵愹㌴搰愰戵㙣晡ㄷ㘵〸て挶愹㔹搸挲㥥敦换ㅡづ戵㔵㔵挰昳换㡤慤㠵挱㥣敦㌹㉣摦戵㤱㠳㔷㠴㘲挸攷戵扥㕣㥢㡤㥣㘱㙢愶㝣㑥㈹捡愱づ扥户扢㤰㐸㜵㙡㈵㉦昶换㍥㕦敥㑡㤲ㅥ㈴挹ㅢ戰慤挶摤〰㤰ㄲ攲户㕤㈵捡〱㌶㝢愳㙡搶㙡戱搲挳㤷㜱㍡㘹昳㈱㜶挸㤱㠱挸㘱㍢つ晦㐱㌰攴㉣搹㑥㐳㔸っ㌸㡢搲慦挰户㘰搷㘴㈹㜲换㔲搴散捡㡡㔷㠸慣攸敢敢㌸㑦㘷昸搷ㄴ㥤戴㐹㠹㑣㙥捦慣捣㌸㡢㌷㠹㡡㙥㐸ち㤵っ搷㔰㐳〲㤱昲搸㜶㔷挴昴㈰㘲敥挱挶ㄹ〷〹㈶〹づ〱攸扦㠶愴搹敥挶㌳ㅣ搶扦㑥㤷㜶戹㥣㉢ㄲつ捡㐵昸㙣㔷㘱㜵㤸慦㜹ㄳ挱ㄱ㠰㌶昳㠷づ挸っ㐲㔴㈸㑦ㄱ愲ち㘳㔸攷㙤㜹㠵㌴戰挷㐲㘰㘹愶ㅥ㠴㥥挳挸搲㤰㌵敢㥤昱挲㔹㍢㔸㐳㈴㙡搴㡡㌳て慦㑡ㄷ搴攵挳昶㘹㉢昳搶搶㘴搵戰㤶扣㍡㐴摢愹搹㥤㜰㌰挷㜶挰㤶㔴㘷㜳㑤㈰昵㜶㍥挶㄰〲㍢慤晣慤昴挶㙥换晢捤㐳摦㜰㜳㐷㤷敤戰㈶〷慣㠸改㤸㉦㕡搸㐵㐴づ慡晤搶昲慡㉦攵散㤰㜵挲户慢㌵摢㤵㐴〶㙣㑣〶敢收攵㐵㐴〹ㄶ㍤挶〰㍤㜷挸㕡昶㑤㌷㔸㌳ㄹ㔰摣搸摢昲愴挲㈲扡㌵㙤扢〱㕥愳戰挸晣戰戵戴敡㕤㐱挴戶敥戸㈷捣戵㘰㐷㘰㠵㐴ㅦ㈵㠵ㅡ愱〹㑤ㄳ㐵慤搸㉢㝥㜸㈰捦攵挸㝢㜹〲㠵慢㥣㑥㥦㜹㠶昶愶㕤ㅦ挷㘸㘸愷㜳㑥㠳㠸ㅥ㌵ち晢㌲愵㌰㌹搵戸㥦㝤ㅥ〰㜸昰挴戹㔳捤挸摣㡢㡡㔹敢昴昲㘷挸㜸㐵ㄶ㡤㐰〸㝤㜴㝢㈲㔲㘱ㄹ㈹〷ㅣ〸㡣昳愹㥤晣㑡㤶㙡㐳敡摢搳捣捥㈱㤲㌴㘸捤㥢㉢戲㠶㜸戴㘳㠶㝢愲〷㥡戱㡥㔹ぢ攲扡ㄹ捦㜱㑣㤲ㄶ挹㜲愹㘲㤲㠲愷敡愱㜷摡㜶つぢ㐰搱㕦㕣㘴㕥㐵㤱㜹㔵ㄵつ㕡㘷ㄹㅡ㔴㜹㡥攵㕤㌴㝤㍢㕣㜵散㑡㤱てっ摦敤〸㥡〴㤳㔳昲㈶㈹㤱ㄹ㘳㙤搶晣㌹㤸㙣挱〴搰㍤〱㌹捡慤㈳晡㐱戹㥡㈸攰㥦攸搱戱〴〱愳㍣愵挶㕢㌱㥡慥㙥㐷㐰攴愸㜴㉤戹㠳㜱敤㜱㤴㐴㐲㠸㔸捦㈰ㄱ㜸〵㔳㐲㥥㉥敥㠲㜵捥戵㐳㘰㡦ㄸ㥢戳挳搹〰㈸〷㐰㔶ㅤ㙦㙦㔶㔸㑤㜵ㅡ㙦㘸㠵摢㍡慢㕡搴挴慤㥤昵㘹扤昱扡㑤慡㈳㡤㤲㔲㈴㕢㌵㔲㥡㘵㤳㌹敥㈴㔵㈳㤴攲㑥戴㡤挸㜲㥢㌶昷㥤㔲攴㐵㈸㈶㐵㌳㌹攳㙤㡡㔰㄰攸㡤㜵ㄴ㝤昶搹攴㤱㡡搸搰〶㈸㔱㑦㐵㘵㐳㜱㐸昰ㄴ慥㥤㔴㘵㈹㝥〲㝦敦㠹戳ぢ昵戰愵挶扣㍡ㅡ搷㑣搵㙡ぢ㉥慣㠴㡡改㔷㜷〸㑢㘳㙤㤱㠶㔱摣搹慢昶㡦戶㌷挵㠸㌱ㅢ㌲㉣㤲攱〷〶ㅢ㠲戹㔲ㄱ㔵㕡㘷㐳摣敡㐶㜱㤱㑦愷愵改㉡っ㉣㠵搵㔹戹慥捣戰愶㈵㍦慡㍡㌴㑥㡢㑡㡥ㅡ搶搴㑡〰㤵ㅥ㔲㡥挷㌹挵攰㠶㜵㤶㙥㈹㕣㘲㠰搸㡤㜳㡢㤵㄰愱摤挶〰㍣ㄹ散ㅣ散㘰㐷愲搰〹慤㌳㑡搰㐲〶攱戶㉥㠲扣搳㈳㐶㈱㐸㉤㤵晥㝥㑣㝣昱㈹愶㙦ㅥ换㈵㤹㤸㠹ㄸ敥捡戰ㅥ㠰摣㜴㘴㤲㕣㌴㥡〴捣㈳挹愶㠴搶㘰㔲㐶ㄳ㘳㠸㈶㥦ㅦ攲ㄶて㘳㔹挳㘴㥢ㅡ敥戹㠵㌶戴㘹㙤㘳㡦㜵捡慤搴敡㔵愹㔴㜱㈲慢㤵㐶摥ㄱ昸㔲㔷〰㈳㙥捡搸㤷㜸㔳㑥攱㈸挵㈵ㄳ㐹扤摢摤挶㌱㜴㔷㐲づ㘳㐴慡㡦〱挸っ户㥣ち㠸㜵摣㔳愰㝤戸户㜹㠱㐱㕤㥥㠳㐸敢㈸愲㉣㥢挷㝤扣㐶ㄴ㔹㜱㕢慡搹扣㌷敦搱㘶㑦ㄵ㥤戴愳愲ㅤ㠱㈳慣㌳ㄲ㜸㠵〲㡣㤱ㅥ戹㠳㠳攴慥挵搱摤㙢㡦慢挷摣㌵愰㐲㘱㐰㌰挶换㔳㔰づ扢ち㐶愲挱慤㌵慤㙥挱攸㉦㉤㙦㘳ち㐰㌰っ㑣㠳ㄶ㉤㈳〳㘷〶昹慤つ㥣摢搰㉡㈳㐲㥡づ愶㌲㐶㌹ち㠷㍤㤰〶㙥攲㐱㝡搹㠳ㄲち昷愹㡢㘱挹摤挴㜱〷㐷㈰捦扦愱慤㜰搱っ㜱晤挵摤摦㔶㍣㔵慤搲摣㠵㝦㙥㐷㘰ㄵ㔷㌷㈲㜳㜴㕦摢愵㉣戵㈶摡㜷户户㔵挴㤷〵て捤㑥㥣㌴挳捡敡㔲戸ㄱ㕤摣敡㤵㈴昴㥦挰ㅦ戱改摢㘹㌳攷㕤㕥㐴㕤攷摥㤷㉥扢摥ㄵ㔷捤㑢て㜸敢てㄴ㠲㉢㤴晤㥣㘴㈹昷㙦晣㔳㐹换改㍦挶㠸摢㤹㌶〷㘸㍡㐸㌸㡥㑡㤱㌴ㄸ㐳㍥㠳㑥㘰扢㌷㙥つ㤰㑥昶戵搱㠹ㄲ〴扢㠴攲㕥㝣挹〸㐵晣〸㘸㈵戱㐴㐷㜲散昹㌷挰晡攲㠷㈸㈱挲昱ㅣ㡢ㄱ晤㌵挸㘵愰㑥〹昲昸㡡〷㉦㠴晣晦㘰㈹攱收㑤搹改扦挰捣攲〷敤㈸扡㤵㈸晡㝥〷㡡〴慦㠱㈸晥㝤㄰㤹㈴改っ捦扥愰㐰㌸搷戴㝢〰㝤搹㉦晣晥てて愰昳㌱㜱㈸ㅢつ愱戶㍢昰摣㌰ㄱ晡㍡㑣〴〶敦㤵㠹㜰ㅡㄹ挱㈸㝥㘴㈲挴㍥㤰〵ㄴ㙣㙤㈲㌰戶㤷㘱〸愶㐲慤㈹户〶㑦㘰㌷㌸昴㡦㥤挴挵㕢ㄹ㈰㥥て愵ㄵ捣挰㈳㜵㘳㘷昱愲改㥢捥㝥㔵㝥挲㤷㔰㘶晥㌲㙥㜲慢㉥散㜱昳愶㌵慡搳㈶扥㡡挴换扥敢㑦搹摥晤㜵㘰㉡㑡㤱晢㕥ㄴ㐵攱㐵㜸㑡〴捦つ戹昷敤晢搶㠹㍦㍣晡攴㌱摥㔶㡢㘹㔵扦ㅢ昹㕥㐲昶戴㈷㄰搴㑤㕤ㄴ戹㥥ㅦ收㥣挶㈷㑡昶㕡㑤㑥㥢扥戲㠲〲挳㐹戲ㄱ攱愵〸㌳㈲扥㥤㘰㘲攲摥㐳㘴㘲㑥戴戹㍢搵㠷㑤捡㐵㌸㤱㥡戸昲改㈵㘱㐳搱㔵㤱昵㘸㙤敡摦㠱㉡㝡㠱ㄳ㘹戵ㄲ㜹敡㘴ㄲ攲摢敤扡敥㌰㜵㕤㜴㤰㘱搸㍦㤱㔲㠸㍦㤰㐲搲〷ㄹ㕥〸㔰㔲敡㉣㌲晡㍤〰ㄹ㤱戵昶㄰㉦晤〱扢㐲㐰㌶㉥晤昵昸ㄱぢ㜶ㄱ㔸㑣㝣昱扤㥥㘸㘹㡢㈶慡㠹愱㕡㘵搳㉣㈱愳づ㉦㉣㤸㑣㑡㤷㤱㐹㤲㝥〸戹㙤扢愳昸㤲㈱㈷ち扣㐵㡣慤㍢昴戵㤵㥣攳㙥ㅤ㌷㍦愰㘷ち㑡㘱戸㝢㔹㡣〳愹㡡搱㐵㑤㑢㔱ㄱ攱㜰㤴㙤㜴ㅡ㠸慢愰戳摣晤㌸㤵㈲昸挷㉦㠵㔸㍦摥ㅣ晡晡昶ㅡ敡㌸户ㅦぢ攴て昶搷慤ㄹ㡣㡤户㤲㘳㈰㘱户搵慡ㄸ㕤て㍦㠷㉥㕣㜴㑥ㄸ捤慣㝡ㄶ㠷昱㈷攱慣㍥慤㐳晦㌳㝡慤㌸敢㍣㝢㌳㡣摤愲晦摦㠹㠲㉤昵扦㘰散㑤㈱昲㕤㜱㠶て㍡攳㈷㕢㠶㙣戸㈳昰㙣㈳㜸愳づ挶㠶捡㌲攴ㅤ攵㤶昰昱㙡㔴慤㈴㌸晣㕥昹昶慢ㄱ㡤扥戴㙤〷扡ち㐰挶㠶昴㙦㐰〴㜵敤摦㉡户㤲搳㙤攱摤攸戸敦戴㕤昱扤挰戳挲戱㈵〴㝤挷昸敤㤹〵㥢㘷㑡㝣扤㕤愸摤㡥㥤ㄸ㝣㉦晡㥣㔹㠰挰㍥㈳挳㤷㉡ㄶ挹挸挲昶㈲ㄹ晣づ㘹㈴ㄵ㕥愲㜶〸慥戳ㅥ慡㥢㌵㝣扡扡〰㕦㘷挸愲ㅤ愱散㈲㡦㜳晢つつ㙥ㅤ敥㘸扤〳晥㈰㔹㥢㐰㜰㑣㉤攱摤敦攵扥戶敦㐱㙢摢㜸㙤〱㕢昶收㜳㉢改捦〰愷摢㝢㑢㉢挹昰㥤晣㈲戹㘴㤴〹㜱㘹晦ㄸ晥㙥摦㐱换搱㐶㐱攷昱〷摤㜴㠴㡤搷攰㍥摢㐶昴晢〲扡㡡㈹〲晣っ㌳捥昰㐱搰换㐷㔶ㄴ㕦挱戲挸〰挸攷ちㄵ㠰敥㔴晤昴㘶㔴㍤昲㈰㝢㈲〹㥥㌱㐸㡥㈵昱㈵㌴攴㜶㐵换〶㑢㜰搹㐲㥤㈵㤰㌷㤲ㅥ挸攷〴捦ㄲ㙡㈲㕦㐰㠷挶㐴㙣㤴㜶㥦挸攷㌷㥢㠸愰ㄵ愰ㄶ㥡ㅥ㝦㈴搱㈲㐶つ搵㠶㐳攰ㄲ㜸〰㈳㠹㌲ㄹ愶㝣愴搰㈹㐴㌱㠶ㅦㄲ㐵㐸扦㠹晦㍥㝦散搷捦㌲晤敤㤸㔰ㄲㄱ㔵慤慢愰㐴㔴慢昸㔴㝡ㄵ㍥㑡扢慦攲ㄳ㥢慤㘲㠴挲㤲㌳㌱㐲㠰愱㍥㔱挶ㅦ戵慡㍡㌲摣㔰晥挴〵〲晣㕡㘶㌱㘲愲㐴昵扤㠲っ晡㜲攷㔵慢慢挸㈴㝤㜵㙥㐴挶㔷㍥捡㔰攲㡤㐸㍡㜵ち㤱㔷戶㄰愹挷愲ㄳ扢㘳㜷㠴㤰挰㤲昸搹㙣㔷搹㕥攸㌱搴㉦㍥㥣㈰收攴挹攴ㄳ㉡㉤づ㍥㠱㌰㈲搳㤴㠴挴㡤ㄴㅦ㑡ㅡ㝦昷㝢㑤摦㈹㉡㤰㐰㍤㔱㘳ㄲ㥣㙡晣挱愴昱㈱㝣㥥愵摡攴㜸㤵㠰改昹愴㌱〹㔳㌵㝥㌲㘹晣搷㐳晢ㅢ㡤ㄳ㍡㡣㐶搶㐹㈴ㄹ㐶慦㍡〶愴㍥搵ㅥ㐶㜳摤愲㈲ㅤ戰愲㘲㡡㔰ㄵ㐳慥㈹㔵㍡㠸㕢㈱㍥㍥㤶㥥挷㈵㈷摣〵㠱戴㡤晥㥦〹愷㜰昹㘹搶っ㑤㝣ぢ扤㡥愸戳㙦愸㈷㜶㉥㔸ぢ㍥ち晡慤㔳〱づ㔷搵ㅤ㐵㈲戰ぢ昲搱晥㙥攱㥤捦戰㈱㥢晢㤱㐴换㌴㕥㈶改㑤㡢愸〸㑢㕥扣㍦挱㙣敥㠹㈶捤ㄸ㡦〳㌹㄰㤳㠰捣ㄸ㑦〰㐶ㄱ㤹㝤㉣ㄸ㈱晦㉢收㝥㍦㉢㍥㐰昰㈴㐰㐹㤰搹㐹〷㠵て〲っ㈷晦挷㡡戱㜵攵㌸搱挴愳挹换搲㘴㘴㝣㤸ㅤ㍥〲搰〷㍦慥㠸㠹戰㘴㝣ㄴ㈵改㤷㔲㜰愸㤷㝥㡣ㄵㅦ㈷昸〴㐰㐹攷㘴户扤㙢㕣㔳㡦㉡散㤳攸㉡㥥㈰挰捦昸㔴㥣攱㠳捥㝤㜸㑢㜷愳㤹㘷攲攴ぢ㝦挴㍣㕢㍥攵㍦㡥㑦昳㌷戸攸㍥晣㥦㐹㜴㘵攱攷戵〷㝡ㅢ㡢㑣㐰攳㕣晤搶戰搹㉦㘲ㅣ慥慢ㄹ㑡攱㠸㔴㉡㐵慤㈰㠸㙦㉥㔸㜸㜸〳摦㜲㔴㔵〸㐱ㅡ㔰ㄵ㙥㕣㜱っ〵挶㘷搸㤴㌸㈶㥥㡣捦昲㠹愸㔵㥢昸戹㌸挳〷㐱扣慡敥㤷攲敥挹ぢ㠹㙢㔵㘱户扤㤰昸㔷ㄵ慢改ㄷ㍥挵挱ㄴ戲㤰㘹搵㑡㐴㥡愲愱㉦㈱㌳搴㌷捣戹㍤㡣㥦㜶㔵㔴㉥㔴㉦㕣昸攷㜰㝥散收晣㍢摦㍥昸搴昳扦晡攳愷㥦㝢捦搱扦晣敢改愷㥦晢搳愷㥦晤搷㑦㔶㡥晥攲㤹㘷㝥晥攰㔷㥦晤攳㕥敢㙢摡昷晥㌹晦戵挷㈶㉦㍦昶㠸㜵敥敥ㄳ㡦扤敢搲㐳㤳㡢搷㡤昷昵昵昷摦㌹晡换㥢敥ㅡ㜹攲㤱ㅦ㠸㥦晤敥㐶㔷愸攵攲〵慤搳攰戲搵㌴扥㡣っ愶挱ㄹ扦慣搳攰㜲搵㐶慤挴ㅢ㌵㡤㠲㈲㥣ㅢ㥣㠰慡㌰㕢㉢〶晥〳㍥㑤戱㤸</t>
  </si>
  <si>
    <t>StartOptEquations</t>
  </si>
  <si>
    <t>Decisioneering:7.4.0.0</t>
  </si>
  <si>
    <t>㜸〱捤㕡つ㤰ㅣ㐷㜵摥摥摢㥤摢摥扢搳慤㉤ㄹ戰㘵㤳㤳㉤㈱㥢㤳㡦晤扤扢戵㑢㐱昷㈳挹㘷㐹㤶慣㍢㐹㈴攰㕡㘶㜷㝡㜴㉢敤捦㜹㘶㑥扡㈳〴晦㠴〰〹㈶愴㑣戰㐹㠸ㅤ㌰㠶〴㐳㙣ㄳ㔲㠶㈴ㄵ㐷戶ㄳ㑣㐸㠵㈴㤵挴㈴㔴㐱愰㈸昲攳㄰㜰捡愹㔴㔲㔴挵昹扥㥥搹扤晤搳㥤愴㌸㔵㥥扢㜹晢晡昵敢㌷摤㕦昷昴㝢摤㍤㈱ㄱち㠵㕥挱挵㕦㕥ㄱ㌲㔷捦慦扡㥥慡㡥捤搴㉢ㄵ㔵昲捡昵㥡㍢㌶攵㌸收敡挱戲敢昵㐱挱㈸㤴㤱敦㐶ぢ㙥昹㕤㉡㔶㌸愳ㅣㄷ㑡搱㔰㈸ㄶ㤳㘱㕡〹敥㐴㈳㈱㔹㑡㔲㉣愱ㄵ㤲〶挸㘰㍦挸挲捣昴攱攲㈹㍣㘴摥慢㍢㙡搷挸㜱摦搴敥㔴㙡㉣㌵㤶捥攴㔳㘳挹㕤㈳㌳换ㄵ㙦搹㔱扢㙢㙡搹㜳捣捡慥㤱㈳换挵㑡戹㜴㐰慤㉥搴㑦慢摡㙥㔵㑣㘶㡡㘶㜶㌲㤵捤攵散㝣㝥㜲㌰〶换户捤㑣ㅦ㜱㤴敤扥㕡㌶㈵㙤ㅥ㥥㤹ㅥ扢㑤㜹慦㤶捤㌸㙣挲攴㙣扤㙡㤶㙢慦㤲搱㈸愱捥捤慡㔲㤹㝤愲㤴㔳慥㥤ㅣ㐳戵摢㠰㐶㙡㘲㙣捡㜵㤷慢㑢散摥ㄹ㔵愹ㅣ㔵㌶㘱㤳搵㔹搷㍢㘲㍡㔵㜷戰㑡晣㤴愳㙡㈵攵㙥慡敥㕤㈹愹㑡愰攸挶慡挷㑤攷㌶戳慡㈲㘴㠶慢㝥ㅦ捥㔹慡收㤵扤搵愱敡㌱㔷ㅤ㌵㙢㈷ㄵ㔵愲搵晤换㘵㑢㐴㈲昸て昵敤散㔵㌳摤㔱愸㑦㜵㘶搱㜴㍣㥤㘲㕤㔲扤㜴㕢㠶㡢㙥㐵㕢扤㌸愴㐶㍡㑡戱捦收换搵〳捡愹愹ちㅦ挲㥥ㅣ敤㔰搲〰昹晤搰㐴慡搱ㅣ昶㤲ㄸ〸摥〹戶㠵㑦㌱〶㐰戶捣ㅥ慢㤵敤扡㔳摤㜵愸㕣摢㥤摡㜵挸㕣搹㥤㤶㠳挸㤱㐳搴搹〴ㄲ㍢〱㜰摤㤱搵㤴ㅣ愶㍣〱㈲㈲㍦挲㉢搷㙡㤱挶挲〵㌳㕣㈸㠶ぢ愵㜰挱ちㄷ㔴戸㘰㠷ぢ㈷挳㠵挵㜰愱ㅣ㉥㥣ちㄷ㑥㐳愷㜱挵晡晢挳挱㜵㝦攵摣晤捦㍦昰㤵搹㉦㝤戰晦扡戳㥦扥晢ㅦ〴摦㌲晤㤲㕥づ愶㜷つ㌷㈳㐷㙥〱㌱慥〰改㘷つ㐷㔶搳昲㜵ㄴ扦ㅥ㐴㠸㝦㐶〵㔹挹愷て扤改昴慤㙦晡昱挱㐷㑦㍤晣搰慦㍥昲昲戳㠲慦慦戶㝥㈵㤸摥搶慦愲㤹慤㈰挶搵㈰㡤昶㘷攴㌵㤴扦ㄱ㐴㠸敦〶收㌳昹愷㥦扤攵㠵摦㍣昰㘴㝡晢㝦づ扥攳㑦戲㠲ㄳ㠳㌶㍦〲愶户昹㙤挸㤱搷㠲ㄸ搷㠱搰扣㡢摡㘷攵㜶捡㜷㠰〸昱捤挰晣捦㕣摥扦昳攵㝢㙥㥦昹昰つ㍢晥改㕢㝢㙥㍤㌹戸ㄳ搹户〷㍤㌹敢㤸㘷昱㙥慣扤㜶改戱㈴晦㌶㥥㙦㌰摤搸㌹㝢挲㑥愵慣㕣搲捣㤸㔱昶昸㠵づ㙣づ㠰㐱晢㐴戹㘶搵捦敡㤱㝥昵戴改慡戵㠱㍦ㅡ攴㑤搷㤷㙢㤶扢戵㜷收扣㘷㝡敡慡捥扣㌵㈳㕤挵收㌱て㈸㔷㍦敦㡤㥤挵㡥㥢㤵㘵㌵戵㔲昶戳慦改挸挶㉣㔰㉦㥥㍦㜷㥦愳敥㙣收㜶搵㘸ち摥攳㡣戶摤搵㑡㍦换慦搷挸捣㘲摤㔵㌵㕤扤搱敡㤱㜲改戴㜲收ㄵ㝤㡦戲㜴㔳慦㘰㔶㌰ㄵ㡤ㅥ慥愱愱㤸㕣慣㙢㕢愵昶摥ㄵ㑦搵㉣㘵愱扥㑢捡昱㔶ㄷ捣㘲㐵扤慥㑤挵㝦㈶㌲慥㙣ㄳ敦慢㤷㤶摤㤹㝡捤㜳敡㤵昶㥣㈹敢㡣㠹改捦㍡㔴户ㄴ㘶慦〸慦㤰〸昵昵〹ㄱ㝡㜳慦㈹㠴㜶摤㌱摤ㄱ㉤㕤捣挹散つ敤挳㙥散㈸㕡㠷㔶㔴ㄴ挷㘴㜸晢〶挶戴㕤㥡戹攱晣㡡㉤㙤愲愳愶昶昵攷搷搶㜵㙣昶摣晦慦㜲㌸扣㌹㘸晤摥㌳㜰ㄱ户㤸㌵慢愲㥣㜵挳っ挱ㅡ挹敢㐱愲摦挰摢㝣㕥昴㌸摢㠹ㄵ戱ㅡ㍤㕢戶扣㐵㘳㔱㤵㑦㉥㝡㤰㈱ㄴ㠹挵〸㙤搷㈵摦っ㤱ㅣ㈵搹〵ㄲ㡦㠷㡣ㅢ愹㘴挴攵㤸㥦㡥㜲昲扥㜸攷挳㘰㐷㙡㘷㠷挸挴㡤㔶昷搵ㅤ户慦慦㔷㉢㙦㌱摤㐵㡦挳㜳摤㑣扡ㄹ昹ㄶ㤲㈴㐸㤴敥㘳㐳摦㐶愵〸㕤昸㔰㜵㔶搹㈶〲㈷晤㜶ぢ㌳㕡昵㝤昱慣㜲㑢㤲㑥㝢づ敦捡㡡〱づ㉦晦㘰㤵愳㕦慤㜸戳愶㘷昶㔷攱晥搱㑢ㄲ㑡愳扡㤴捦戱攴㤰㤶㌵㑡挷㠳ㄴ㉣㈴㌴摢㘲㘵㐰ぢ㝣㑢㜸㜱昰扥㠴晡〲扡㝥㈳㔰㜷㍡㘸愳㜳愰户扢㜱㐴ㄷ搶㝥㔵㕢㔸㕤㔲㉥搵㘳挶扡㔰㜶扥㕥㌴㜶戸㔴㍣收㤵㉢敥ㄸ㙡扡摦愹㉦㉦扤㥡㜶㘸㑢愶㐰ㅡ㔷昴敢ㄸ挵ㄷ摥㈶㠶攱晤㘷搸㌷㠵㐲㈸㐶㙢㤴㐸〶ㄴ㤲愳ㄵ挶㕥挱㡦扥㘴づ㍦昱昵昲愲㜴㍡ㄷㄳ昲搰换て㔶㠱搰㠲愳㜴㄰ㄷ搳〹愰㍤㔴㍤㔱㜷㑥ㄷ敢昵搳ㅣ㑦㥢㜴捡㕤㔴捡㘳㘰㌴㄰〴㠲㍡攰ㄳ愲慦慦㉤挶㘹㠹愰ㄸ㔲ㄹ㜹㤰愱㈹㠴ㅥつ㡢慥㜱ㄳ㐴㝤〸搱㡣㥢挱㕣㥢㑡㡥㡤ㅣ㌲扤㘹戳㔲㤸㤹ㅥ戹㍥㤳扣㜱㙦㑤㌹昵ㅢ搳挹㔴晥㠶戱㤵㡡㕢ㄵ㝦っㅣㄸ愷㍣㤸㝣敡㈳昷ㄶ㐷攷㍥晥㝣昱扥㥦扢㜵攱㈵昱㕣㤰搱ㄵㅥ㌱昶搱ㄱ摡㑦㠲ㄱ捦㐰㡤昳ぢ昸昶㑢敥㐱㕡㑥㤱㑣㠳㘰㤶搰戸㘳㤲㤸昵㤳㠲昱ㄳ㈷ち戹㤷㘴ㅦ㠸㘰〰愵愳扣晤㘰ㅡ㤷昸㌲散戳昷㜵て㌲攰敡敥挱〳㤰挶攵㍡㜹㠲㘱ㄹ㝢㔱ㄲ㌵㐹㥣㈴㌱ㄲ㡦挳㜰㑦〰㝥㍢挸攸㡡攰ㄸ㥥㘹〰ㄶ㔸晥㜳㔰敢つ挰㜱㍥攳〴挹摢㐰㕡〰昸㘹㍦㈹ㄸ攲㘹〰摥㑥愵㜷㠰〸㠶㜸ㅡ㠰㍢挰㌴㉥昱〸㥥搱〴㠰㌱㘱㌷〰㈶愴㜱戹㑥㥥㘰攰搸ぢ㠰㡦㥤て㠰〷㠳㡣慥ㄸ㜳ㅢ㉣㘹〰㑥㠱ㄱㅦ㍤㉦〰ㄵ㘴换㉡㐹つ愴〵㠰㈵㍦㈹ㄸ㠴㙡〰敥愴㤲〳㈲ㄸ㠴㙡〰㕣㌰㡤㑢摣搷ち〰愳搶㙥〰捥㐲ㅡ㤷敢攴〹㠶戶扤〰戸昷㝣〰摣ㄳ㘴㜴㐶挱㔱㝡搵㡢㠸㕥〶㔸㘱晢㜸㔹㥤攵㜴扢挹挶攲㙥㘶搹昵敡摡㌷っ搹戳昵摢敡摥㙣搹㕤慡㤸慢㥢敤㠰㌹戱愸㙡㠸摣ㅣ〴㜰ㅤ戲晡搲㤲戲愴㍤㕦㕦㜶㑡㙡㙥昶戵㄰搹愱㝤攸㍡ㅤ搴㠵〵慥㑢ぢ㔶戰敥㄰ㄸ㈵戸㐲㔱㠶ㄸ㥤㍥㐷㉦㌱㕢攲㐳捤戲㐳㠷搷㄰㕤㈸㝢ㄵ㌵㘰敢搸㑣昳㌱ㅢ㈸㈲ㅣ戶晡敤㠵㐵捣挵戳㐳昶㝥愷㙣㔵捡㌵挵捥搸攲慢ㅥ㔴㈷ㄱ晡ㅥ愹扢㘵慥收㠷散〵挷慣戹㑢昴攲愵搵换摢㔲摡摤㐷敤改㜲捤挵㘳㜴㉦㤲ㅦ戶攷ㄷ敢㘷戱摦戳㕣慤敤㌷㤷摣搷㐴慦㜰扥昴㉦摤㌵㈲㉣挲㘱ㄱぢ挷㉥戵㝦㡣扢㘱敤ㅡっ搰㤲愳㍣㌵ㄲ㉣摤㐷㈰昰㥣㜲㜱㤹搰改挷愵㐱㈳㈴扡㌷㐳㔱㠶㡡㥤㥥扢愵㌳㍢挲㙥搶扡㙤敢愴㘷〴搸摣㑥搳㘱敥㍤㉣㜳㉦挸慤晢㡦捤慤㉤㐸晦㑦㥢㘰搱㕤戰㜷挱昱㍦㕤捦㈶㝦㌰㜱㑤挰戱㠵㜷ㄴ㘳㠲愹捥〱ㅡ户戵づ挷敡愶㌵㜶ㅦ㐲挸㐱晢愰㔹㔴ㄵ㐴扥㔵搳摢攴㈷戸〴愹㥡ㄵ㌷挸㥢愹㔷慢㈶〷ㅦ户㝡收㑢㘶㐵挵散愹㘵慦㡥ㅤㄴ㘹㠳攸ㄱㅡ㠸捣ㄵ㠸捣ㄵ㍦㐶戵㡦㜲㐵慣㜹摡慡㥦㌴㥤戲户㔸㉤㤷㘲㑣㜰搵晡㥡ㄸ戵㤸㐹戸㈶㘹㕣㡤㔹愵㌳攸昵㐳㑦㜴昷ㄸ搶㠹㠴㡥摤㡦戱ㅤㄶ〶晥挴㈵㉥㤸㌰〷㘹搷㈲摦ぢ㙢搱㌰〸㈷㈵㝤扤搴搸攳㝤改㉥㐸昴㌴㈵戸摥㘱戶晣昹㠰㘱㈲昲ㄶ㤰㜵愳㘹㉥㑣攲〷敢愶戵捦㉣㘱摢戶㍦搸戴㡤愱㙢㌹改㌸〹慥㙦㘶戰㘴挶㔲晣㑣搹㔲㑥㡣㠲㜹散ㄵ㐷戸㌲㌲晣㍥㐴愴搷ㄷ㡡㐶〷㘲扤㥥㌵搷戰戵㍤㠸ㅡ㕢昷愲攷扡散晦攰昶挹户㜲敢㈸ㅥ搷捥敡㝤㘰攵晢㐱㐴ㄲ㠴敤改㔰昸〰ㄵ㝥〱㈴捡ㄸ扤戳㙦摡㤷ㅡ挱㠲㈴愲户㍢戹〸㡡㘱挱愰㔷㑦㔱摤㤰㠱㤶㔵㡦攱㉦㜸㘲㡤㍤㔴㘳ㅥ愳㕣㔹㜱㝦愶攵敡㡡摤ㄱづ㐷搰搵㐶攷㡥㔱搷㘳㘱慣㍡慦昴㜲㐸㜰〹㘰晣㈲挸〰㕦ㄶ搸㉦捣愴挶扢挲㠸㜸㕣摥〷㥤㔰㕣㜰㑤搰㘸戸敥㉦ㅦ㤹て㐱㉣㝦〹㐴㌰晣㘵㈰搰攲戶挴ㅥ㈴改扡㐲挶㠷㐱㉥㝥慡ㄴ㔳㈸挶改㔲晥㌲㠸㤸〶攱㉣搴ㅣ㤵昷㠳摦㜸㔴㌲挰搶愳昲㈳〱挳㠴㘰㤴摤㘸㄰㕦戰愰慢㝦〵慣晣㈸ㄵㄸ㠱昷㔰㜸㠰ちて㔲㠱㐱㌹扢摢昸ㄸ㐸ぢ㡣ㄳ扤㘰晣㌵攸〰挶〳愰つ愳㉤〳散攳㄰换㕦〷ㄱっ愲㍢㘱㘴攴散挳昸㄰戸㑢㠰㤱㔱户㠶昱㘱㌰㠲攱㜷ㅢ㡣㥦㠰㘰㘳ㄸㄹ愶㙢ㄸ㍦ㄹ㌰ㅡ㐶挶敡㡤〶㜱㝥〸㘰㝣〴慣晣ㄴㄵㄹ挷昷㔰㜸㤴ち㥦愶〲㐳㝢つ攳㘷挰戴挰㌸搹ぢ挶摦㠲づ㘰㌴㐱ㅢ㐶㕢㘰晣㉣挴昲㌱㄰㜱ち愴ㄳ挶ち㘴㍥㡣㥦〳㜷〹㌰㌲㜶搷㌰㝥ㅥ㡣愰㜳㙦㠳昱㜱〸㌶㠶㜱㠹㘵㜱换㈷〲㐶挳挸㠸扦搱愰ㄶㄸ㥦愴攲ㄷ愸挸搵㐰て㠵摦愱挲ㄷ愹挰〵㠲㠶昱㜷挱戴挰㤸敦〵攳㔳搰〱㡣㕣㈴㌴㡣戶挰昸㈵㠸攵㤷㐱挴㍤㈴㑣晤㕥挰昴攱㌷㑡㘷搰㌹挷㜵昹ㅦ晤㑥搹昴㐴昳摥㙡〵摥㥦㉣攷㍣㥦攳散ㅤ搷㌲捣挴㜵〷攷㠴㤱捥㍤戹㘶搹㥤㜸摥挰㤶㡥晤㑥㕤㡣㌹昷戲㑡晢戰㌶㌹㙦㜹戶㘰㙤昳㠳㘵㜸ㄹ㝦〰戲攵㔰戹攴搴摤扡敤㡤捣㈳挶ㅤ攱晥戱ㅤち㈵愷愲戳戰搸昳㤹㙣㔸愴挶㠳愸㌳摣㑦㠹㥦慥搵捦搶㜴㙤愲㉥户搱㌵㕥晤晤㝣㑣ㅣ户扥慥〳㡡〹㍡㐵ㄶ㤶㝦〸㌲搴㤷㜸ㅦ㝥搸搷挶搳㈰㍢㘶愶㘷㡥ㄶ搲改捣㘴㉡愵㙣换捡攵戲㤳ㄹ㜳㌲㙢㈵㤳挹捣戸ㅡ捦㈶㉤㙢㈲㙦晣㔱㔳㌵㘵㈷㙤换㌶㡢ㄳ㤳攳愵㙣㌱㌷㔱捣愴搳㐹㙣㔷㘷捤〹搳戶㡡戹挴晢〳昳昲ㅣㄸ昹っ㐸攲〳つ搱戳ㄴ㍤㐷ㄱ㥤ㄶ㉢戱愶ㄵ扤て挹ぢ昵㈵㙣㡦㈸㡡㤲戰㠴㡡昴昷㡢ㅤㅤㅢ挴㕤㍥愸戹挳㘶ㄸ㜴㐱搱㥢〰昳㠵ㄵ㙡敦㐵ㄶ扥っ户㝣㥥攴慢㈰昱〴㥤ㄱ〷愸昱愷㈰㥢㘶愶ぢ㉤愱戴昱㌵挸㉥㠳慣晤㘸搱昸㌳㠸〷㈱搶慥ㄷ㘷㤶㙥㠲摥㡣㔶晣㜳户㍦㈷㌷〴㈲戴ぢ㘲敡㉦㤸㙡摣㜴㐱敦㘵㈲㠹㠶㜰ㄴ㠲て㐹づ㉤㡥㈲㌱〶〹㐷㔲晢㐸愰㈳搲㈳攱慦挱㘰㈴搰改攸㤱昰㌷㘰晣㤱㌰㙥收㜲愹㘲捥㐶㉦攷戲愹昱㔲摥戴戳ㄹ㘵㤵㈶㑣㤵㌴慤㔴摥昸摢愶㙡扡㤴捥㤸戹捣㐴㌶㘷ㄶ戳㔶㜱愲㘸摡㤹扣㔹戲㈷搲挵㠹㕣戲㌴㥥愰㍢搳㝤晣〲ㄸ昹つ㤰〴扤㤸ㄶ晤ㅤ㐵㝦㑦搱㠳つㄱㄵ㈴㔵〵㥤ㄶ㐷㠳搸㡥㈶戰愷㌴攲摦㘲晥户㐱攲〹晡㉤㡤ㄵㄱ㤷㠴㔸ㄲ搰〴㕤㤹㤶㙦愶攸㝢㈴㕢㐰㠴昶㍦㑣㝤㥦㈹摣㔴ㄲ㥦〰搱ㄸ㕥㠵㐷㜴㘳昸〶㐸扢㌱晣㈴ち㘹っ晦〵っ㌰㝣〴㍦ㅡ挳ㄷ挱昸ㄸ㘶敤慣㙤㘶㈶搵㘴㉡㕦捣收㠰愱戲敤昱㙣㌱㥦㥡㤸挴改扥㥤㌱晥戵愹㡡㔳晥㡣㤵㑡愶㈶㡢㤹ㄴ摥愰晣㘴㍥㍦㠱愲戹昱㙣㌶㤵㥡㑣慢挴愷〲昳昲〷㘰攴扦㠱㈴ㅥ㙤㠸㝥㐸搱㡦㈸愲㐳搳戰㔲㐱慢ち㝡㉣㡤攱愶㔶っ㕦㘶晥㝦㠰挴ㄳ㥦〵搵㔸㜵㘰昸㔸㐳㝥ㄵ㜵晦㥢㘴㉢㠸昸㍣〹㔳㍦づㄸ㡤㈱㥤㡦挶㌰搲ㄳ挳㜰㑦っ㥦㐰㈱㡤㈱㐷㉤㌰愴扢搱ㄸ昲〱㍥㠶㌹㝣〴㤱ㅥ㑦㘷㌲㐵㉢㤵㑤㘷㤵㘹㤵昲㤸㙤㜲戹㜴㍥㡦㤹㙡ㄲ㙢㡢㠶慡㤵㑥㑤㘴㈶挷㡢改昱搴㜸戶㤴㐹ㄷ㈷㑢㌹㉢㌵㥥㑥攷戳ㄳ戶㙤㘶ㄳ㜴㘴ㅡ㥤㌰捡挸㍥㤰〴晤㤷ㄶ昱㐳ㄱㄹ愵攸㡢つ㔱㔳㑢搰㕤㘹っ晦敢㝦㕡挶愱㘴㤱㌸㐸㍣㐱㡦搵ぢ㐳㍡㌱㉤摦〶㐶づ戳挰戵攰ㄲ㜴㘷扡攱㤷㐱㌴搴ㄷ攵㡣㝣㜳挷搴搵㝢㐹㍥摡㜹㉣戸ㄷ挷㝣慢㙣㐲ㅦ搶㈲㝥〴ㅦ〹摦㜴㘹戶㌸㌹挶㘰㡡㜷昴㠷㙣敢愵摢㐱挳㕡㥣ㅥ㉤晥〴㙥戹ㄹ昲攸㌹㜰挹㕥愶搷晢ㄸ㠲〱挲ㄵ搵㌹ㄷ㤳㈴㍥慡㔹愸㑦㌵扦挸戸慣㌱㜹㡥㌶㑥慢㜶慣㐹愶㡡㉥戶㠱㍣搵㈸㜶搸㘹㤶挳改てㅣ㈸㌲㐶㜹戶㜵挵㕡慡㘵〵戴㜵㑤㍡㔷㜳㜱づ慢慣㠶㐵ㄷ敢㠰㐸戸㑦昴摣㤴〸扥扤攰㤲㠷搶㜰ㄲ㍢㘷㜱ㄲ摥摡㘳晤㌷㕤昶昴晥㐹㍦昲㠵愴㌷㌶慥〰㑣挶敥敤㝢户愷挶愳㉦愲㈳㉥昸ㄹ敤戰昳㠹ㅣ㘷㜱昹㝡㘴㠸㘷挰㥥挳㉤㈴晤戸㜱愵晦㤰㔹㍣㐴晣㈳ㅥ挲〷㜱㈴挵攵㔶㙡㍦ぢ㤶㈲ㅡ㄰捦〵〹收て搳攷㐵㜱戳㑢㕡慥㤷摥ㅡ㈴昶昸扦戱攰㌷戱㘷昸慢㤰攸ㄲ㜷㠸㙤昷㑦㐵扦㜳搷㙦晣晢㘳㌷敦㜸攸㠹㔷㠲摦扢晣ㄲ㙢ㄶ〴ㅤ㕦〲㜷攷〱挱㜷㔱愳㥥〷〴摦〹㌲㍡㑦㐸ㄲ昴㤷晡㘵摢㠶㔶つ昵〹㍡㍤扥㜰攲摢㈸挱㔱慥〷收㜵㙣㌲扤捥㌹㘶㐹㝡㐲㘳㐷ㄳ愰〹昱㑤㈸慥〱戴㤳摡㜴㔴扥㌶㥤愱㜱㠳慦㡤㍥㥢㄰㉦〴摡㍥昸愳搴愶愷㙢挲㐹㡦搷戰㌶㑣㠷㜶㜱㜰搲晢㕤ㅣ㥣摦㐳㠹㕥㜰晥ㄵ㉡摡ㄳ捥扦っ㌲㍡捦㕢ㄲ摦㠷㈵つ㘷ち慤〲㥣昴㝦ㅡ捥慦愳㐴ㄳ捥っ㥢㑣㕦㜵づ户㤰㉦㠲ㅡ㌹ㅦ㈰㡣户㐹昱戵〰㈰㝦扣㑤㔰㥢㍥换搷愶㕦㌴昲扥㌶攰㥣ㄴ㕦〹戴㝤㌸㙦愶㌶㥤㕥ㄳ㑥㍡扦㈶㥣昴㙤ㄷ〷㈷ㅤ攱挵挱㐹㜷搸ぢ捥㘷〲搴扡捥敦捥〵ㄹ㥤愷㌷〹㝡㔱つ攷ㄴ㕡〵㌸㕦㐱㕡挳昹㌴㑡㌴攱㥣㘱㤳改㤰捥㈱ㅢ㥢㈷攰㡣扤㈴㝡㡥挸㡢摦㙦〳㘸㍦戵改摦㝣㙤扡㐸㘳捥搷〶昸㜹昱㔴愰敤㠳㝦㠰摡昴㝦㑤㌸改〷㥢㜰搲捤㕤ㅣ㥣昴㠹ㄷ〷㈷㍤㘳㉦㌸扦㄰愰搶〵攷㤳㐱㐶搷㔹㄰ㅤ敡㐶㘷㐱㉤ㅦてつ〳捥愸捤㘵攱㠰敤㡢改〳戱㌰㉣㔷㉡㝡㑤㌵㠸つ㕢〷㥦敦ㅣ挴〹〵戶㘹昱攱㕤㄰挰攳攴㠲晢㕦㡤㉤㐱愹㔳㉣㙣搸㠷ㅤ散ㄱ昶摢㜳㉥㑥㤶慣ㄸ㍥㍦昰㍣㝣慣昷㕡搸捤挵㉡㌷挲㑥㐷戴挰㑦㝥挲㍤ㄷ㤸㍢㤱摤搳摦昸㠷㍤㙢㜸㌴扥捡〹㜳㥦昷搲づ㤹㡣摢搱㕦摤㕢㈱㔶换ㄹ㐶㔸㍣㡥捥昶〳昰扢㐳㝣㍤㜰㠵㐳㜲ㅥ㈵㡤〵㄰ㅥ戰敢㠸ㄴ㈴㉥㡦㐱愲户ㅣ㌴〹㐵ㄹ㜰㜴㌶㤳㡢晦㝤挴愱攳㉢㥢㠱〱戶扤㜱㐵攸㌳搷昳搷㡣散晡慢〵㤳㥦ㄲ挷慡㠵㡡慡㥤昴ㄶ㥢㥦て挳㥢攳㤳ㅤ㜹〲㐶㝣挸昱㤶搱慦搲慡㝣㕢慢㤴㝥㠹攳搶昸㈹㤰㡤挰昸㑣㑦㌰摥㡥㤲㤲㘰慣〱㜱〷㐵㌷㐲攲〳㈱攸攰〸㐶攳ㄲ昴㘱扡㌲〵㌰捤㉡搲㔷㘹改㍢㕢愵㥣敢㜵ㄵ㑤㌰ㅢ㔵昱攱㥥㔵㉣愱㘴㐷ㄵㄵ㐵㉤㔵愴搳㘸慢攲〴〴扡㌲㈷挱㌴慢挸昹㕦㑢ㄷ㕢愵㔳㐸攸㉡㤶挱㙣㔴挵〷㝡㔶昱㌴㑡㜶㔴戱㑡㔱㑢ㄵ㌹ㄱ户㔵㤱㜳慤慥㑣ㅤ㑣戳㡡㥣㔳戵㜴愹㐵ㅡ㥤㐷攲㠲摦㉣攸㠶㌶㘳づち㍥㔹攷㠱搰㘸㠵ㅦ慣昷㍡㕦㘸㍦㝦扢ㄳ㘵〵㕦〴摡㤰㑥挰㌰㌱㝣㈲㐸㌰㈰てつ㜳ㄸ㔲慣㔳㠲㠳㠸㔵㤴㉥挵ㅣ㍦昸て㐹㉦㘰㤸ㄸ收㔸㈱攳㤷㝦㘷㙢ち扢㌰㐱昹㘵㡡搹戹昸て挹㌳〱挳挴㌰㍢㤲㡣㕦㥥ㅤ搸㑣〹挲慦㥦㝦㤶㘲㈲捦㍣戹ㄲ㌰㑣っㄳ㘵㌲㝥㜹愲摢㑣〹摤㙣㤶㔸愵㉣戸ㄲ㙣扥㜶戰敦〲〳〷慢ㅢ㠷捣㜶㉤㌶㔲㙢扤摢搷搲㑤攸搲㘲㔳戴搶㝢㝣㉤㕤搱㉥㉤㔶㔸㙢摤慤戵ㄲ㡤敡〸搶㐰晢昶扢㌰晣攸摢愷㔱㌶㈶㐲㠲て搵ㄹ敦改挸攰㜳㜴挶捦㜶㘴搰戴捥㜸㜷㝢挶挰晦〲づ搱愷㍡</t>
  </si>
  <si>
    <t>CB_Block_7.0.0.0:2</t>
  </si>
  <si>
    <t>CB_Block_7.4.0.0:1</t>
  </si>
  <si>
    <t>㜸〱搵㕡㝤㙣ㅣ挷㜵扦㌹摥㉥㙦㡦㐷昲昴攵昸㉢㌶㘳㑢戵㙣摡〴㡦ㄲ㉤慡愹㈰㤳㐷㔱愲㑤㠹㤲㐸挹㜶ㅣ昵扣㜷户㉢慥戴ㅦ昴敥㥥㐴愶㙥敤㈰㈸㡡愲㉤㔰㈴㝦搴㌶㥣㔸㌰ㅡ㈰㐹㍦㔲愰慤ㄳ愷〱摡〰〱㕡愴㙥搱愰昹愳昹捦㜵㕢愴㐵㡣㐲㉤㔰挰㈸ㄲ愴扦摦散敥㝤昱㜸愲㘹戶㔰㠷攰扢㤹㌷㌳㙦㘷摥扣昷收捤㥢㐹㠹㔴㉡昵㌳㈴晥㌲㘵㤸戹㜷㘹㍤〸つ㘷慣攴搹戶㔱つ㉤捦つ挶愶㝤㕦㕦㕦戰㠲戰てつ搴戲㠵晡㐰㈹〷搶㘷㡣㙣昹㥡攱〷㘸愴愴㔲搹慣㤶㐶㝤昲㕦㐸㌲ㅡ㝢㘹ㄹ㠰㍣㕡愵㤶㑢㌳㡢㤵㉢㈰扤ㄴ㝡扥昱攸挸挵㠸挰戱㘲㜱慣㌸㌶㜱攸㘸㜱㙣晣搱㤱㔲摤づ敢扥㜱捣㌵敡愱慦摢㡦㡥㥣慤㔷㙣慢晡㤴戱扥散㕤㌵摣㘳㐶㘵晣㔰㐵㍦㍣㔵㍣㍣㌹㘹ㅥ㍤㍡㤵㔷㐱昹㑣㘹收慣㙦㤸挱㑥搱散㈷捤挵搲捣搸ㄹ㈳摣㈹㥡㔹搰〴挹㔹捦搱㉤㜷㠷㠸㉡㘴昰愱㔹愳㙡㜱㈵っ挳户摣换㘳ㄸ㜶ㅢ愳㔱㍡㌲㌶〷㡥㔷昵㈰㉣ㄹ戶㝤摥㌰㌹挱扣㐳㥥ㄹ扥攱㔶㡤㘰挸㌹戱㔶㌵散戸㍡挸㍡ㄷ㜵晦㡣敥ㄸㄹ㘶㠶㥤㘸摤收㙢㠶ㅢ㕡攱晡愰㜳㈱㌰捥敢敥㘵㠳㑤ㄴ攷㘴摤慡㘵㌲㈲㤳㐹昵㍤搴㙤㌰㜲㙤挶收晣㙡㘹㐵昷㐳㔹攲慡ㄵ扢戵㙤㤱㄰㌹昰戶㘱㔱㡡㐶㍡㝡㜱㤹㤶㉣攷㈹挳㜷つ㥢ㅦ攱摣㐶㍢ㅡ㐹㥥㐴慣㙦㌰㈷㤹つㄷ㐶っ挴挲捦愹昰㉢㥡㐶㤰〳㔰〷〸㡥敤㥦摥㍦㌹愱攵㠹ㅤ〴㄰㤹晦㠴晥戴昶㘲戳㜴㔹㑦㤷㉢改㜲㌵㕤慥愵换㐶扡㙣愶换㤷搳攵㤵㜴搹㑡㤷慦愴换㔷搱㈶㐹搹晥晥㜴㥣㝥戴昴慦㙦敤㕤㝡敦愹摦晣㘱昶ㅦ㉡晤慦㉣㉢㔴㤹㉤㜱〷搳挴晡挴慢挶㠹っ㜱㘹㑡昵㈰昴ㅣ慥捤捥慥㜱㉡㕥㘴㜱愰ㅢ㝢愳㔵㡥㐶昴ㄱ搷昸挱づ晡㕣攳挵搵㌰㕥攳攸ㄳ㍢戲捣㐲ㅢ〶搳戴〲㠰扡ぢ㘰㜰摥つ愱ㄱ㐱㌸㜲㕥てつ㙤㌷㉢昷〰〸昱㍥㤶㥢㑢㥥晤敤捡晢㕦昸敢挹㈷扥昱㑢晦昸㠵敦㡤扥攱攵昷愱晡㕣㉣㍤戳扥㝥ㅤ㉡搸搴敥㠹戱㜱晥摤摡慣挱慡㤹㤳收ㄱ戳㔸慣㑤㡥敢㠷㜴㠵昲户㔵㘵摡㡢戶㜹昳㘹换慤㜹搷㈵攷昳收㥣㘵㘳㈲戲㌰㙣攲㈷戲㄰戲㍣㘸㥥㔸㠳㘹慤㐶㡡戸搷㉣ㄹ㝥〸㤳ㄴ慥㌷戵昳摥ㄹㅤ㔲搴㔰搶搱㤸昶㡣㔷㜷㙢挱㍤摤㉢㤷㐲㜰散敥捥扡㈶㤱つ摤㤶㘰慥㡣㐰づ改扥捥㙥ㄷ㜵扢㙥㑣慦㔹㔱昵挷㍢慡㘱戸扣捡收戵㜳扥昱㐲愳㜶挳㠸愶戱戵㕤㤳戴㌷捣㌲慡㡡挶㌵㔲㕡昱〲挳㤵挳ㅢ㜵捥㕡搵慢㠶扦㘴㜰㘳㌴㙡㜲慡晢㔸ㄵ㕢捦搱㐵ㄷㄳ㠵㍤慣㍤搰㡡㈵愳つ户㘶搴㌰摥㔵㜰㜹㝤㔹慦搸挶ㅤ㙤㑤愲㙦愲攲慥㌶昴㥣㔷慤〷㈵捦つ㝤捦㙥慦㤹慥㕤搳㘱戱㙢愷扤㥡㤱㤱〹㙡㠹㤴ㄲ愹扥㍥㈱㔲〷㍢㜴㐷㥡㍥搲づ㘸ㅣ㕢㠴㠴㈶戸㜷攳ㄶ㈱㘲攳慥㐶戵㐱ㄹ㤹ㄶ㈱㘳晢㠷㝢㡥愴㔵〸搹㝡扣㘷敢㉥㐲捡㑥㜷戶㉢摥搸㜹慣て搶挱㌶愸㤵改晤㥢㤳㙣捡攵㉤㐶摡戲㉡昴㠳搸扡〷搳㈴搹㠶散晤敦㌶㑥愷昷挴戳㍦㜱つ晢昲㈹摤慤搹㠶摦搳㡢ㄳㅣ㤱㜶〷挱挷〸敥㈴戸㡢攰㙥〰攵㕦㘰摦㌶攵㈸昷㈴戱㈶搶㤵敢㔶㉤㕣㔱㔷っ敢昲㑡〸ㅣ扣扦㙣㤶散㈶ㅤ晥敦㠲㔳昲ㄵ㍡㤴摡扤〴ㅦ㈷戸て㈰㤷㑢愹昷攳㌷愵收戴ㄱ晥㝣〲㘰㌸㜱㑣㐶㈲挹捣〹㠵㥢敥㤶㌶扦㌶搷㠰㍥愷㈶㍤ㄱ戸㡡㠱攲㠰㙥搰搷搷㡤ㅢ愷昴㘰㈵愴㈲昶慣㤴㑥挰〳㈴晡㈰㐰㝥㍦挰㤹㔳㠶つ㌵摥㈹㉦㔳愱㌳㜱㑢㙦㠶㕢搰ㅤ捥搲扡㕢㕤昱㍤ㄷ㡥昷慣ㅥ敡搳㔵戸㙣㠱搰㔵㘷挱㉢搵㐳搵㌹㘵攱㈷敦㥣㌷㔶つ㍤㉣挱㑣㠷㠳捥〲摣㍤㘹㐷攷㙢㙢㡡昴〶ㄴ㘷搶〸慡ㅡ㕤扡㜹㤸愵㌵ㄵ㌹搸搹扣㐳㐳㘳慣㠵㈴摤敦㥣搵攱ㄲ㠶ㅡㅡ㡤捡㕥㔱㡥㍤〷㈵㉥改㥤㡢㑢愰㔰㤰搹ㄶ㉡〳ㄲㄱ㔱㑡㔱㜲戰㠳愶㔲㝤㤹ㄸ㜶㙡搰㠵搰戲㠳戱㤸扤㘳戳ㅥ㕣㝥㐳ㅥ㍤挸㜶㔵㠵㠰愹㍤ㄷ慢㔳搱愵扦㔰慤㐴㘴㌱㤴㤳扥㔷㕦愵挳戰㔳㜴㐸㉢愵ㅤ〰㜸攳㍦扥昶挹〳㕦晣晡捦攲摦㤷愰㐲㌲㘹昴〷㌵捡㍢㡢昸㤱㐹㍢㠸㥦㕣慦㍡㠵摥㘵㔷㑢扢㠹晢㑡㐱捤㍢㡢搵捡戲㙦㐸㝦㍣㉢ぢ敢慢挶愰昳戴攷㕦慤㜸摥㔵扡㠲㐳戲ㄴ慣ㄸ㐶㐸㈷㜷㈰昶改㤹ㄷ㐲昴昵戵昹戲㉤摥㌰扤㑡昵㔱㠰挱㘹摢ㅥ㐹㈸〶敡㘳㐰昵㘱㐷㔱挷㤰㜹愰㌸㍥㌶㜲㕡て㘷㜴扢㕣㥡ㄹ㌹㜸㘸晣戱ㄳ慥攱㝢㡦㑤㡣ㄷ㡦㍥㍣戶㘶〷㡥昸㍥昸㐰て敡㡥愹扦晦敦捡〷昷㍥昹㕡敤㜷散摤慦扣晤愰昸扢戸㘲㠳ㅢ㑣摦㙣敢慥收晦㡢ㅤ㍢摡愳户㘹戹搵ㅣ㔲㑡搰㕢愵㤱搴㡡〴ㄳ〰ち慤挴㔶㥣㘶摡㘷愱㡢㡡愸㡡㥡㌰晡ㅤ㌸搵愷㉦晢ㅦ摥㍡っ愱愳㔴昱㠸㐰㍥㈹捡㌳㐷㔲愰挹㈸㈴〵戴㤶㌶㘷戰㠹㠰攱搸㤳㤴㕡㙣㐷㠳昶㡥ㅢ㈲㑣ㅥ愱づ㘹㠸ㄲ㑢㈴ぢ㉡㔳㙦昶㘱㥣㘰搴㑥㥡㤰晦敢敦敤愸改㈳㈷㔳晢㥦㤰㍦愹㐷攲摦戱昸昷收昱〸晦敥㥦攷㌴ㅥ慡㌶㕡挱㐹㘰㜳㍤㉢㝢㜵ㄴ㍣㤱搱㑣㙡㌴㑢敡㌱〲㜸㝡㤰㌰㡤戶㐸㝣㘷㌳㐳昳ㄷ㜱㐵攷ㄹ㑥愱㐷搴戹㈷㙤敡㌷て昱㝢收〵搷ち㠳〱㜳扡ㅥ㝡㜳㔶㌸ㅢ㠴㜹ㄳ〰㔹改㄰摦㉤ㅤ挱ㄶ㘷㝢搴扣㘸ㄹ搷㤷㘱㤵敦摦㔸搵㜶㘴扦㙦㘳晤慣㜷挶ぢ㘷慤㘰搵搶搷昷㜷愹㡥㙡㥥㕥㌱㕣㥣㑣㝣ㅣ㔰㙥搵挸㕢㕤㌵㙡㕤挶戸攴搵晤慡㌱㍦㝢㍢㥣㙤㐴攴㌷愴戰㌵㐱㘵㝢㠶ㅣ㥡㝣愷㝦㥢挶㜶㈶戶攷ㅡ慢搳攸摦晦摣改搳昵㘰晦愵㤴㌶㠳ㄲ㡥㔵㠲戲㕡㐲ㄶ挶㔷愱摦摣㕢㔴㕡㑥㑤昴〱㜲㈶㤶㌷挲つ挶挷昲㜹㌷戰㙡㐶㉥㉥㥤戶摣愱㌸扢㔸て摢㙡昴戵㍤㜱つ昶摥㐵ㄷ㈲㔰搵晤摡敤戰㍡㤸ㄸ㔲戴㌴㐲挵摦昶ㄸㅥ㤱㐹愵㙥㈶愱攸㥢㉦挱㍤㥡〵㥡扣收昱愴慢㉢戴挹愱㤳晥挲㈰搹摤㌸㡢㘶㔹㍡㙤攸慥㕣㠵愵戰㌶㙢㕣ㅢ㤲㉤っ〸㍡㠲㤹戶戱愷扤㈸㍤㘲捤㥣慥〴㥥㕤て㡤愱㐶㑥㉡扣㘶㥥㌷㙣㥤〱㠴㝣㈳㜷戶ㅡ㈲挴搲愰挷攰挰敤戳㐲攰㐸㈶㕥㈵㈱搷㐹敤㈱扣敤㤳愰㉥㙤㜳㔵戱慢㥡㌲晤晢㜱昱摡慢㑣㕦㍤㥥㑡㌲㜴㘲戰戸㜴㐵戶ㅥ㈱愰㈶敤㐹〲㔷㤱愵㤳㐶㉣㥦攰㜸㌸ㅦ㌴愵晤㐳〴㡥ㄱ搱㘱慡㡥㡤㑢㠶搰慡敡戶扤㍥㘴捥扢㔵扢㕥㌳ㄶ昴㡡㘱㈷戶摢昳㥤摢㘴扤攴㈵㑣戴㔶㍤昸ㄲ㠷㑤收㜱ㄳ㤳挴㈳戶㙤敥㔲摡〹戰㔵㙥捦愰㤱搳㑥愲挴愵㘱㌰攰㐳㠷㘳攸㤱敥㙥〶ㄳ攵昵〰㑣摢〶ㄴ㙤ㅡ㡦愶㡤㠸㡥搴戸㤶㘶ぢ摥㠲㠷㘸㕢慤〵㜵捡㡡㔰户㡤㕥挹㘵㠲搳戸摤㡤〶扣㙡㐹㌷㕦㕡晡㌷敢捤扦晤慦ㅦㅦ攷㔶挳ㄵ㘰攴愴昳㔰摢攲㤰㐸ㅦ㐰ㅡ㐱㥥〵㠶㘹挱愲㤸晦戲ㄵ摡挶㠰㈹敢㘵㍥㑢㤵㈰㌷晢捤攵ㄵㅣ㄰㘷〷捤㤳扥㔵戳㉤搷愰㌳㠲攸㉦愳扣ぢ挶㘵挴㈹捦㝡㠱挵㙢扦㐱㜳搹搷摤㘰㤵㜱㠰敡晡敥戶㤲㕣㉣挵㥣戱㕣㈸㔰昴㑤收㠷捤愵ㄵ敦㍡㙥づ敢㡥㝢㔲㕦つ㙥㡢㠵㠲ㄵ㡡㔳愴㔵㘹㤱㑥㡢㙣㍡扢摤扤㑡㍤〵㜲敡㤹戳ㄷ㐷㑡昰っ攰ㄷ昰攸㤵㈶㠸㔷㡤愱慥ㅥ慡换〵㡢〳挶㔴㕤づ慦敤㝥愶㙢戴慡㜱〳㉢㐳㜷昳散昳㈴挰㤳㈷㉦捣㌷慦ㄹ㍥搲つ慡挲攰㕣㡦㕤㐱㑡㐸㈳愶挹㐸摦㔰㈴㌵挴㔱㠸㌴戹昸㉣㜵㑡㘲捥㤴㙤㈸㤴搸㐸搹㥣搹㌹㐴㥢昲戰〱戰挲㠸搲挱晣づ㐵〵㐶㙢ㅤ摤づ攲扡㤲攷㌸㍡愵㡣ㄲ扡〴ㄳ㙥㘴愵扢つ愳愲㤹〰㔲ㄴ㘳㤴扥〶㤴扥㈶㔱搸㤹㜹㑦㈱昳愴攵㕤搶㝤㉢㕣㜱慣㙡㤶〵摥㈵摣ㄶ攲〹ㄱ㤲㤱㌱㌰㤴㐹捡㈸㝣搷捥㠸㘰ㄴ挴挲㜲㡦攱㌸㐱搶㜱昹㈱挴㘹戹㥤㡢㙤㠶ㄲ㈰扥摡㌴〸㘹ぢ〰ち㠳愷搸〱〰㤱㕡㝣㌱㘰愴㍤ㄲ㈳挰戳㕡㍢ㅤ㘷㔸挸㌰㍣摡㌳㉥挷昳㜲㙥挱搳㙢㜳戸㙥昲晣晥昸挶㍦㡢愵愵㜵昱ぢ㡣挵㤶㜰㤱㠱ぢ㤲㙢㜰㠹晤㉣ㄱ㑢㠸㜲㘶ㄸ挵㔵愳㌵㈴㙦㔲㡡㌲㤰敤昶慤昹㠴搶晥㌸㘶搵晡㝣㘱㝥〳晤昷捦㑤ㅤ攷㙣㜳㌹ㄹ㥦㍢㠳慣戶〸㈰ㄸ攵攵㝣㍡ㅡ㥣㘵㠳㜳〰ち㠳㝤㥤㕡戲㘹摣ㄲ㈱昰ㄴ愲慤㠸愷㘶ㅤ㑥〷㥥㠷㡡㈸㉢攲戲㘰㠹㍡㤰㘵㕣㔳㍢て昰㌷敦扣挳昳㙢㑡㌰㌰㤸㝣㥦攷摢㜸㠰㑢挸㙡换㙣挰㘰㑦搲〰搹愴挱〵㘴戵㡢〰搲ㅡ㜵㘹昰㌴ㅢ㍣挳〶㍣㜵㈷つ㝥づ昹㕣㑥㕥〲㍣换〶㥦〲㔰㘶〰㝡挵摢㥡攷㉣㉥㙣愱攵昰㑢㌳㄰散㌲捦搵㜵ㅢ敦〳ㄶ攱㜹㠵㐴摤づ㝡㤶㠹晣摦捥扢搴昶㘷〳㌸扡换㈹㍣㜷㠹㌳敢攴㐱㝢摢㜸㙥〱㕢㙥捦㍦捥㈹㕦㐶㈴㘲㙢㕦愱愲昵㕦㘳㤸扥㕣㑥㘵昹㑤捡㔶㑥晢㌴㈱㠲㠱㍣㤷㑡捤扣㠴㑣㍡晥ㄷ㍣㐱㐹散㉦㈲㤳㈴㠵摥㕥㡦晤愹挳戵㘴晦㍤㑤㙤愲摤ㅣ戵昹ㄴ愸㥢ㅡ戶㙦㔳㘵㜴ㄵ㈷〹昰慦戵㡥㐱㜰〷㤳㔸㍤捥㌰㝥慤搰ち摤搲昰搱㕡攲搰っㄳ戸ㄴ慥摢搸㜶㤸㘵挴㌱捡㔱捦愲㙡っ摡昳攱㑥㘷㍡㉦戳ㅡ㝤戹㡢つ散敤戸㍣㤴摤㔸㐳ぢ慢㝣〹㑢戴㘹㝦捥愰戹㉡散挳愴㔶〱昶㥥戶慡扥ㄷ㜸㘶㌸戲〴㉦㙡㠴搷挹㈶晣改㘹攵㜵㔰散晡㑤㑥㉣攳昲㈹㡤㕣攸摣㔵搷扢敥捡搱㈸〱㙦搵㈵扦晡晢昹ㄹ㝡搹㌲㍤〸㉥ㄶ㘸㡤搹㔹㌳〰〶晢ち㌴㘷㤴〱ㄵㅦ㑣ㅤ㈸捤㤴捥㤷昵㈳攳㘶慤㍡㕥挵㤳愹挷て㑦ㄸ㐷㉡攳搵摡攱愹愳㡦ㅦ㌹㌲㌵㔹㌵㡢㔳敡攵㐶搳摡㤱㠹㘲戱昸昸㠴㍥㔱㍤㝣㜸㙡昲㘸㘵㙡攲攸攴㤴晥㜸㐵㥦㌲愷㡥㔶㙢〵ㅡ㑡㤲搷㔶〸㉣㠰〲敤愳㐴㕤㈱敡㉡㔱戴㤶ㄲ挵〶戲改㌰㉤ㅤ㐷㑥ㅦ㘶㐷㔳㠱昶㤱ち愱扡〰㐳愵㤹㜲㡢㤳愵㝡挰敤〲慥晤昵㤲扡ち㜴ㅥ㘸戹扢㥣挷挵㜸㠱〶㤶㔴愲㔷㍦㍥㜳ㅣ㙥攱〲〰㔳㠱〶㤶愹㐰㙢捡㔴愰㐵㘵㉡搰㝣㔲㉤㔵㕥㠶づ㤴愳㐰㈴㡤㠹㕡〷㘲戰ㅣ㌹挹搱㑥愶㕥〳慡㠰㑦㌷ㅣ㜶㡡慦㝡ㅤ搸捥戱慦〱搷㌶㐸㜵ㅤ㤸㉥戳昹っ搰㠳㜲㌶晥㜴慤㠶户㉢㐱㠱挶㥣㐳捡㘶㈹㌹戹慣㘸㜹收愲晤㌲㔰敡慦〰ㅣ㝡攸戹㕢摦摡㕣㉡㘱㐳ㅥ㤹戳扤敢て㝤㘲收昰㠴愰搹㤱攲昸ㄲ㌲㘴ㄹ晦ぢ戴㍤㔲づ㕦㐶㐶晢㉣挰㘰扡㤰愸扤㤰搶㠰ㄵ〹㠶㑤ぢ㍡㠰散昳㌹㌶敦㔳㈸挲㥦摣晣挲扥㘵㕤㐷㘱愸摡㥥㔵㥣挰㌳㠹㜵㡡㕣ㅦ扣〶㐵戲㍡㤳晥昹敤搱㤲㉢〷㔲ㄴ㔵攵㐵㘸散㐷愰㐳㐶㌵慤〴㈹摥㡦㝦敤㔷㐹㥡㉡搴昵㡣摤敢〱ㅣ㐹散㜳收〳〸㉤敥愱㤷扤改挶㈳扣㕤㠹㌰㡦㈶㜷攰〷㥡㤸㈴㤸㤵㜴㕢昴ㅢ晤㜰愵㡢慤〵ㄵ愳扣㌱摦搷㉣戵㕣挸摣搳挴㈲㜲㠹㜸㡡㔱㑢㈸〶㜰ㅢ㌳改㍥昱㐸㌷㘶挷ㄷ㤶戸㈳㑣〸㥣㜰敢㑥ㄶ㜳戸愷㡢慦㌶㘳㠵㜲ㄳ攱㝥㈰㌴ㄳ㔰晤㌵㠲攸攵㥤戲㠶愵昸㄰㕦㘹㘷㍤扦挹㤴搳㝥ㅤ㔰搰㌰㤱晦㐲愳昱㔳㝦㠳攰搸晥ㄲㅥ昸㠹㄰㥦攱愷搸㍦愷晤ㄶㅢ搱戲㈵㈸㐱ぢ挷〲㝥㔲㠲㠶愲㜱て愱㍤㠶㔲㜴〱攱愱㐱搷㥢㑥㌷慥攸扣改ㄴ㔴捡㈶愵㘳つ㑡㔷㌶愳㘴挵ㄵ㥤㔷ㄹ〵敡愵㔴慢㔷㐸攴㔵㠲搷〰㜲攲㘵㐰敡㤸㌰搰㤵㠲㝤㄰〵㤸〶昱搹愴愲ㄶ㔷㍣っ㠴昶㐵〰㠵慡搹㤵改㌲昶㌰ㄶ㥤捣㥡捦戸ㄸ㝦㔵㑣㥡戴〱㌳㝡㐵㐵㙤㤲㜱㙥㕢㙥㘷㜹ㅣ搲㝣㍣愴㕡㐰昸〱㐷㌳㍣摢㡣㑤㌳挲ㄲ㜴㤶㤳㘳㠰㈶㑢㔲ㄵ捤㐵ㅦ攷㠲㝥㜳㍥㠰捤慣㘵昱㍡㈱挴挳㌶昷㜶昰㉣攱㘰㘴㘸㜵㘰㜷㜸㐵㤱敥扡户㜳搳敥㍣㌶戴㐴㜲㥡晣㐸愲㜹㘹㥥敤戶攷㔷慡㕦挲挷㥡㉦㙡慥㔱戵㠳戴搰戱慥昴㍤㜲㍦㥥戸㑢ち㉥昷㘷敤〶摡㑡㤹ㄵ㜲づ㠸㍣㘹㙦ㄲ㈵㑤ㄴ㐱㑡愱愱敡㥣ㄴ扤慣㌹昶攸㜸〷㌴㌰挰㤹㉥扤晡慤㈷㝥㝡攸搲㜴㠶㝡搶㑢换戹㙤昴㍢㘵㥤敦换戳㑥搹㌶摣换攱㑡攳㑤㌹㌶㉦扣昹搰㝥ㄷ㡤㤲㈴愸㡢愴慡㝤ㄹ㈰㘲㍢㠴㤹㔲㉥愵晡㔳戱昰晥〲㄰搹戴㉡㈸昹戲攲搹戸㠲㑡㤵挵昹㥡摡㈰㉢㥥㠹㉢㡥〳愱㝤ㄵ㘰㤸㌲㥦挷㝦晦昷搳〲捦㤸扥㈲扥㥢晥㈷昱㔳㜱㌳㔵㠴㌹㈸ちㅣ㐲㙦愰㜶换慢㐹ㅢ戲㑤〷晡㙢攸㉡戸ㅣ愴愱晤ㅥ〰㘷捣晦攱㠴㈹搹㘱㌲㠲昵搲扡つ㜳〶昴㑥搲㙢愲晡㝣敤昹攷㍦ㄸ捥㡣摣㥤㜹收㠹晣慢敦㝥敦扤捦晦攰搳挷㝥昴㤳搷㕦晦挱㍦㝦晥㥤㥦㝣扢㜲散㉦摦㝣昳扢㑦扥昱捥㝢扢捤ㅢ改户㍥㔸戸昱㘲昱敡㡢㉦㤸ㄷㅥ㌹昹攲戳㔷捥ㄵ捦敥ㅡ敤敢敢敦㝦㘸捦㕦摤㜹戰昰昲ぢ摦ㄴ摦昹攱挷㕣㈱挷㠴て㘸扦捦慦攰㥦㘶愶挰戱㐹㝢昳〷挸㘸㝦〸㠰慤㥦㉤㈴昲敢㐴晥㤱㐴ち㌶㤰㡣㕦㡣ㄹ㍦〳〴㍣ㄴ挱㑥戲攲㑣㕣㔱〰㐲晢㘳〰㠵晤㝢挴㐱㥢摡㐳ㅥ㘸づ敦㕥愸㐷㌹㠷㍢㡤摣㜵㔴㠷㤱㐹㜷㔷㝣戸ㄹ㙤戴搹摤挰㌴摡づ㌵㔰戲捦㕤㔱㘸㠱㑦挵搸㘴戴㐹㜴㕦㘷㡤㙣㡦ㄹ㜳搲愹〷扡㙤㠶㤱挵㑣〶挸㡤㍣㉢戶摣㌰ㅢ㍤摣晢ㄳ㔲㐷ㄲ㕡㈳㈷㡢㠲ㅣ㤶慣晥㔳㘴㌸〶愱㌵㜲戲㈸挸捤ㅢ昸搷摥〲㔰搸㝤ぢㅦ晦〸〲晣つ㝣㐱㜰っ晣㤴昶㑤㤶昸㘵㈹捥㙦㈳挳㐴ㄹㄲ戲㈱㌲㕡㠲㘵㡤㤰ㅤ㠸晤ㄶ㑢昱㝦㈱㘹㔲㈰㤶昳搲晥っ〰扥㈳㝦㝡愸㘵晢扤ㄶ㍤晢㐱愷搵㉤㔷愴㔰㙣ㄴ㥡摤㕣慥搱戶愶戹〸㐵㌸ㅣ㘵ㅢ搲㌳㄰㔷㔱摣㍥慣攸昴㘳㌶晣㠷㈳㜲㕦㙦改㠹㈴㘷㙢慤㘲戱昹㌶挸收搸㑦㘸捤慣㉣て戳㑣㔳慣㈲づ㠵昴㍥㙤㈱搲扢挷愳换扡户㡦て晣て㘴っ㤵昵</t>
  </si>
  <si>
    <t>㜸〱搵㕡㙢㙣㈳搷㜵收愵㌸㈳㕥敡㐵敦愳摤挴㑥㈲摢扢㔸摢㕡㌳愴㈴㑡慢愴摢慣㐴敤捡昲慥㜶㌷㉢搹晥攱搸昴㤰扣㈳㡤㤷攴㈸㌳㐳慤㤴㌶㜱晡〰晡㐲㕦改㡦戶㈹ㄲ愳愸ㅢ挷㈹㥡挴攸㥦㈲㜰㥢㐵㔰愰㐰㔰ㄴ㐶敤晥改ぢ㑥㕢〴慤㥢戴昶晦ㄴ敥昷摤㤹㤱㐸㡡㤲戵㙢戵㜰慦愰㌳昷㜱敥戹㜳捦㌹昷㍣敥㌰㈱ㄲ㠹挴㍢㈸㝣戲愴㔸戹㘷㜹换て㔴㈳㔷㜲敢㜵㔵つㅣ户改攷㘶㍤捦摡扡散昸㐱ㅦ㄰捣戲㠳㜱摦㈸晢捥㘷㔴扡扣愱㍣ㅦ㐸㐶㈲㤱㑥换㈴挶㠹挳晦㙣摣㤰㙣挹ㄴ〱戰ㄲ㠳㈶挰㑡㘹敥㙡攵㔹搰㕦づ㕣㑦㥤ㄹ㝤㍣愴㜲慥㔰挸ㄵ㜲攳ㄳ㌳㠵㕣晥捣㘸愹㔵て㕡㥥㍡搷㔴慤挰戳敡㘷㐶慦戵㉡㜵愷㝡㐹㙤慤戸㌷㔴昳㥣慡攴㈷㉡搶攴搹挲㘴戱㘸捦捣㥣ㅤ散〷攵㉢愵戹㙢㥥戲晤挳愲㤹㈶捤慢愵戹摣ㄵㄵㅣㄶ㑤〹㥡㈰㌹敦㌶㉣愷㜹㐸㐴つ㜲戹㌰慦慡づ挵愱㤴攷㌴㔷㜳㜸敤づ㐶愳㌵㥤〳捥攳㤶㔷㔲昵晡㜵㘵㜳㝢挳㡤挷㝣㔵㙡昹㠱摢戸㘲㌵搴㘰㠳っ㔴㥥㙡㔶㤵㍦摣戸戰㔹㔵昵〸摢㑦㌷㌰㤵㐸㈹㔶㐶ㅡ愱㄰ㄷ㙢慡ㄹ㌸挱搶㄰〹㕤户㥡慢㡡㈸㐶㘳愱攵搴ㄲ愹㤴㐸愵ㄲ㝤攲㔴慦㜷搳愲㡡摥㐸搷㈹挲〳敤愲攳戵愸㔲昷㜷搱愷捣慥慥〷㤷㤴搷㔴昵㘸〹敥㜶慣ぢ㑦昳㈸ㄴ挵㌶戳攲つ㔱㔰㘲㈰㍡ㄱ摣つㄷㄲ㌲〳㈸〷〰捣㐱㠰攱㙢㜵慢ㄹ㡣㤶慣㜵慢ち㈶挸㈱㡥づ〳㠸搴摢㌸㕤敤搳㌹㈷㔹戶㤲攵㑡戲㕣㑤㤶㙢挹戲㑡㤶敤㘴㜹㌵㔹㕥㑢㤶㥤㘴昹搹㘴昹〶㜰攲㤲敥敦㑦㐶攵㠵晣慤㤷㑥晤攸㙦㉦㝣敤慢㍦晡收㤱晦㝥㙤搴攰㠱㉡昶摡㑢摢挱搲昲㥥昵晤㔶㘳㥤㈷戹㑤收戲㌱敦〷搷㉣慦攱ㅦ慥戸㈱㙢㉤敥搳扤摥㉣㤴昶慣摦㈸慤㔹㕥昰ㅥ攵㍤摡戵〲攵扤散㌴㈲㜹㘳㤱㐳ㄱ戶㤹〵㥢㡦㍦搶㜴㙣搷㙢㥣㔹㜲㥡攷挶㡢㘷㤶慣捤㜳挵扣扣ぢ㐳昲〸㠰㜹ㄴ㈰晢〴㑥搴㘸搵昵㘱㈶㤶㤶㕡晥㐹㜹㡣攳挷〱㠴㜸ㄳ㡡㐰㘵㈸晤改攷扥晦㤳㥦㝡㘵昱换摥户晦晥晥晣晡㠲愰㐵愴㈴捤ㅦ〷㌸摡扥㑥㐱㉦㌳㈱㑦㘰㐰㝥㠰㈸ㅦ〴㌸ㄱ㉡㕢摢㌲ㅦ㕤㕡昲慢㜶㑤摥㑤扣㝢〰㠴昸㤷㘸戵㉢㉦て扥昹㔹㘳㘲敥㡦㥥㝣晡昵昹㔷晢㑦ㄸ㔴摣㠳㥤㐳㉡晡㘸㘹捤昵㔵㔳换㘹慣㜱捤愹摥㔰摥戲愲㔷㔰戵攵挰ち搴㜱づ㐵㠶㘲散㙡ㄳ㔲挵搱慦摤搷摥㙢㕦搸っ㔴戳愶㙡搷㍣㜷㕤㜹挱搶㡡㔵愹慢ㅦ敢㐰㤹㠵㥢搹㔰ㄸ昸㐰㐷昷㐵户摡昲㑢㙥㌳昰摣㝡攷挸㙣㙤挳㠲㜱慡㉤戹㌵㤵攸敢ㄳ㈲㤱㍣ㅡㅤ搲ぢㅢ㌰㐵㡦㔸捤㕡㕤㜹晢扡㌲㐱㑢㘳㘶㔰ㄲ〶㡦攵敤ㅢㅤ晡㌷愹㙤ㅣ㍣㤲㙦㌴㉥扡㥥摦搷搷㙢搱㐷㉣㝦㉤攰扥昷ㅤ㈴换攵㠷〹㍥〲㘰搰㡣ㅣ挴愶㔱㌵㠴㈵㉡愲㉡㙡㐲昵㌷㘰昳㤶㔶㍤㐳㥢㜲愳㌱慦晣慡愴慤㕥㠴㄰㌶㑤搴敡㉤㔸㜸戲㔵㙤〶昳㔶㘰昵㌷㘰〶挰戴㘱㑣〴摥㔸㐴㘰㌰㙥㙡㤷㄰㌷㐸㉥ㅢ㌷㘲慡㐳㍢ㅤ㈰㝥㌴㙥戵慤戱㑤㍢㕣㑡敡㜵㐸㌸慣㤱敡㤰敥㡢㐹㘶愲ㄶ攸㘵㜵戵㡤搸㠰敥〸㈹㘱敦㡣㕢㄰戸昴挱昰攸㐷〸㑤㤶晤搹㠷昷〴愳㘸㈵搲收扥㠲㌹搹挳搲㕣慤㔶ㅥぢ㥣扡㥦挳换㉣㜸㙥㙢㥤㜴晥慦搷㍢慣昷收扢㠷㘵昱㝣攷搳㠹摡㈷愳攷ㅢ摦捥㐸晡㍣昳㕥攲挱捣扣挳㈷㡢扣て㈰ㄳ㡥㑡㡥敥ㅥ搴㌳昷ㄸ㌳攸㌰㙦挷㌵敢㔰戲〱㌱慣㜸㑡㠷ㅢ㘹摤搸㕡㔷㐳㡤㈷㕣敦㐶挵㜵㙦㔰挳㠶㜵换㕦㔳㉡愰〳ㅦ㠸㐲ㄶ搶㠵㄰㝤㝤ㅤ敥戹捤搳搳昵㥢て〲っ捤挲慣挷ㄴ㝤昳㈱昶㐳㈱㈰㜷㜳っ昵晢ち昹摣攸㤲ㄵ捣㔹昵㜲㘹㙥昴㠱㠹晣挳ㄷ㥡捡㜳ㅦㅥ捦ㄷ㘶ㅥ捣㙤搶晤㠶㜸㍤戲挷搷㤶扦昳摡ㄷ㑢摦㕤晡昲改ㅦ扥㔲㌸晥换㥦ㄱ慦㐵〳摤捥㝤㌰〷捡㥦㡣摥㘶摥戳㙥㈲㤸摢㠹ㄳ挷㜳㜹晥扤㝢㠰㡣昸搸㉥摡搳㜶愱㔰㉢收慤〹换愰挷㍡愸㘷愶攳ㅢ戴㥦㜰㥡㌵昷㈶敤戲㝦捦㥣㠵㌰㜱摢㜳㡦㐵㘳㜳㙥慢㔹昳敦敥㍤愸摤挴〷扢挷㜶㠸散㥡戶㡣挰㔵昹㝡扤て㜷㑦搳戶㙢㜶搳〹㠷㍦搴㌵㡣愸搵慤散㍤㝡搱㔳㥦摥ㅥ摤昵㐶愱ぢ攲昸慥㕤㠶㐳攱㝢晤扦昰㠸㠸戶㔳㉣〹ㄱ晡挶㠷扡捣㤷づ㜸㌵㠷㜳㕡㄰㙤㈲愶㑦㍣搱愹㜶戹敢昰昷昰敢㜵㐵㥤㑣㜶摢挲㙥㘲㥡㉥挹㍣戸昷慡挴㠹愲〶㈶㤵挴㝥㘰㙦㙣晤㡥摢㤲晢摦㐵㑥摥㘱ㅣ㈱㍦㡡㍤ㄸ慦攲㌴敦挹㍤〶㜹㘲㔳㙣ㄹ㌷㥤㕡戰㘶慥㈹㘷㜵㉤㐰ㅦ搲收㜴㥡慣摤㔵㘴〱㕤㜲㥣㘰〲〰㠱㡡戶㥤㘶㐶ㄶ挳愶㘰散挹搸㐵㑥ㄱ㑣〳ㄸ㡣㌹摦㌵㌲ㅥ〱㔲㡡〹挰㄰攲〳摢㐲㥡慤㡦㤶戰㙥㍦㙡㌸㍣㔷づ慤㙤㜷攰晢㙦〲敦㑥愷㘵㜶㙢㔹㘷ㄲ㠰㔴戴戶愰㥡㉢㜰ち晥㘱晡昹挳昴扢昲㉣昶ㄱㄷ攳㉦愱㐲〷摦ㄳ攲㥤㐴晦〶㈳扡㜲ㄹ㝡㠴ㄶ㝢㈴戳㤱摤㙥昶㈷搰㥢搹㙦㑣㌰㔵愱ㅢ㤶㜴㝢收㉣㐰ㅦ搲㈸㐹㉦㈷晥㙣㉦ㄷ昶㑡㌴戰㉢戳㘱摥愲㌳愴ぢ㥣晦㉤愰昱㝣愰摥㔹攴〲摡昲ㄱ㠲㐵㠰㌶㉤扦ㄴ㌶〵〳㕣慤攵㤷㠹戴〴㈰㤸敢攸散敡ち㉡㜱ㄱ㉦㠳㍥ㄹ愸㤹挰㘴㘹㌷ㄳ慥愳㌷㈳昷ㄹㄳ捣愰戶㤹㈰挹㠴㤰〱㉦㠲㌰㌳戸㕤㍥晣㉢搱㐰㜷戲㤵㘲㈸扦㙦㕣㐹㕢㤶戹散㕡戵㡢㔶ㄵ搷㘰晤搱㈵㔸扡攴㌶搶ㄱ㤲㝢㔹收つ㈵攴㌸昰㙣ㅢ㑥㑤㜹㘹㜶㉣攳摡㉤挵㡣挳搴㠷搶㠷㤴晡ㄲ㠶㌱㤰敥戵搶㘲㑣敢㘴㘴搵摢慦昵ㄶ㜷搱晦挱㈷捦㝥〲㉦〵㈹㘸㠶㍦㠹慡晣ㄴ㠰㘰㐶挲晤㜴㈱㍣㐵㠴愷㠹挰攸㉦㐶㈰ぢ㌳ㄹ㈶戴戲㑣昰っ㠰㐱ぢ㜹ㅢ㥥㐸慦㙦㍦敥愸㥢㍣扤挳㜶挷つ搵㤰㍤敦㕥㜱㠳㜹挷㕦慦㕢㕢㐷敤愸昲挴㥡㙡㈲攰昰㤰㥥㜶昵戹敢敢慡㈶敤㘵户攵㔵搵攲晣晢㈲㙦〵㍦ㄲ㠸㍦㘱昳㤲〸㐴挵㥤㈵戰㐸昶〵㜸慤戳㔸扡㡢〳戹㘷㐶㜶㈳㍢ㅣ㕤㜱㠲扡ㅡ戰戵㥦搵昵戴つ㉥㈲搹慦昵摢㉢㙢㠸慥攷㠷散〵捦愹搵㥤愶愲㌰㡥㠵愸㤷搵㉡ㄲ晢㙢慥敦昰㙡㘹挸㕥昱慣愶㑦扤㙤㔶户㡥㜴戴戴㥥ㅡ昶㥣搳昴戱㡣扥㘷㘴㝤挴㕥㕥㜳㙦㐲㈱㕢㡤收㠲戵敥扦㉦愴㐲摢ㄱㄶ㉤ㅡ㤱ㄴ挹愴㐸㈷搳㜷㉡ㅦ搳〲戵㘳搱扤捥㈸ㄴ㌵昰㥣㑡㡢ㅣ搳慢搰扢愷〸戴㄰ㄳ〶慢摤昶扦㉤挴敡㡡㥣昸戲ㅤ搷㜷㍤㙦ㅦ戶㙦敦㘹㙦㘴㠵㜳慡〰㡦㉥㍣戶戸㤳㔳扣愷㡢㜷㠳昱挹㠱㐳㌸敤㘶㐲ㅤ㘲㔸㐷㤵挲搱㠴㉡戰搵慤㤷ㄹ㕢攳㔰㐵㠷㜷慡ㄷ㜱㝤㌱㘸㕦戶㉡慡㡥㕢㤷㠶ㄵっ㠷つ㐶㤱つ慢敥㐷㘳㌰㝥つ㡢㍡挷愴㘵戹㙡搵㔵摡㥥㙤〵㉥慥昱愴つ愰ㄵ㌳敡戲㌶搱㘵㙤敡慥㐱晢㍡㤳㥡搰扥㠲㤶扢㙡㜹㑥戰搶㜰慡㘹㌶㤸㜸扣㉦㤴ㄵ〶㠴㘱㘵㕣㘲㘳搲ㅤ㍡㠵ㄷㄵ㄰㜷づ愱㍥㔹㐷昱㐳愵㤳挲挴㥦戸挳㤸ㄷ愶㐷晢㔷愹㐰捤攰㘵ㄸ㙤㤱㉥㙦挵㥦㤴摥㝡づ㍤摡㍡〹挶慣ㅣ㤶㜶㔴㘱㐳㌰㜰㡤摤〶㐹㐴㡥㘷ㄵ㔵戹㐶〴〶戵㍤㄰ㅣ㈲㍣ぢ㘰㌰㝣敡摥㜰㘷ㄴ㠸㔸㔱〲㈹挵摢㠰ㄴ慦㥡搲挸摤昵㜵㤸愱㈵㍣搰㜶户㘴㠶搷㑡改昸㜲摣㕣㠶敡愸㕡㈶戴㕡扣㉥攳ㅥ㤳挹ㄴ昸㘷㜶㘷搲扢㤶〵戱挶戲搲㤱慡㘰㜴㘶摥〰㌸㐲つ〴晤昲昶㝤昱挷㜶挵㈹戸㐷㘹〰㌵㤱ㄱ㡣摡攲晤昳昶㌶㘲㄰慤㠷㜴〱〴愳㉢晡搶㌶㑦㈰ㄸ㔲搱ㅢ㈴捣㜵㠰〳㕢ㅦ挱㈸㡣ㄶ㐸㝥ㅡ㐰㌰ㅣ攳挱摥ㄶ㌴㐲㡤〳〸晡ㄲ㘷攰㕦㌲扢搱㐲收㤳戱㕢扣㡦㌶㐱户㠸戸㐱〴挶㜵㍤㄰㙥ㄲ㘱㤳〸っ昵㈸㙣㜳ぢ攰㘸捣挴㥤敢昰㥥㕣晣㈹攰㠲㡢搷〱㘳攲搴㠵㠸㡢㍦㡤慡晣㉣㐰㤶㤱づ㑢㤶搱づ㑢㤶愱つ㑢昶改昰㤹挸㌲㤶愱〹㌵㍦〷㌰㔰㠶慤㠱ㅥ搱㝡㤹捦愱㘳愸ㅣ敡㐸㘸㌴捣捦愳㉢㕢㥡㉢㜷挴㉤收捦愰㜷ㄸ扤㙤㜶摣晣㔹昴つ愲㑦㑦扣㡥㝢ㄶ昳攷搰㜳ㄷ㝡㍡㍦慥㤹㍦㡦敥㈱㡤攸捤搶㙡㥥昲晤散㌳攸攲㉢愵搳㘴㜴㈶㡤㈳㐹㈵搱摦愶攴㉦愰㘶晥㈲挰昴改㈷摦晤㤲敡愹攵敡㥡慡戵敡㙡㤴㕡㝥晡摥㠵挲㤴愸㘰戲ㄶ攵㉦㐵ㄵ㝥㘳㌴㜸摥扢㑦摣㉥ㄳ㐳扢㤴戱㘹㙣㤶㠳慤㍡っ㍣慢晡挶㌷散㐴㄰ㅢづ挳晦扢ㅥ扥㍣愷扡㌳攷敤戹㌹㤰ㅡ㌸搶㜵㉢愱愷㜱㠴戶捣搸㐰っ扥攷㝣敥㘰㈷㑢攲ㅣㄶ昳㔷〰㡥㉤㌹㔵捦昵㕤㍢ㄸ㕤㐶昴㌲捡㕢ㅥ搸愷晣慣ㄱ㠰㘲捦㌵戹戱㔴㤳㥦㌷㌷㤸㜸㘵㙥㌴摤㥢㑤晤㌶㠶捦㙦㈲㥡㕦晤晤㕣㠶愲搰攵㝥㜰㌱㑢扢挷挹昲㔷〱㠶晡戲慢㜸昰㈴㤸扦〶㜰慡㌴㔷扡㕥慥㑣ㄵ㉣换ㅥ户㙡挵㐲㜵戲㔲㐴㐵㑤ㄶ㤵㔵㥤㥣㔲ㄳ攳捡㉥㥡扦扥㠳慡㈶㉣㝢搲㥥㥣㈹㑣㑦㑥㑥㕢昹戳昶攴㜴㙤挶戶㡡〵㑢ㄵ挶挷㡢㔹㕡㑦㤲㤷扦㐱昰㥢〰㔹㈷敥晡〲扢㝥㡢㕤㌴愱ㅡ㡢〸ㅡ搵愰攱㌹愸㘵攳㝥攲㉦て愹晥晥㕤摦㜸㜷㔹㐴ㅥㄷ㥤㡡㥢㈶つ愲昱㉣搸摣晤㐱慡昷愴㑥㈹㜲戲收昴㙦愳㈲㝦〷㈰㤳㙤〲㔲㐱捤摦〵攸㍥㘵㕦㐴㕦㡦㌳昵㝢攸敥㌸㝣㔹ㅡ㔵㔲〹扦敥㝤㠹戵㈳〰㐲㥢㐴戶㥥㘷ぢ晦㐴ㄲ㌴㠹㍣て攲ㄹ㙣㠴㕡㠸㝡挲晣㝤㠰㍤㔵㑢㍣つ㌴慡㔷愷㝡搰㕡㙡昵昸〳㔴愰ㅥ戴㡣㕡㍤㕥㐰㈵㔴㡦㙡㜵愲㘸㑤㔴昲搶攴捣昴㘴戵㔲戰愶㙣㔵戴愶㙢搳㌳昶㤴㔵挹㔷捤㍦摣㐶㉤㑥㥥㔵㔳㌳㘷㤵㤵慦㑥㑤摡㤵〹慢㔰捤捦搴㠰㌶㌵㍥㘹㔹搵㝣㤶㌶㔷ぢ晥㉢愸挸ㄷ〱戲㌴戵扡敢慢散㝡㠹㕤㌴扣㥤㔸㠲ㄶ㤵㉡㈲㔶戰〵㡡㑦㡢攱㡦搱㈳扦づ㤰挹搲愸㙡㌱㝣〳㤵㙥㌱㝣ㄳ㝤㍤挴昰㌲扡㍢挵㐰慢慣挵㜰〲ㄵ昹㈷〴晡㐳ㄷ㡤摡㌰㕢てㄲ㍣㐴㌰〶㈰ㅥ挱㥢昴㑣捦ㄷ愲㠱敥㉢昶㉣㙤㥡㘶昸户㔰ㄹ敡㌳㜸㉣㍦扥昷㌵㘴㥢挹ㅥ敢晥愶㜹〱摦㈸户挸愷㍥攴攵㘱㔰㤱㑡㝥散捥㘸昱㠴昴㠳ㄴ晦㡤ぢ㜸昹昷㐰㠷愲搹戱㝣愴昸ㄱ晣换㔷㐸㥡㘶㈱摦敢ㄵ扢㝦㍥搰晥㐳ぢㄳ㤳㡥㌷ㄶ㝤戸㈹晣㘰㘷挵㥤摤晥戱挷㕤戱晢ㅡ㡢扦㠸㥥摡改㤹慤昸挸昲〲ㄵ㑦扢敡㙤捦挳㘷㍦㔸㔱っ㡣昱晢改昱㥤㔶㕢㔰㜶昷㑥敦㘲搳挷㐷㘴㔵㡢㈹晡〸㑥㔲挹㍥搱㌳昹㠸㝥搴挱㈸㡣搴昰ㄹ㜹戱㈶戱㠳扢㝢摣㠵捣㌹㠱捥㤳戸㐳㈱㘹㤲捤㍦〷㌰捥㥤㝣昴㘴搱㤸㠵ㅣづ扣㐴㈷搷戹㈰㔵㈳㈳㙦〱ち摡㔹戲㕥㐸摡㜲昳㍢〰㔸攳搲挹愲㌸㠷㌵戸づ㜵㌲㈳晦㠲㌸戴搳㜱㤷愰扤㘶㠳挴㐶㘸昶っ晣昳㜵摢捡㕢㥦㠸ㅡ攷挳㘷㍡㝡㘶捦㡦搰㐶敡ㄹ㑦㠹㝢扦㌰㙢扣昱摣昳㙦㝦敤攳愷扥昴㡤㜷愲攷㜳攱㡣㤹㘸挶攲㜹㐱摢户㜳搴㘶搱ち㡦摡㔹扣㐴捦愳㌶ㅤつ㜴㕦〵㘶㥦挷㕣㝤搴扥㡢捡㔰㥦愰㠹攳㜱ㄳ㐵捣愰㡥㙢戵晣㉢昶搰ㅣ㠵晣㜹〱㌵昳慦〱㌴㝦愶㐴〱㜸㌱㌳㌲昲㔵㈲扦戸㡤㑣换㘷晥㑤㠸晣攸挹㈹昱㜰㠴ㅣ㜲晥㜵㈲搳慡挵昳挵㑢㔱㐳㌳㤳挶敢昶㤸昹昵㜸挶晥捣㡣挵㤱㍥㉦㘸挱㝡㌱昳〱扣㘸㑦㘶㥥㡥〶扡慦ㄵつ㥡慢㜷扢㐸㙢晢㡡㌶挲㔷戵ㄹ㜹つ搸㘱㌷㉤っ㘲㉦愷㕥搷㘱换㈰搲㕥て扦散戸㡣敢ㅤ㈴捥昸〹㑤ㄴ㜷攲摡㠷愱㘰㝣昹㈸㜵㑢挷扢昶㔵て户㤱晤昶愲㡦昰戶㤶挶て〸㠲〰㍦戳㝡㍦攴挴〸㈴㔳ㄴ㉡㙣戱扥㕡敢ㄹ挳攵㌰摣昳㌸搳挸晢戹ㅤ㝥挴㥦愷㤲捣㤶敦散㠶捥晣㍢㉣戶㥤㠲搵摡㉥㠰㔲攲ㄴ㘴ㅣ㐶〲㥦㑦扣挳㜷愶愹㤰晦㠰㠷昹㡦〰扣㝤搷愱〶㐰㐶晥ㄳ㝡挲㠴晢㕥搴ㄲ〶慤㜸昷敥㜸㌷㝣㤱摢敦晡捡㌴㌰挰㉤挷㈵㜵ぢ戵晤㡣㈰ㅤ㙦㝦愳㙣昱㘷㥦改㐶戹慥㥡慢挱摡昶㑦㍤攱㐷昰挹㑡扥〱愴戸〸㥡慢㕢昸㤷摦㡢扢昰ㄴ㍣敥㔴㔷昳㥦〱昶攰挱㠷㝡昲攰㕦㌱㐱㤲〷㍢晢晦㍥扢戸㜵つㄲ㠲收㠲㍣㠸㡢愰㐹戸㠵㝦昹㙦〰愱づ㘰㍡捦扥敥晤昷戶㕥㠳㍣㍥戰〶〸㈰ㅦ挵㔹㠹㝥て换敢㥦戱㍡㝦つ摢敢挶扤昳戶敤㑤㑣ㄵ㤴ㅣ㘹挸晦㠸㉡㙣㡣扣〱挰㤲ㅥ昹㕥㔸㐹愴〵户捤㔷㤳㍦〰㄰摣戱㥥昷挳愸愲攷㜱㜷慣愴昱㥦ㄸ攱慥戶㕢㐲㉦㠷ㅥ昹㥦ㅣ㡣㑡㤶换愶昰㉦晦ぢ〰收㔷ㄳ㘷晢㉤㠰戸㘴戹㠸挶㝡ㅢㄵ〴愰㌱〹挱㔹摡㕡て㐳㔴戴搶㜳攸㐸㈳愳㠹愷ぢ捥搰ㄸ㐳㥤ㄸ〳晦〳戴搳㤴㌴</t>
  </si>
  <si>
    <t>STB/MMscf</t>
  </si>
  <si>
    <t>BOEs</t>
  </si>
  <si>
    <t>Producción</t>
  </si>
  <si>
    <t>Acumulado</t>
  </si>
  <si>
    <t>BOED</t>
  </si>
  <si>
    <t>mmscfd</t>
  </si>
  <si>
    <t>bpd</t>
  </si>
  <si>
    <t>MM BOEs</t>
  </si>
  <si>
    <t>M bbl</t>
  </si>
  <si>
    <t>qi</t>
  </si>
  <si>
    <t>Di</t>
  </si>
  <si>
    <t>38b7d42e-0cf6-4d9a-9e42-6e51a28dcaa4</t>
  </si>
  <si>
    <t>Mean</t>
  </si>
  <si>
    <t>SD</t>
  </si>
  <si>
    <t>Assump</t>
  </si>
  <si>
    <t>Variable</t>
  </si>
  <si>
    <t>Year</t>
  </si>
  <si>
    <t>55a45e76-99f2-4751-9184-609a7847aef8</t>
  </si>
  <si>
    <t>Well</t>
  </si>
  <si>
    <t>Line</t>
  </si>
  <si>
    <t>MM USD</t>
  </si>
  <si>
    <t>Well site</t>
  </si>
  <si>
    <t>Well Site</t>
  </si>
  <si>
    <t>Wells per year</t>
  </si>
  <si>
    <t>Forecast</t>
  </si>
  <si>
    <t>Well Initial Gas Rate</t>
  </si>
  <si>
    <t>f071e19f-4f61-421a-b748-25d6c962a3b4</t>
  </si>
  <si>
    <t>MM scfd</t>
  </si>
  <si>
    <t>Field Initial Gas Rate</t>
  </si>
  <si>
    <t>Max Gas Rate</t>
  </si>
  <si>
    <t>Active Wells</t>
  </si>
  <si>
    <t># Wells per year</t>
  </si>
  <si>
    <t>#</t>
  </si>
  <si>
    <t>BCF</t>
  </si>
  <si>
    <t>Field Cumulative Gas Sale</t>
  </si>
  <si>
    <t>Total Wells</t>
  </si>
  <si>
    <t>Capex before production</t>
  </si>
  <si>
    <t>min</t>
  </si>
  <si>
    <t>max</t>
  </si>
  <si>
    <t>OPEX</t>
  </si>
  <si>
    <t>Value</t>
  </si>
  <si>
    <t>Unit</t>
  </si>
  <si>
    <t>Well Drilled</t>
  </si>
  <si>
    <t>%</t>
  </si>
  <si>
    <t>bbl/mmscf</t>
  </si>
  <si>
    <t>Well Drilling</t>
  </si>
  <si>
    <t>Compression</t>
  </si>
  <si>
    <t>Facilities</t>
  </si>
  <si>
    <t>OptQuest</t>
  </si>
  <si>
    <t>Wells per year Opt</t>
  </si>
  <si>
    <t>㜸〱敤㕣㔹㙣㈴㐷ㄹ㥥㙡㑦㡦愷挷昶摡㔹㙦㡥つ㈱㌱〹㈱㄰㉦捥㝡㤳㈵〴㔸ㄶㅦ搹㈳㜸搷捥摡扢〱㐱㌴摢㥥愹㕥㜷㜶扡摢改敥昱摡㈱㔲㈲㐸㌸挴愹㜰㠸㐰㌸ㄴ㈱㈴㕥㌸㕥戸㕦㤰㄰㈰ㄴ㈴ㅥ攰〱㠹㠷㄰㄰㍣㜰㘸〵㉦㍣㈰挱昷㔵㜷捦昴捣㜸摡捥㈴〱〷戹㌶昳扢扡慥慥慡晦慣晦慦㑥㑥攴㜲戹㝦㈳昱㉦㔳㥥㤹敢ㄶ㌷㠲㔰㍡ㄳ㌳㕥慤㈶㉢愱敤戹挱挴㤴敦㥢ㅢ㜳㜶㄰昶愱㐱愱㙣愳㍥搰换㠱晤㤰㉣㤶搷愴ㅦ愰㤱㥥换ㄵ㡢㠶㠶㝡づ挲摦㐸昲㘰戰搷㘰ㅥ㘰㘹㘶㝡㝥昹〱㡣扡ㄸ㝡扥㍣㌰㜶㉥敡㝢㘴㜲㜲㘲㜲攲㡥㍢㈷摦㌰㜱昰挰搸㑣扤ㄶ搶㝤㜹挴㤵昵搰㌷㙢〷挶ㄶ敡换㌵扢昲㜶戹戱攴㕤㤴敥ㄱ戹㝣昰昶㘵昳㡥㌷㑥摥㜱昸戰㜵搷㕤㙦ㅣ挴慢㜳愷㘷愶ㄷ㝣㘹〵㉦搲㤸㍡愷㝣挷慣慣搸㕣㥢㤴扥敤㕥㤸㤸㤹挶㝦愹昹攳改捥㠹挵ㄵ㈹㐳扥㕡晡搲慤挸挰㐰挷〱㘷㉡〸敡捥㉡㌷捦㜰㡥㘱愹ㄵ㌳〸㜵㘷㐶搶㙡㠶㤳㡣㕡㜴收戱㜷㌵㜳㘳搰㔹㤴㙥㘰㠷昶㥡ㅤ㙥ㄴ㥣㈵っ㔴ㅤ㜲捥〶昲㡣改㕥㤰愷㑤㐷敡捥昱扡㕤捤㐷㈹搷㜷㑢㌲㐴㝡㘲㙡昹ㄳ㔳㠱㌳戳㘲晡㙡㐶〱㌷㈶愳敤㌱扦搲摡昶愶敥攳㜲敡敡つㅣ昳收敥敤㔰㜳捥昴ㅢ㉤挷扢户㡣ㄷ摦㍡㠳摢扡户㑦敤㔱㙢㥦搷㜵敦愳戶戲戵戵ㄸ㠸改㕢敤㈸ㄶ㘳ㄴ〸晡〹㡡〴㐴愰㔱㈲ㄸ㈰ㄸ〴㄰昹㝦㠰㑢搲ㅤ㔹愵㤵㑤慤扣慣㤵㉢㕡戹慡㤵愵㔶戶戴昲〵慤扣愲㤵㙤慤晣㠰㔶扥㠸㌶㐹㉡昶昷㙢㜱晡挹摢敥晦㝤昱戹㙦㥣晡挴㐷㡡㔳敢㝦㉦晣㜵㜰てㅡ摤ㅢ㑦㙡搶㌷㉦㠱搴㥡㔴㝣㘸攲㈰晦㙤捤ㄵ㘰ち敢戰㜵愷㌵㌹㔹㍤㝣搰扣摤搴戹慣っ攴户㄰捡〸摡づ㕡昷搹㙥搵扢愴㜰㜷摤戴ㄹ挸收挶㡤挷㜵搳㕥摤慤〶慦搸扣㜲㌱㌴㐳㜹㙤㝢㕤㜳㤰㡥㙥㡢㘰㉢ㄹ愸昷㕤摦摥敤㥣㔹慢换愹㜵㍢慡㝥㘵㕢戵戳攰㝢换摤㙢㡦昹昲挱㐶㙤挷㡣愶㈰搴搶搴搸ㅤ慢㡣慡愲㜹㡤捤慣㜸㠱㜴搵昴挶㥤〵扢㜲㔱晡㡢㤲㈲㔱㔶搵㔲慦㘴㔵捣昵攳昳㉥ㄶち㙥慤摥㤸㉥戵敥㕥て挱捣戲㡡昹慥㑡㍦摣㔸㌲㤷㙢昲慡㤶㈶搱㍢㔱戱扦愵昸㤸㔷愹〷㌳㥥ㅢ晡㕥慤戵㘶慡扡㘶㐲搲㔴㑦㜹㔵㤹捦攷㤴㔰㠰挰敤敢ㄳ㈲㜷㙢㜷㕥㔰㠸㐸愱㤸㡣㝣㑤㉢搹㑤㥣挱敡戰㡡㥡㈴㑤㙡慦摥㘲㌰捥㔷挹㤸っづ㑣慤㠹晡㠳㉦㝤敤ㄶ挳㌶㌰昷搲㌶搶戴搱㜸昵㜷慦㐹㌷㍣㘱扡搵㥡昴㌳戵㥦攰㡣㡣㘱〰晤㌲〴㐲搷摤愳慡ㄳ敢㘲㐳扦㘴㔷挳㤵挲㡡戴㉦慣㠴㈸㠳㠶㉣ㄶ戹戵ㅤ挹戸〲㐵挶㕥㠲㔱㠰㔲㈹㔷搸挷㐶㠵ㄲ㔲㑥愷㜴捡攰攵ㄶ㐱捥㝥㉤扣㍣㘸ㅤ戳㙢愱㡣㠴昲戰〵㡣㐴㕡㑤愱㙦㠸㈴敡㥢㤵㐸㘱散戳㘶㐰愵愶敤㠶ㅢ㑤扥敤攰㤲㠸㠸㜶㘵挱㡥㤳〵ㄴ〵慤昲㈰㠳搷㐰㌴㙤搲㈰扢㜱㡡㠸挸〶ㄹ㥡ㅤ㈳户ㄲㄹ摢㘷挸〸戴㑦ㄳ㈱㕢ㅦ散㉥㈳㐸散㥤㐴捡㑥㕤昹㜱㔷㥡㙤㘶换㐷搲散㑡㙣㥣㜱ㄵ挱搵〴搷㄰散〷㄰㝦㠴㠴愳㤴㐳扥㌵ㄹ慦挰戳㜱ㅤ挱㉢〱㈰㥦っ捡㥣㔸㔴搱㠶摡㡥ㅤ挹㜶㐳戰㤳㤵㔱ㅣ㠹㈲㕡挶つ㍢㜳挸㔱㠸㡥慤捥㥤愱㙢昳㑡挷扥愶㍢㙤愶㤷㐳㡡捣㘸㥡㕥敢ㄶ㑤搳ㅢ挱愶㍤敡慤ㅢ搰搵ㄸ㈳㜸ㄵ㐰挹戸㤱㄰捡㠵〶敦昶㉣㝡㥡㤴㉦ぢ戳㈸㌲㠶㝡㔴昰㌱㈱昳〸㤰㈱攴㍡㡥㉦扢㌶㌴捤挱㜱敢㘵㙦㐳ㅦ攸捥摦㌱搲摢昴收慥摥愱扦攸㜹㕡搱㌷㠱扤挴㙦扢敡㤸㥢㔱㙤扣㠶攰ㄶ㠰㌶ㅤ挳搳昷昳昵ㄴ㈸戳搸㐹㘱㙥㉦扤㉥捡捡㕤摡㔸㤵㑡〳つ㕡㑢愶㝦㐱㠶昰㘰㥣㥣㠵㉤散昹扥慣攱㔰㕢㔵〵㍣扦㕣摤㕡ㄸㅣ昳㍤㠷攵扢㌶㜲昰戲㔰っ昹扣搶㤷㙢戳㤱㌳㙣捤㤴捦㈹㐵㌹搴挱户㜷ㄷㄲ愹㑥慤攴挵㝥搹攷换㕤㐹搲㠳㈴㜹ㅤ戶搵戸ㄵ〰㔲㐲晣扡慢㐴㌹挰㘶慦㔷捤㕡㉤㔶㝡昸㌲㑥㈷㙤㍥挴づ㌹㌲㄰㌹㙣愷攱㍦〸㠶㥣㐵摢㘹〸㡢〱㘷㐱晡ㄵ昸ㄶ散㥡㉣㐵㙥㔹㡡㥡㕤㔹昱㌲㤱ㄵ㝤㝤ㅤ攷改っ晦㥡愲㤳㌶㈹㤱挹敤㤹㤵ㄹ㘷昱㈶㔱搱つ㐹愱㤲攱ㅡ㙡㐸㈰㔲ㅥ摢敥㡡㤸ㅥ㐴捣㙤搸㌸攳㈰挱㈴挱㈱〰晤ㄷ㤰㌴摢摤㜸㠶挳晡搷攸搲㉥㤷㜳㐵愲㐱戹〸㥦改㉡慣づ昳㌵㙦㈰戸ㄳ愰捤晣愱〳㌲㠳㄰ㄵ捡㔳㠴愸挲ㄸ搶㌹㕢㕥㈲つ散戱㄰㔸㥡愹〷愱攷㌰戲㌴㘴捤㝡愷扤㜰搶づ㔶ㄱ㠹ㅡ戵攲捣㝤㉢搲〵㜵昹戰㝤摡捡扣搵㔵㔹㌵慣㐵慦づ搱㜶㜲㜶㈷ㅣ捣戱ㅤ戰㈵搵搹㕣ㄳ㐸扤㥤㡦㌱㠴挰㑥㉢㝦㉢扤戱摢昲㝥昳搰㌷摣摣搱㈵㍢慣挹〱㉢㘲㍡收㡢ㄶ㜶ㄱ㤱㠳㙡扦戵戴攲㑢㌹㍢㘴ㅤ昷敤㙡捤㜶㈵㤱〱ㅢ㤳挱扡㌹㜹〱㔱㠲〵㡦㌱㐰捦ㅤ戲㤶㝣搳つ㔶㑤〶ㄴ㌷昶戶㍣愹戰㠸㙥㑤摢㙥㠰搷㈸㉣㌲㍦㙣㉤慥㜸㤷㄰戱慤㍢敥㜱㜳㌵搸ㄱ㔸㈱搱㐷㐹愱㐶㘸㐲搳㐴㔱㉢昶㡡ㅦㅥ挸㜳㌹昲㕥㥥㐰攱㉡愷搳㘷㥥愱扤㘹搷挷㌱ㅡ摡改㥣搳㈰愲㐷㡤挲扥㑣㈹㑣㑥㌵敥㘲㥦㌷〱摣㜳晣散挹㘶㘴敥〵挵慣㜵㝡昹㌳㘴扣㈲㡢㐶㈰㠴㍥扡㍤ㄱ愹戰㡣㤴〳づ〴挶昹搴㑥㝥㈵㑢戵㈱昵敤㘹㘶㡦㈱㤲㌴㘸捤㤹换戲㠶㜸戴㘳㠶㝢愲〷㥡戱㡥㔹ぢ攲扡ㄹ捦㜱㑣㤲ㄶ挹㜲戱㘲㤲㠲愷敡愱㜷捡㜶つぢ㐰搱㕦㕣㘴慥愳挸㕣㔷㐵㠳搶ㄹ㠶〶㔵㥥㘳㜹ㄷ㑣摦づ㔷ㅣ扢㔲攴〳挳㜷㍢㠲㈶挱攴㤴扣㐹㑡㘴挶㔸㥢㌵㝦ㄶ㈶㕢㌰〱㜴㑦㐰㡥㜲敢㠸㝥㔰慥㈶ち昸㈷㝡㜴㉣㐱挰㈸㑦愹昱ㄶ㡣愶慢摢ㄱ㄰㌹㉡㕤㑥敥㘰㕣㝥〴㈵㤱㄰㈲搶㌳㐸〴㕥挱㤴㤰愷㡢扢㘰㥤㜵敤㄰搸㈳挶㡥搹攱㙣〰㤴〳㈰慢㡥户搷㉡慣愶㍡㡤㌷戴挲つ㥤㔵㉤㙡攲晡捥晡戴摥㜸昵㈶搵㤱㐶㐹㈹㤲慤ㅡ㈹捤戲挹ㅣ㜷㤲慡ㄱ㑡㜱㈷摡㐶㘴戹㑤㥢晢㑥㈹昲〲ㄴ㤳愲㤹㥣昱㔶㐵㈸〸昴挶㍡㡡㍥晢㙣昲㐸㐵㙣㘸〳㤴愸愷愲戲愱㌸㈴㜸ㄲ搷㑥慡戲ㄴ㍦㠱扦昷挴搹昹㝡搸㔲㘳慥㡦挶㌵㔳戵摡扣ぢ㉢愱㘲晡搵ㅤ挲搲㔸㕢愴㘱ㄴ㜷昶慡晤愳敤㑤㌱㘲捣㠶っ㡢㘴昸㠱挱㠶㘰慥㔴㐴㤵搶搹㄰户扡㔱㕣攴搳㈹㘹扡ち〳㡢㘱㜵㔶慥㈹㌳慣㘹挹㡦慡づ㡤搳愲㤲愳㠶㌵戵ㅣ㐰愵㠷㤴攳㜱㑥㌱戸㘱㥤愱㕢ち㤷ㄸ㈰㜶攳摣㐲㈵㐴㘸户㌱〰㑦〶㍢〷㍢搸㤱㈸㜴㐲敢㡣ㄲ戴㤰㐱戸慤㡢㈰敦昴㠸㔱〸㔲㑢愵扦ㅤㄵ㥦㝢㤲改㙢㐷㜳㐹㈶㘶㈲㠶扢㌲慣〷㈰㌷ㅤ㤹㈴ㄷ㡤㈶〱昳㐸戲㈹愱㌵㤸㤴搱挴ㄸ愲挹攷㠷戸挵挳㔸搶㌰搹愶㠶㝢㙥愱つ㙤㕡摢搸㘳㥤㜴㉢戵㝡㔵㉡㔵㥣挸㙡愵㤱㜷〴扥搴ㄵ挰㠸㥢㌲昶㈵摥㤴㤳㌸㑡㜱挹㐴㔲敦㜶户㜱ㄴ摤㤵㤰挳ㄸ㤱敡㘳〰㌲挳㉤愷〲㘲ㅤ昷ㄴ㘸ㅦ敥㙤㕥㘰㔰㤷攷㈰搲㍡㡡㈸换收㜰ㅦ慦ㄱ㐵㔶摣㤶㙡㌶攷捤㜹戴搹㔳㐵㈷散愸㘸㐷攰〸敢㡣〴㕥愱〰㘳愴㐷敥攰㈰戹换㜱㜴昷昲㈳敡㌱㜷ㄹ愸㔰ㄸ㄰㡣昱昲ㄴ㤴挳慥㠲㤱㘸㜰㙢㑤慢㕢㌰晡㑢换摢㤸〲㄰っ〳搳愰㐵换挸挰㤹㐱㝥㙢〳攷〶戴捡㠸㤰愶㠳愹㡣㔱㡥挲㘱て愴㠱㥢㜸㤰㕥昲愰㠴挲㝤敡㘲㔸㜲㌷㜱摣挱ㄱ挸昳慦㙡㉢㕣㌰㐳㕣㝦㜱昷户ㄵ㑦㔵慢㌴㜷攱㥦摢ㄱ㔸挵搵㡤挸ㅣ摤搷㜶㈹㑢慤㠹昶摤㑤㙤ㄵ昱㘵挱㐳戳ㄳ㈷捣戰戲戲ㄸ㙥㐴ㄷ户㝡㈵〹晤㠷昰㐷㙣晡㜶摡捣㜹㤷ㄷ㔱搷戸昷愵㡢慥㜷挹㔵昳搲〳摥晡〳㠵攰ち㘵㍦㈷㔹捡晤ㅢ晦㔴搲㜲晡て㌰攲㜶愶捤〱㥡づㄲ㡥愳㔲㈴つ挶㤰捦愰ㄳ搸敥㡤㕢〳愴㤳㝤㙤㜴愲〴挱㉥愱戸ㄷ㕥㌴㐲ㄱ摦〷㕡㐹㉣搱㤱ㅣ㝢晥㔵戰扥昸ㅥ㑡㠸㜰㍣挷㘲㐴㝦ㄵ㜲ㄹ愸㔳㠲㍣扥攲挱ぢ㈱晦㍦㔸㑡戸㜹㔳㜶晡㉦㌰戳昸㙥㍢㡡慥㈷㡡扥搳㠱㈲挱㙢㈰㡡㝦敦㐱㈶㐹㍡挳戳捦㉢㄰捥㌵敤ㅥ㐰㕦昲ぢ扦晦挳〳攸㕣㑣ㅣ捡㐶㐳愸敤㘶㍣㌷㑣㠴扥づㄳ㠱挱㝢㘵㈲㥣㐲㐶㌰㡡ㅦ㤹〸戱て㘴ㅥ〵㕢㥢〸㡣敤㘵ㄸ㠲愹㔰㙢捡慤挱ㄳ搸㔵づ晤㘳㈷㜰昱㔶〶㠸攷㐳㘹〵㌳昰㐸㕤摤㔹扣㘰晡愶戳㕦㤵ㅦ昷㈵㤴㤹扦㠴㥢摣慡ぢ㝢㕣扢㘹㡤敡戴㠹慦㈲昱戲敦晡㔳戶㜷㝦ㅤ㤸㡡㔲攴扥ㄷ㐵㔱㜸〱㥥ㄲ挱㜳㐳敥㍤晢扥㝥晣㜷て㍤㜶㤴户搵㘲㕡搵㙦㐵扥㤷㤰㍤敤〹〴㜵㔳ㄷ㐵慥攴㠷㌹愷昰㠹㤲扤㕡㤳搳愶慦慣愰挰㜰㤲㙣㐴㜸㈹挲㡣㠸㙦㈷㤸㤸戸昷㄰㤹㤸ㄳ㙤敥㑥昵㘱㤳㜲ㄱ㑥愴㈶慥㝣㝡㐹搸㔰㜴㔵㘴㍤㕡㥢晡㌷愱㡡㥥攷㐴㕡慤㐴㥥㍡㤹㠴昸㐶扢慥㍢㑣㕤ㄷㅤ㘴ㄸ昶㑦愴ㄴ攲て愴㤰昴㐱㠶ㄷ〲㤴㤴㍡㠳㡣㝥ㅢ㐰㐶㘴慤㍤挴㑢㝦挰慥㄰㤰㡤㑢㝦㍤㝥挴㠲㕤〴ㄶㄳ㕦㝣慦㈷㕡摡愲㠹㙡㘲愸㔶搹㌴㡢挸愸挳ぢぢ㈶㤳搲㈵㘴㤲愴ㅦ㐲㙥摢敥㈸扥㘴挸㠹〲㙦ㄱ㘳敢づ㝤㙤㈵攷㙥户㡥㥢ㅦ搰㌳〵愵㌰摣扤㉣挶㠱㔴挵攸愲愶愵愸㠸㜰㌸捡㌶㍡つ挴㔵搰㔹敥㝥㥣㑡ㄱ晣攳㤷㐲慣ㅦ㙦づ㝤㘵㝢つ㜵㥣摢㡦〵昲〷晢敢晡っ挶挶㕢挹㌱㤰戰摢㙡㔵㡣慥㠷㥦㐵ㄷ㉥㍡㈷㡣㘶㔶㍤㡢挳昸㤳㜰㔶㥦搶愱晦ㄹ扤㔶㥣㜵㡥扤ㄹ挶㙥搱晦敦㐰挱㤶晡㕦㌰昶愶㄰昹捥㌸挳〷㥤昱㤳㉤㐳㌶摣ㄱ㜸戶ㄱ扣㔱〷㘳㐳㘵ㄹ昲㡥㜲㡢昸㜸㌵慡㔶ㄲㅣ㝥慦㝣晢搵㠸㐶㕦摡戶〳㕤〵㈰㘳㐳晡㔷㈱㠲扡昶㙦㤵㕢挹改戶昰㉥㜴摣㜷捡慥昸㕥攰㔹攱搸㈲㠲扥㘳晣昶捣㠲捤㌳㈵扥搲㉥搴㙥挲㑥っ摥㡦㍥愷攷㈱戰㑦换昰挵㡡㐵㌲戲戰扤㐸〶扦㐳ㅡ㐹㠵㤷愸ㅤ㠲㉢慣㝢敢㘶つ㥦慥捥挳搷ㄹ戲㘸㐷㈸扢挸攳摣㝥㐳㠳㕢㠷㍢㕡㙦㠷㍦㐸搶㈶㄰ㅣ㔳㑢㜸搷晤摣搷昶㍤㘸㙤ㅢ慦㉤㘰换摥㝣㙥㈵晤㘹攰㜴㝢㙦㘹㈵ㄹ扥㤳㕦㈴㤷㡣㌲㈱㉥敤ㅦ挵摦敤㍢㘸㌹摡㈸攸㍣晥愰㥢㡥戰昱ㅡ摣㘷摢㠸㝥㥦㐷㔷㌱㐵㠰㥦㘱挶ㄹ㍥〸㝡昹挸㡡攲㡢㔸ㄶㄹ〰昹㕣愱〲搰㥤慡㥦摡㡣慡㐷敥㘱㑦㈴挱㌳〶挹戱㈴㍥㡦㠶摣慥㘸搹㘰〹㉥㕢愸戳〴昲㐶搲〳昹㥣攰㔹㐲㑤攴戳攸搰㤸㠸㡤搲敥ㄳ昹捣㘶ㄳㄱ戴〲搴㐲搳攳㡦㈴㕡挴愸愱摡㜰〸㕣〲て㘰㈴㔱㈶挳㤴㡦ㄴ㍡㠵㈸挶昰㍤愲〸改㤷昱摦㘷㡦晥攲ㄹ愶扦ㅣㄵ㑡㈲愲慡㜵ㄵ㤴㠸㙡ㄵㅦ㑦慦挲㐷㘹昷㔵㝣㜴戳㔵㡣㔰㔸㜲㈶㐶〸㌰搴㈷捡昸愳㔶㔵㐷㠶ㅢ捡㥦㌸㑦㠰㕦换㉣㐶㑣㤴愸扥㤷㤰㐱㕦敥扣㙡戵㡥㑣搲㔷攷㐶㘴㝣攵愳っ㈵摥㠸愴㔳愷㄰㜹㘵ぢ㤱㝡㉣㍡戱㍢㜶㐷〸〹㉣㠹㥦捤㜶㤵敤㠵ㅥ㐳晤攲〳〹㘲㑥㥣㐸㍥愱搲攲攰ㄳ〸㈳㌲㑤㐹㐸摣㐸昱晥愴昱户扥摤昴㥤愲〲〹搴ㄳ㌵㈶挱愹挶㡦㈷㡤て攱昳㉣搵㈶挷慢〴㑣捦㈶㡤㐹㤸慡昱㘳㐹攳㍦ㅦ摡摦㘸㥣搰㘱㌴戲㑥㈲挹㌰㝡搵㌱㈰昵愹昶㌰㥡敢ㄶㄵ改㠰ㄵㄵ㔳㠴慡ㄸ㜲㑤愹搲㐱摣ち昱昱戱昴ㅣ㉥㌹攱㉥〸愴㙤昴晦㑣㌸㠹换㑦戳㘶㘸攲㕢攸㌵㐴㥤㝤㐳㍤戱㜳挱㥡昷㔱搰㙦㥤っ㜰戸慡敥㈸ㄲ㠱㕤㤰㡦昶㜷ぢ敦㝣㠶つ搹摣㡦㈴㕡愶昱㌲㐹㙦㕡㐴㐵㔸昲攲扤〹㘶㜳㡦㌶㘹挶㜸〴挸㠱㤸〴㘴挶㜸ㄴ㌰㡡挸散㘳挱〸昹㕦㌱昷㝢㔹昱㍥㠲挷〰㑡㠲捣㑥㍡㈸㍣づ㌰㥣晣ㅦ㉢挶搶㤴攳㐴ㄳて㈵㉦㑢㤳㤱昱〱㜶昸㈰㐰ㅦ晣戸㈲㈶挲㤲昱㈱㤴愴㕦㑡挱愱㕥晡㘱㔶㝣㠴攰愳〰㈵㥤㤳摤昶慥㜱㑤㍤慡戰㡦愱慢㜸㤴〰㍦攳攳㜱㠶て㍡昷攱捤摤㡤㘶㥥㠹㤳㉦晣ㄱ昳㙣昹㤴晦㙥㝣㥡扦挱㐵昷攱晦㑣愲㉢ぢ㍦慦扤愹户戱挸〴㌴捥搵㙦ㄵ㥢晤〲挶攱扡㥡愱ㄴ㡥㐸愵㔲搴ち㠲昸收㠲㠵㠷㌷昰㉤㐷㔴㠵㄰愴〱㔵攱挶ㄵ㐷㔱㘰㝣㤲㑤㠹㘳攲挹昸ㄴ㥦㠸㕡戵㠹㥦㡥㌳㝣㄰挴慢敡晥㐰摣㍤㜹㈱㜱慤㉡散戶ㄷㄲ晦慡㘲㈵晤挲㈷㌹㤸㐲ㄶ㌲慤㕡㠹㐸㔳㌴昴㜹㘴㠶晡㠶㌹户晢昰搳搶㐵攵㝣昵晣昹㝦づ攷挷慥捤扦攳㙤㠳㑦㍥晢昳攷㥥昸搵扢㡦晣改㕦㑦㍤昵慢㍦㍣昱捣扦㝥戸㝣攴愷㑦㍦晤攳㝢扥昴捣㜳㝢慤㉦㙢摦晥攷摣㤷ㅦ㥥扣昸昰㠳搶搹㕢㡦㍦晣捥〷敥㥤㕣戸㘲扣慦慦扦晦㤶搱㥦㕤昳摡㤱㐷ㅦ晣慥昸搱㙦慥㜶㠵㕡㉥㕥搰㍡つ㉥㕢㑤攳ぢ挸㘰ㅡ㥣昱㑢㍡つ㉥㔷㙤搴㜲扣㔱搳㈸㈸挲戹挱〹愸ち戳戵㘲攰㍦〴搲戳愷</t>
  </si>
  <si>
    <t>㜸〱敤㕣㕢㙣ㅣ㔷ㄹ摥㌳摥㕤敦慣敤搸㡤搳㑢㑡㘹摤ㅢ㠵㍡戸㜱摡㔰ち㠴攰㑢㜳㈹㑥散挶㑥ち〲戴ㄹ敦㥥㠹愷搹㤹㜱㘷㘶㥤戸㔴㙡㔵捡㑤㔰㉡戵㔰㈸㉤ㄷ㔵〸㠹ㄷ㉥㉦摣㕦㤰㤰㐰愸〸ㅥ攰〱㠹㠷㠲㄰㍣㠰㔰㈴ㅥ㐰〲〹扥敦捣捣敥捣慥㜷散㙥㕢㜰㤱㑦扡扦捦㥣摢㥣㜳晥敢昹晦㌳捤㠹㕣㉥昷㙦㈴晥㘵捡㌳㜳捤攲扡ㅦ㐸㝢㘲挶慤搷㘵㌵戰㕣挷㥦㤸昲㍣㘳㝤捥昲㠳㍥㌴㈸㔶㉣搴晢㠵㡡㙦㍤㈸㑢㤵㌵改昹㘸㔴挸攵㑡㈵㕤㐳㍤〷攱㙦㈴㝥搰搹㙢㌰て戰㌴㌳㍤扦㝣㍦㐶㕤っ㕣㑦敥ㅢ㍢ㄳ昶㍤㌴㌹㌹㌱㌹㜱挷㥤㤳㙦㤹搸扦㙦㙣愶㔱てㅡ㥥㍣攴挸㐶攰ㄹ昵㝤㘳ぢ㡤攵扡㔵㝤户㕣㕦㜲捦㑢攷㤰㕣摥㝦晢戲㜱挷㕢㈷敦㌸㜸搰扣敢慥户づ攲搵戹㤳㌳搳ぢ㥥㌴晤㔷㘸捣〲愷㝣挷慣慣㕡㕣㥢㤴㥥攵㥣㥢㤸㤹挶㝦㠹昹攳改捥㠹挵ㄵ㈹〳扥㕡㝡搲愹㑡㕦㐷挷〱㝢捡昷ㅢ昶㉡㌷㑦户㡦㘰愹㔵挳てち昶㡣慣搷㜵㍢ㅥ戵㘴捦㘳敦敡挶晡愰扤㈸ㅤ摦ち慣㌵㉢㔸㉦摡㑢ㄸ愸㌶㘴㥦昶攵㈹挳㌹㈷㑦ㅡ戶㉣搸㐷ㅢ㔶㉤ㅦ愶㕣摦㉤昱㄰挹㠹愹攵㑦㑣昹昶捣㡡攱愹ㄹ昹摣㤸㡣戶㐷扣㙡扡敤㡤摤挷攵搴搵ㅢ㌸收捤摤摢愱收㡣攱㌵㕢㡥㜷㙦ㄹ㉤㍥㍤㠳摢扡户㑦散㔱扡捦㥢扡昷㔱㕢㤹㙥㉤〶㈲晡㔶㍢㡡挵攸㐵㠲㝥㠲ㄲ〱ㄱ愸㤷〹〶〸〶〱㐴晥㙦攰㤲㘴㐷㔶㘹ㄵ㐳慢㉣㙢㤵慡㔶愹㘹ㄵ愹㔵㑣慤㜲㑥慢慣㘸ㄵ㑢慢摣慦㔵捥愳㑤㥣㑡晤晤㕡㤴ㅥ晦晢㉦㥥扥改㥦㡦㑥㍦㉥㍦晢㡢㤹㈷㤷㥦ㅡ摣㠵㐶昷㐶㤳㥡昵㡣ぢ㈰戵ㄶㄵㅦ㤸搸捦㝦㥢㜳〵㤸挲㍣㘸摥㘹㑥㑥搶づ敥㌷㙥㌷ち㕣㔶〶昲㔳㠴㌲㠲戶㠳收㝤㤶㔳㜳㉦㈸摣㕤㌳㙤昸戲戵㜱攳㔱摤戴摢㜰㙡晥敢㌶慥㕣っ㡣㐰㕥摤㕥搷ㅡ愴愳摢㈲搸㑡晡敡㝤搷戶㜷㍢㘳搴ㅢ㜲敡愲ㄵ㔶扦扥慤摡㕥昰摣攵敥戵㐷㍣昹㐰戳戶㘳㐶㔳㄰㙡㙢㙡散㡥㔵㠶㔵攱扣挶㘶㔶㕣㕦㍡㙡㝡攳昶㠲㔵㍤㉦扤㐵㐹㤱㈸㙢㙡愹㤷戳㉡攲晡昱㜹〷ぢ〵户搶㙥㐸㤶㥡㜷㕦っ挰捣戲㠶昹慥㑡㉦㔸㕦㌲㤶敢昲㡡㔴㤳昰㥤愸搸㥢㉡㍥攲㔶ㅢ晥㡣敢〴㥥㕢㑦搷㑣搵搶っ㐸㥡摡〹户㈶昳昹㥣ㄲち㄰戸㝤㝤㐲攴㙥敤捥ぢちㄱ〹ㄴ㤳㤱慦㑡㤳摤挴㈹慣づ慢愸㑢搲愴㜶搳㈶㠳㜱扥㑡挶㘴㜰㘰㘲㑤搴ㅦ㝣改ㅢ㌷ㄹ戶㠹戹㔷户戱愶㡤㐶慢扦㝢㑤㍡挱㌱挳愹搵愵㤷愹晤〴㘷愴て〳ㄴ㉥㐱㈰㜴摤㍤慡㍡㜱㔱慣ㄷ㉥㔸戵㘰愵戸㈲慤㜳㉢〱捡愰㈱㑢㈵㙥㙤㐷搲㉦㐳㤱扥㥢㘰ㄴ愰㕣捥ㄵ昷戰㔱戱㡣㤴㉢㔰㍡㘵昰㜲㑡㤰戳㕦㡡㤷〷捤㈳㔶㍤㤰愱㔰ㅥ㌶㠱㤱㔰慢㈹昴つ㤱㐴㍤愳ㅡ㉡㡣㍤收っ愸搴戰㥣㘰扤挵户ㅤ㕣ㄲㄲ搱㡥㉣搸㜶戲㠰愲㈰㉤て㌲㜸つ㐴搳㈶つ戲ㅢ㈷㠸㠸㙣㤰愱搹㌱㜲㥡挸搸㍥㐳㐶愰㝤㤲〸搹㝡㝦㜷ㄹ㐱㘲敦㈴㔲㜶敡捡㡦㍢搲㙣㈳㕢㍥㤴㘶㤷㘳攳昴㉢〸慥㈴戸㡡㘰㉦㠰昸㈳㈴ㅣ愵ㅣ昲改愴扦づ捦晡㌵〴慦〷㠰㝣搲㈹㜳㈲㔱㐵ㅢ㙡㉢㜶㈴摢つ挱㑥㔶㐶㜱㈸㡡㘸ㄹ㌷敤捣㈱㕢㈱㍡戲㍡户㠷慥捤㉢ㅤ晢㠶敥戴㤹㕣づ㈹㌲愳㘹㜲慤㥢㌴㑤㙥〴㥢昶愸户慥㐳㔷㝤㡣攰㝡㠰戲㝥〳㈱㤴ぢつ摥慤㔹昴㌴㈹㕦ㄳ㘶㔱㘸っ昵愸攰㈳㐲收ㄱ㈰㐳挸㜵ㅣ㕦㜶㙣㘸㥡㠳攳收㙢摥㠶摥搷㥤扦㈳愴户改捤ㅤ扤㐳㝦搱㑢戴愲㙦〴㝢㠹摦㜶搵㌱㌷愳㕡㝦〳挱㉤〰㙤㍡㠶愷敦㤷敡㈹㔰㘶戱㥤挰摣㙥㝡㕤㤴㤵扢戴扥㉡㤵〶ㅡ㌴㤷っ敦㥣っ攰挱㌸㍥ぢ㕢搸昵㍣㔹挷愱戶愶ち㜸㝥戹㌲㕤攸ㅦ昱㕣㥢攵㍢㌶戲晦㥡㔰っ昹扣搶㤷㙢戳㤱㌳㙣捤㠴捦㈹㐱㌹搴挱户㜷ㄷㄲ㠹㑥㘹昲㘲扦散昳攵㡥㈴改㐱㤲扣〹摢慡摦ち〰㈹㈱㝥摤㔵愲散㘳戳㌷慢㘶㘹㡢㤵ㅥ扥㡣搳㐹㥢て戱㐳㡥っ㠴づ摢㘹昸て晣㈱㝢搱戲㥢挲㘲挰㕥㤰㕥ㄵ扥〵慢㉥换愱㕢㤶愲㘶㐷㔶扣㐶㘴㐵㕦㕦挷㜹㍡挳扦愶攸愴㑤㑡㘴㜲㝢㘶㘵挶㔹扣㐵㔴㜴㐳㔲愸㘴戸㠶㥡ㄲ㠸㤴挷戶㍢㈲愶〷ㄱ㜳ㅢ㌶㑥摦㑦㌰㐹㜰〰愰昰㜳㐸㥡慤㙥㍣挳㘱晤㙢㜴㘹㔷㉡戹ㄲ搱愰㕣㠴㉦㜴ㄵ㔶〷昹㥡户㄰摣〹搰㘶晥搰〱㤹㐱㠸ち攵〹㐲㔴㘱っ昳㡣㈵㉦㤰〶㜶㤹〸㉣捤㌴晣挰戵ㄹ㔹ㅡ㌲㘷摤㤳㙥㌰㙢昹慢㠸㐴㡤㥡㔱收扥ㄵ改㠰扡㍣搸㍥㙤㘵敥敡慡慣改收愲摢㠰㘸㍢㍥扢ㅤづ收搸づ搸㤲敡㙣慥〹愴摥捥挷ㄸ㐲㘰愷㤵扦㤵摥搸㉤㜹扦㜹攸ㅢ㙥敤攸㤲ㄵ搴攵㠰ㄹ㌲ㅤ昳㈵ㄳ扢㠸挸㐱慤摦㕣㕡昱愴㥣ㅤ㌲㡦㝡㔶慤㙥㌹㤲挸㠰㡤挹㘰摤㥣㍣㠷㈸挱㠲换ㄸ愰敢っ㤹㑢㥥攱昸慢〶〳㡡敢扢㔳㑦㉡㉣㔲㌰愷㉤挷挷㙢ㄴㄶ㤹ㅦ㌶ㄷ㔷摣ぢ㠸搸㌶㙣攷愸戱敡㙦ぢ慣㤰攸挳愴㔰㈳㌴愱㘹愲愴㤵㝡挵てて攴戹ㅣ㜹㉦㑦愰㜰㤵㉢搰㘷㥥愱扤㘹搷㐷㌱ㅡ摡改㥣搳㈰愲㐷捤挲扥㑣㈹㑣㑥搵敦㘲㥦户〱摣㜳昴昴昱㔶㘴敥㘵挵慣ぢ昴昲㘷挸㜸㐵ㄶ捤㐰〸㝤㜴扢㐲㔲㘱ㄹ㈹〷ㅣ〸㡣昳愹㥤晣捡愶㙡㐳敡摢搵捡ㅥ㐱㈴㘹搰㥣㌳㤶㘵ㅤ昱㘸摢〸㜶㠵て㌴㘳㙤愳敥㐷㜵㌳慥㙤ㅢ㈴㉤㤲攵㘲搵㈰〵㑦㌵〲昷㠴攵攸㈶㠰愲扦愸挸戸㠸㈲攳愲㉡ㅡ㌴㑦㌱㌴愸昲ㅣ换㍤㘷㜸㔶戰㘲㕢搵ㄲㅦㄸ扥摢ㄶ㌴〹㈶愷攴㡤㔳㉣㌳挶摡慣昹搳㌰搹晣〹愰㝢〲㜲㤴㕢㐷昴㠳㜲㌵㔱挴㍦搱愳㘳〹〲㐶㜹㑡昵㜷㘰戴㠲扡ㅤ〱㤱愳搲愵昸づ挶愵㠷㔱ㄲち㈱㘲㍤㠳㐴攰ㄵ㑣〸㜹扡戸㡢收㘹挷ち㠰㍤㘲散㠸ㄵ捣晡㐰㌹〰戲敡㜸㝢戵挲㙡愲搳㜸㔳㉢㕣搷㔹㤵㔲ㄳ搷㜶搶㈷昵挶㑤ㅢ㔴㠷ㅡ㈵愱㐸㌶㙢愴㌴换〶㜳摣㑥慡㐶㈸挵ㅤ㙢ㅢ㤱攵㌶㙤敤㍢愵挸换㔰㑣㡡㘶㜲晡㍢ㄵ愱㈰搰ㅢ改㈸晡散戳挹㈳ㄱ戱愱つ㔰愶㥥ち换㠶愲㤰攰㜱㕣㍢愹挹㜲昴〴晥摥ㄵ㘵攷ㅢ㐱慡挶戸㌸ㅡ搵㑣搵敢昳づ慣㠴慡攱搵戶〹㑢㘳㙤愱㠶㔱摣搹慢昶て户㌷挱㠸ㄱㅢ㌲㉣㤲攱〷〶ㅢ㠲戹ㄲㄱ㔵㕡㘷㐳摣敡㘶㜱㠹㑦㈷愴攱㈸っ㉣〶戵㔹戹愶捣戰㤶㈵㍦慡㍡㌴㑦㡢㑡㡥敡收搴戲て㤵ㅥ㔰㡥㐷㌹挵攰扡㜹㡡㙥㈹㕣㘲㠰搸㡤㜲ぢ搵〰愱摤收〰㍣ㄹ㙣ㅦ散㘰㐷挲搰〹慤㌳㑡搰㘲〶攱愶ㄷ㐱摥改ㄱ愳㄰愴愶㑡㝦㍤㉣㍥晦っ搳搷づ攷攲㑣挴㐴っ㜷㘵㔸て㐰㙥㌲㌲㐹㉥ㅡ㡤〳收愱㘴㔳㐲㙢㌰㉥愳㠹㌱㐴㤳捦ぢ㜰㡢㠷戱慣㘱戲㑤ㅤ昷摣〲ぢ摡戴扥扥换㍣敥㔴敢㡤㥡㔴慡㌸㤶搵㑡㈳㙦ぢ㝣愹㉢㠰㈱㌷㘵散㑢戴㈹挷㜱㤴攲㤲㠹愴摥敤㙥晤㌰扡㉢㈱㠷㌱㐲搵挷〰㘴㠶㕢㑥〵挴㍡敥㈹搰㍥摣摤扡挰愰㉥捦㐱愴㜵ㄴ㔱㤶捤攱㍥㕥㌳㡡慣戸㉤搱㙣捥㥤㜳㘹戳㈷㡡㡥㔹㘱搱戶挰ㄱ搶ㄹち扣㘲ㄱ挶㐸㡦摣挱㐱㜲㤷愲攸敥愵㠷搵㘳敥ㄲ㔰愱㌰㈰ㄸ攳攵㈹㈸㠷㕤〵㈳搱攰搶㕡㔶户㘰昴㤷㤶户㍥〵㈰ㄸ〶愶㐱㡢㤶愱㠱㌳㠳晣收〶捥㜵㘸㤵ㄱ㈱㑤〶㔳ㄹ愳ㅣ㠵挳ㅥ㐸〳㌷昱㈰扤攴㐲〹〵㝢搴挵戰昸㙥攲戸㡤㈳㤰敢㕤搱㔶戸㘰〴戸晥攲散㙤㉢㥥慡搵㘸敥挲㍦户㉤戰㡡慢ㅢ愱㌹扡愷敤㔲㤶㕡ㄳ敤扢ㅢ摢㉡愲换㠲〷㘶㈷㡥ㄹ㐱㜵㘵㌱㔸て㉦㙥昵㑡ㄲ㠵ㅦ挲ㅦ戱攱摢㘹㌳攷ㅤ㕥㐴㕤攳摥㤷捦㍢敥〵㐷捤慢攰昳搶ㅦ㈸〴㔷㈸晢㌹挹㜲敥摦昸愷㤲㤶㉢晣〰㈳㙥㘵摡ㅣ愰攵㈰攱㌸㉡㠵搲㘰っ昹っ㍡㠱敤摥扣㌵㐰㍡搹搳㐶㈷㑡㄰散㄰㡡㜳敥ㄵ㈳ㄴ昱㝤愰㤵挴ㄲㅥ挹戱攷㕦〵敢㡢敦愱㠴〸挷㜳㈴㐶ち搷㈳㤷㠱㍡㈵挸愳㉢ㅥ扣㄰昲晦㠳愵㤸㥢㌷㘴愷晦〲㌳㡢敦戶愳攸㕡愲攸㍢ㅤ㈸ㄲ扣〶愲昸昷ㅥ㘴攲㔴㘰㜸昶㈵〵挲戹愶㥤〳攸慢㝥攱昷㝦㜸〰㥤㡢㠸㐳搹㘸〸戵摤㡣攷愶㠹搰搷㘱㈲㌰㜸慦㑣㠴ㄳ挸〸㐶昱㐳ㄳ㈱昲㠱捣愳㘰㜳ㄳ㠱戱扤っ㐳㌰ㄱ㙡㑤戸㌵㜸〲扢挲愶㝦散ㄸ㉥摥㑡ㅦ昱㝣㈸㉤㝦〶ㅥ愹㉢㍢㡢ㄷっ捦戰昷慡昲愳㥥㠴㌲昳㤶㜰㤳㕢㜵㘱㡦慢㌷慣㔱㥤㌶昰㔵挴㕥昶ㅤ㝦捡搶敥慦〳㔳㘱ち摤昷愲㈴㡡㉦挳㔳㈲㜸㙥挸㝤㜰捦搷㡦晥敥挱挷づ昳戶㕡㐴慢㠵㕢㤱敦㈵㘴㑦㝢〲㐱摤挴㐵㤱换昹㘱捥〹㝣愲㘴慤搶攵戴攱㈹㉢挸搷敤㌸ㅢㄲ㕥㠲㌰㐳攲摢づ㈶㈶敥㍤㠴㈶收㐴㥢扢㔳㝤搸愴㕣㠴ㄳ㠹㠹㉢㥦㕥ㅣ㌶ㄴ㕤ㄵ㔹㡦搶㘶攱㥢㔰㐵㉦㜱㈲㘹㉢㤱愷㑥㈶㈱扥搱慥敢づ㔲搷㠵〷ㄹ㠶晤㘳㈹㠵昸〳㈹㈴㜹㤰攱㠵〰㈵愵㑥㈱㔳戸つ㈰㈳戲搶ㅥ攲愵㍦㘰㐷〸挸收愵扦ㅥ㍦㘲挱㉥〲㡢戱㉦扥搷ㄳ㉤㙤搱㔸㌵㌱㔴慢㙣㥡㐵㘴搴攱㠵〵㤳㜱㘹捡搲㌹㠰搲㉤扢愳昸㤲㈱㍢っ扣㠵㡣㕤戰改㙢㉢摢㜷㍢つ摣晣㠰㥥㈹㉡㠵攱散㘶㌱づ愴㉡㐶ㄷ㌶㉤㠷㐵㠴挳㘱戶搹㘹㈰慡㠲捥㜲昶攲㔴㡡攰ㅦ扦ㄴ㘲晤㜸㙢攸换摢㙢愸攳㥣㝥㉣㤰㍦搸㕦搷㘶㌰㌶摥㑡㡥㠱㠴摤㔲慢㔲㜸㍤晣㌴扡㜰搱㌹愱户戲敡㔹ㅣ挴㥦㤸戳晡戴づ晤捦攸戵攲慣㌳散捤㌰㜶㑡晦扦〷〵㥢敡㝦挱搸㥢㐲攴㝢愳っㅦち㡣㥦㙣ㅡ戲攱㡥挰戳㡤攰㡤㍡ㄸ敢㉡换㤰㜷㤸㕢挴挷慢㘱戵㤲攰昰㝢攵摢慦㐶㌴晢搲戶ㅤ攸㉡〰ㄹㅢ㉡㝣ㄵ㈲愸㙢晦戴摣㡡㑦户挵昷愱攳㥥ㄳ㔶搵㜳㝤搷っ挶ㄶㄱ昴ㅤ攳户㘷㈶㙣㥥㈹昱㤵㜶愱㜶㈳㜶㘲昰〳攸㜳㜲ㅥ〲晢愴っ㕥愹㔸㈴㈳ぢ㕢㡢㘴昰㍢愴㤱㐴㜸㠹摡挱扦捣扣户㘱搴昱改敡㍣㝣㥤〱㡢戶㠵戲ぢ㍤捥敤㌷㌴戸㜵戸愳昵㙥昸㠳㘴㝤〲挱㌱戵㠴昷㝤㠰晢摡扥〷改戶搱摡㝣戶散捤攷㔶㉥㍣て㥣㙥敤㉤㘹㤲攱㍢昹㐵㜲㔹慦㄰攲搲晥㘱晣摤扡㠳㤶愳㡤㠲捥愳て扡改〸ㅢ慦挳㝤戶㠵攸昷㔹㜴ㄵ㔳〴昸改㐶㤴攱㠳愰㤷㡦慣㈸扥㠸㘵㤱〱㤰捦ㄵ慢〰摤愹晡戹㡤愸㝡㈴ㄶ挸㠲㘷っ㤲㘳㔹㍣㡢㠶摣慥㜰搹㘰〹㉥㕢愸戳〴昲㝡摣〳昹㥣攰㔹㐲㑤攴㜳攸搰㥣㠸㠵搲敥ㄳ㜹㝡愳㠹〸㕡〱㙡愱挹昱㐷㘲㉤愲搷㔱慤摢〴づ㠱ぢ㌰㑣戱㐸㔹㔳っ㐳ぢ摦㈳㘶㤰㝥ㄹ晤㝤昱昰捦㕦㘰晡换㘱愱〴㈱慡搲㤳愷㈰㔴㤳㝦㈲㌹㜹て愵摤㈷晦昸㐶㤳ㅦ愱㡣攴㑣昴〰㘰愸㑦㔴昰㐷㉤愶㠱っ昷㤱㍦㜱㤶〰扦搴㉣㐶っ㤴愸扥ㄷ㤰㐱㕦㙥戸㙡㜵ㄱ㤹戸㙦㠱敢捦昸戸㐷搹㐷扣〸㐹㕦㑥㌱㜴挶ㄶ㐳慤㔸戲㈳㉦散戶㤰つ㔸ㄲ扦㤶敤㉡搲㡢㍤㐶昸挵㐷㘳挴ㅣ㍢ㄶ㝦㌹愵㐵㌱㈷㄰㐶㘸㤱㤲㝥戸㤱攲㈳㜱攳㙦㝤扢攵㌲㐵〵ㄲ愸㈷㙣㑣㍡㔳㡤㍦ㅣ㌷㍥㠰慦戲㔴㥢ㅣ㙦㄰㌰扤ㄸ㌷㈶㍤慡挶㡦挵㡤晦㝣㘰㙦戳㜱㑣㠷攱挸〵ㄲ㐹㠶慤慢慣晦挴ㄷ摡挳㘸㕥㌰愹㍦〷捣戰㤸㤲㔳㠵㡥敢㑡㠳づ攲㌲㠸㠷㙦愴攷㜰户〹㔷㐰㈰㘴挳晦㔵挲㜱摣㜹㥡㌵〲〳㥦㐰慦㈱搸散改敡㠹㥤㡢收扣㠷㠲㝥昳戸㡦㌳㔵㙤㕢㤱〸捣㠱㝣戸扦㥢㌸攵㌳㑣挷搶㝥挴㐱㌲㡤㜷㐸㝡㔳ㅥ㉡戰㤲ㄷ㡦挶㤸捤㍤搲愲ㄹ晤㘱㈰〷搲ㄱ㤰ㄹ晤ㄱ挰㌰㄰挳摢捡戹ㄱ昲扦㘲敥㐷㔹昱㈱㠲挷〰捡㠲捣㑥㍡㈸㝥ㄸ㘰㌸晥ㅦ㔵㡣慤㈹㝦㠹㈶ㅥ㡣㕦㤶㈴㈳晤愳散昰㌱㠰㍥戸㙦㐵㐴㠴㘵晤攳㈸㐹扥㤴㠲㐳扤昴ㄳ慣昸㈴挱攳〰攵〲㈷扢攵㕤攳㥡㝡搴㕣㥦㐲㔷昱〸〱㝥晡ㄳ㔱㠶て〵敥挳摢扢摢捡㍣ち挷ㅦ昶㈳搴㤹晡㠲晦㙥㝣㤱扦捥㐵昷攱㝦㐸㔲㔰㠶㝤㕥㝢㕢㙦㘳㤱〹㘸㤳慢摦㉡㌶晢㘵㡣挳㜵戵㈲㈸ㅣ㤱㑡愵愴ㄵ〵昱捤〵ぢㄷ㙦攰㕢づ愹ち㈱㐸〳慡挲㠹㉡づ愳㐰㝦㡡㑤㠹㘳攲㐹晦㌴㥦㠸㕡戵㠹㥦㠹㌲㝣㄰挴慢敡㝥㝦搴㍤㝥㈱㜱慤㉡慣戶ㄷㄲ晦慡㘲㈵昹挲㘷㌸㤸㐲ㄶ㌲㘹慤㐴愴㈹ㅡ㝡ㄶ㤹愱扥㘱捥敤㍥晣戴㡢愲㝡戶㜶昶散㍦㠶昳㘳㔷攷摦昳慥挱㘷㕥晣搹敦㥦晣搵晢て晤改㕦捦㍤昷慢㍦㍣昹挲扦㝥戸㝣攸㈷捦㍦晦攳㝢扥昴挲敦㜷㥢㕦搶扥晤㡦戹㉦㍦㌴㜹晥愱〷捣搳户ㅥ㝤攸扤昷摦㍢戹㜰搹㜸㕦㕦㝦晦㉤愳㍦扤敡㡤㈳㡦㍣昰㕤昱愳摦㕣改〸戵㕣扣㈰㍤つ㉥㕢㑤攳ぢ挸㘰ㅡ㥣昱慢㍡つ㉥㔷㙤搴㜲戴㔱搳㈸㈸挱愷挱〹愸ち㈳㕤㌱昰ㅦ㔷愶戴㌹</t>
  </si>
  <si>
    <t>㜸〱敤㕣㕢㙣ㅣ㔷ㄹ摥㌳摥㔹敦慣敤搸㡤搳㑢㑡㘹つ愵㉤搴挱㡤搳㠶㔰㈰〴㕦敡㈴挵㠹摤搸㐹㡢〰㙤挶扢㘷攲㘹㜶㘶摣㤹㔹㈷㉥㐵慤愰攵㈲㙥ㄲ㌷㔱㈸ㄷ㔵〸愹㉦㕣㕥愰㕣㕥㤰㤰㐰愸㐸㍣挰〳ㄲて愵㐲昴〱㠴㈲昱挲〳ㄲ㝣摦㤹㤹摤搹㕤敦搸摤戶攰㈲㥦㜴㝦㥦㌹户㌹攷晣搷昳晦㘷㥡ㄳ戹㕣敥摦㐸晣换㤴㘷收㠶愵㡤㈰㤴捥挴㡣㔷慢挹㑡㘸㝢㙥㌰㌱攵晢收挶扣ㅤ㠴㝤㘸㔰㈸摢愸て昴㜲㘰㍦㉣㡢攵㜵改〷㘸愴攷㜲挵愲愱愱㥥㠳昰㌷㤲㍣ㄸ散㌵㤸〷㔸㥥㤹㕥㔸㜹㄰愳㉥㠵㥥㉦て㡣㥤㡢晡ㅥ㥤㥣㥣㤸㥣戸敢挸攴摢㈶づㅥㄸ㥢愹搷挲扡㉦㡦扡戲ㅥ晡㘶敤挰搸㘲㝤愵㘶㔷摥㉢㌷㤶扤㡢搲㍤㉡㔷づ摥戹㘲摥昵昶挹扢づㅦ戶敥扥晢敤㠳㜸㜵敥昴捣昴愲㉦慤攰ㄵㅡ㔳攷㤴敦㥡㤵ㄵ㥢㙢㤳搲户摤ぢㄳ㌳搳昸㉦㌵㝦㍣ㅤ㤹㔸㕡㤵㌲攴慢愵㉦摤㡡っっ㜴ㅣ㜰愶㠲愰敥慣㜱昳っ㘷づ㑢慤㤸㐱愸㍢㌳戲㔶㌳㥣㘴搴愲戳㠰扤慢㤹ㅢ㠳捥㤲㜴〳㍢戴搷敤㜰愳攰㉣㘳愰敡㤰㜳㌶㤰㘷㑣昷㠲㍣㙤㍡㔲㜷㡥搷敤㙡㍥㑡戹扥摢㤲㈱搲ㄳ㔳换㥦㤸ち㥣㤹㔵搳㔷㌳ち戸㌱ㄹ㙤攷晣㑡㙢摢㥢扢㡦换愹慢㌷㜰捣㕢扡户㐳捤㌹搳㙦戴ㅣ敦摥㌲㕥㝣敢っ敥攸摥㍥戵㐷慤㝤摥搲扤㡦摡捡搶搶㘲㈰愶㙦戵愳㔸㡣㔱㈰攸㈷㈸ㄲ㄰㠱㐶㠹㘰㠰㘰㄰㐰攴晦〱㉥㐹㜷㘴㤵㔶㌶戵昲㡡㔶慥㘸攵慡㔶㤶㕡搹搲捡ㄷ戴昲慡㔶戶戵昲㠳㕡昹㈲摡㈴愹搸摦慦挵改挵攱ㅦㅣ戱摦晡捣晣戳て㝣敡挳㜳㠵㕦晤㘲㜰てㅡ摤ㄷ㑦㙡搶㌷㉦㠱搴㥡㔴㝣㘸攲㈰晦㙤捤ㄵ㘰ち敢戰㜵挴㥡㥣慣ㅥ㍥㘸摥㘹敡㕣㔶〶昲㕢〸㘵〴㙤〷慤晢㙤户敡㕤㔲戸扢㘱摡っ㘴㜳攳挶攳扡㘹慦敥㔶㠳搷㙤㕥戹ㄴ㥡愱扣扥扤慥㌹㐸㐷户㈵戰㤵っ搴晢㙥㙣敦㜶捥慣搵攵搴㘵㍢慡㝥㝤㕢戵戳攸㝢㉢摤㙢攷㝣昹㔰愳戶㘳㐶㔳㄰㙡敢㙡散㡥㔵㐶㔵搱扣挶㘶㔶扤㐰扡㙡㝡攳捥愲㕤戹㈸晤㈵㐹㤱㈸慢㙡愹㔷戳㉡收晡昱〵ㄷぢ〵户㔶摦㤸㉥戵敥戹ㅣ㠲㤹㘵ㄵ昳㕤㤳㝥戸戱㙣慥搴攴㌵㉤㑤愲㜷愲㘲㝦㑢昱㥣㔷愹〷㌳㥥ㅢ晡㕥慤戵㘶慡扡㙥㐲搲㔴㑦㜹㔵㤹捦攷㤴㔰㠰挰敤敢ㄳ㈲㜷㝢㜷㕥㔰㠸㐸愱㤸㡣㝣㕤㉢搹㑤㥣挱敡戰㡡㥡㈴㑤㙡㙦摡㘲㌰捥㔷挹㤸っづ㑣慤㠹晡㠳㉦㝤昳ㄶ挳㌶㌰昷敡㌶搶戴搱㜸昵昷慣㑢㌷㍣㘱扡搵㥡昴㌳戵㥦攰㡣㡣㘱〰晤ち〴㐲搷摤愳慡ㄳ㤷挵㠶㝥挹慥㠶慢㠵㔵㘹㕦㔸つ㔱〶つ㔹㉣㜲㙢㍢㤲㜱ㄵ㡡㡣扤〴愳〰愵㔲慥戰㡦㡤ち㈵愴㥣㑥改㤴挱换㉤㠲㥣晤㕡㜸㜹搰㥡戳㙢愱㡣㠴昲戰〵㡣㐴㕡㑤愱㙦㠸㈴敡㥢㤵㐸㘱散戳㘶㐰愵愶敤㠶ㅢ㑤扥敤攰㤲㠸㠸㜶㘵挱㡥㤳〵ㄴ〵慤昲㈰㠳搷㐰㌴㙤搲㈰扢㜱㡡㠸挸〶ㄹ㥡ㅤ㈳户ㄲㄹ摢㘷挸〸戴㑦ㄳ㈱㕢ㅦ散㉥㈳㐸散㥤㐴捡㑥㕤昹㜱㔷㥡㙤㘶换㐷搲散㙡㙣㥣㜱つ挱戵〴搷ㄱ散〷㄰㝦㠱㠴愳㤴㐳扥㌵ㄹ慦挳戳㜱〳挱敢〱㈰㥦っ捡㥣㔸㔴搱㠶摡㡥ㅤ挹㜶㐳戰㤳㤵㔱ㅣ㠹㈲㕡挶つ㍢㜳挸㔱㠸㡥慤捥㥤愱㙢昳㑡挷摥摡㥤㌶搳换㈱㐵㘶㌴㑤慦㜵㡢愶改㡤㘰搳ㅥ昵搶㑤攸㙡㡣ㄱ扣〱愰㘴扣㤱㄰捡㠵〶敦昶㉣㝡㥡㤴慦〹戳㈸㌲㠶㝡㔴昰㌱㈱昳〸㤰㈱攴㍡㡥㉦扢㌶㌴捤挱㜱敢㌵㙦㐳ㅦ攸捥摦㌱搲摢昴收慥摥愱扦攸㈵㕡搱㌷㠳扤挴ㅦ扢敡㤸㕢㔰㙤摣㑡㜰ㅢ㐰㥢㡥攱改晢愵㝡ち㤴㔹散愴㌰户㤷㕥ㄷ㘵攵㉥㙦慣㐹愵㠱〶慤㘵搳扦㈰㐳㜸㌰㑥捥挲ㄶ昶㝣㕦搶㜰愸慤慡〲㥥㕦慥㙤㉤っ收㝣捦㘱昹慥㡤ㅣ扣㈶ㄴ㐳㍥慦昵攵摡㙣攴っ㕢㌳攵㜳㑡㔱づ㜵昰㥤摤㠵㐴慡㔳㉢㜹戱㕦昶昹㜲㔷㤲昴㈰㐹摥㠲㙤㌵㙥〷㠰㤴㄰扦敦㉡㔱づ戰搹㕢㔵戳㔶㡢㤵ㅥ扥㡣搳㐹㥢て戱㐳㡥っ㐴づ摢㘹昸て㠲㈱㘷挹㜶ㅡ挲㘲挰㔹㤴㝥〵扥〵扢㈶㑢㤱㕢㤶愲㘶㔷㔶扣㐶㘴㐵㕦㕦挷㜹㍡挳扦愶攸愴㑤㑡㘴㜲㝢㘶㘵挶㔹扣㐹㔴㜴㐳㔲愸㘴戸㠶ㅡㄲ㠸㤴挷戶扢㈲愶〷ㄱ㜳〷㌶捥㌸㐸㌰㐹㜰〸㐰晦つ㈴捤㜶㌷㥥攱戰晥㜵扡戴换攵㕣㤱㘸㔰㉥挲攷扡ち慢挳㝣捤摢〸㡥〰戴㤹㍦㜴㐰㘶㄰愲㐲㜹㡡㄰㔵ㄸ挳㍡㘷换㑢愴㠱㍤ㄶ〲㑢㌳昵㈰昴ㅣ㐶㤶㠶慣㔹敦戴ㄷ捥摡挱ㅡ㈲㔱愳㔶㥣戹㝦㔵扡愰㉥ㅦ戶㑦㕢㤹户戶㈶慢㠶戵攴搵㈱摡㑥捥敥㠴㠳㌹戶〳戶愴㍡㥢㙢〲愹户昳㌱㠶㄰搸㘹攵㙦愵㌷㜶㕢摥㙦ㅥ晡㠶㥢㍢扡㙣㠷㌵㌹㘰㐵㑣挷㝣搱挲㉥㈲㜲㔰敤户㤶㔷㝤㈹㘷㠷慣攳扥㕤慤搹慥㈴㌲㘰㘳㌲㔸㌷㉦㉦㈰㑡戰攸㌱〶攸戹㐳搶戲㙦扡挱㥡挹㠰攲挶摥㤶㈷ㄵㄶ搱慤㘹摢つ昰ㅡ㠵㐵收㠷慤愵㔵敦ㄲ㈲戶㜵挷㍤㙥慥〵㍢〲㉢㈴晡㈸㈹搴〸㑤㘸㥡㈸㙡挵㕥昱挳〳㜹㉥㐷摥换ㄳ㈸㕣攵㜴晡捣㌳戴㌷敤晡㌸㐶㐳㍢㥤㜳ㅡ㐴昴愸㔱搸㤷㈹㠵挹愹挶摤散昳づ㠰㝢㡦㥦㍤搹㡣捣扤慣㤸戵㑥㉦㝦㠶㡣㔷㘴搱〸㠴搰㐷户㈷㈲ㄵ㤶㤱㜲挰㠱挰㌸㥦摡挹慦㘴愹㌶愴扥㍤捤散ㅣ㈲㐹㠳搶扣戹㈲㙢㠸㐷㍢㘶戸㈷㝡愰ㄹ敢㤸戵㈰慥㥢昱ㅣ挷㈴㘹㤱㉣㤷㉡㈶㈹㜸慡ㅥ㝡愷㙣搷戰〰ㄴ晤挵㐵收㘵ㄴ㤹㤷㔵搱愰㜵㠶愱㐱㤵攷㔸摥〵搳户挳㔵挷慥ㄴ昹挰昰摤㡥愰㐹㌰㌹㈵㙦㤲ㄲ㤹㌱搶㘶捤㥦㠵挹ㄶ㑣〰摤ㄳ㤰愳摣㍡愲ㅦ㤴慢㠹〲晥㠹ㅥㅤ㑢㄰㌰捡㔳㙡扣ぢ愳改敡㜶〴㐴㡥㑡㔷㤲㍢ㄸ㔷ㅥ㐵㐹㈴㠴㠸昵っㄲ㠱㔷㌰㈵攴改攲㉥㔸㘷㕤㍢〴昶㠸戱㌹㍢㥣つ㠰㜲〰㘴搵昱昶㝡㠵搵㔴愷昱㠶㔶戸愹戳慡㐵㑤摣搸㔹㥦搶ㅢ㙦摡愴㍡搲㈸㈹㐵戲㔵㈳愵㔹㌶㤹攳㑥㔲㌵㐲㈹敥㐴摢㠸㉣户㘹㜳摦㈹㐵㕥㠶㘲㔲㌴㤳㌳摥慤〸〵㠱摥㔸㐷搱㘷㥦㑤ㅥ愹㠸つ㙤㠰ㄲ昵㔴㔴㌶ㄴ㠷〴㑦攲摡㐹㔵㤶攲㈷昰昷㥥㌸扢㔰て㕢㙡捣换愳㜱捤㔴慤戶攰挲㑡愸㤸㝥㜵㠷戰㌴搶ㄶ㘹ㄸ挵㥤扤㙡晦㘸㝢㔳㡣ㄸ戳㈱挳㈲ㄹ㝥㘰戰㈱㤸㉢ㄵ㔱愵㜵㌶挴慤㙥ㄴㄷ昹㜴㑡㥡慥挲挰㔲㔸㥤㤵敢捡っ㙢㕡昲愳慡㐳攳戴愸攴愸㘱㑤慤〴㔰改㈱攵㜸㥣㔳っ㙥㔸㘷攸㤶挲㈵〶㠸摤㌸户㔸〹ㄱ摡㙤っ挰㤳挱捥挱づ㜶㈴ち㥤搰㍡愳〴㉤㘴㄰㙥敢㈲挸㍢㍤㘲ㄴ㠲搴㔲改敦挷挴㔷㥦㘴㝡收㔸㉥挹挴㑣挴㜰㔷㠶昵〰攴愶㈳㤳攴愲搱㈴㘰ㅥ㐹㌶㈵戴〶㤳㌲㥡ㄸ㐳㌴昹晣㄰户㜸ㄸ换ㅡ㈶摢搴㜰捦㉤戴愱㑤㙢ㅢ㝢慣㤳㙥愵㔶慦㑡愵㡡ㄳ㔹慤㌴昲㡥挰㤷扡〲ㄸ㜱㔳挶扥挴㥢㜲ㄲ㐷㈹㉥㤹㐸敡摤敥㌶㡥愱扢ㄲ㜲ㄸ㈳㔲㝤っ㐰㘶戸攵㔴㐰慣攳㥥〲敤挳扤捤ぢっ敡昲ㅣ㐴㕡㐷ㄱ㘵搹㍣敥攳㌵愲挸㡡摢㔲捤收扤㜹㡦㌶㝢慡攸㠴ㅤㄵ敤〸ㅣ㘱㥤㤱挰㉢ㄴ㘰㡣昴挸ㅤㅣ㈴㜷㈵㡥敥㕥㜹㔴㍤收慥〰ㄵち〳㠲㌱㕥㥥㠲㜲搸㔵㌰ㄲつ㙥慤㘹㜵ぢ㐶㝦㘹㜹ㅢ㔳〰㠲㘱㘰ㅡ戴㘸ㄹㄹ㌸㌳挸㙦㙤攰摣㠴㔶ㄹㄱ搲㜴㌰㤵㌱捡㔱㌸散㠱㌴㜰ㄳて搲换ㅥ㤴㔰戸㑦㕤っ㑢敥㈶㡥㍢㌸〲㜹晥㌵㙤㠵㡢㘶㠸敢㉦敥晥戶攲愹㙡㤵收㉥晣㜳㍢〲慢戸扡ㄱ㤹愳晢摡㉥㘵愹㌵搱扥扢戹慤㈲扥㉣㜸㘸㜶攲㠴ㄹ㔶㔶㤷挲㡤攸攲㔶慦㈴愱晦っ晥㠸㑤摦㑥㥢㌹敦昲㈲敡㍡昷扥㜴搱昵㉥戹㙡㕥㝡挰㕢㝦愰㄰㕣愱散攷㈴㑢戹㝦攳㥦㑡㕡㑥晦㈹㐶摣捥戴㌹㐰搳㐱挲㜱㔴㡡愴挱ㄸ昲ㄹ㜴〲摢扤㜱㙢㠰㜴戲慦㡤㑥㤴㈰搸㈵ㄴ昷挲㉢㐶㈸攲㈷㐰㉢㠹㈵㍡㤲㘳捦扦〳搶ㄷ㍦㐶〹ㄱ㡥攷㔸㡣攸㙦㐰㉥〳㜵㑡㤰挷㔷㍣㜸㈱攴晦〷㑢〹㌷㙦捡㑥晦〵㘶ㄶ捦戶愳攸㐶愲攸㐷ㅤ㈸ㄲ扣〶愲昸昷㕥㘴㤲愴㌳㍣晢㤲〲攱㕣搳敥〱昴㔵扦昰晢㍦㍣㠰捥挷挴愱㙣㌴㠴摡㙥挱㜳挳㐴攸敢㌰ㄱㄸ扣㔷㈶挲㈹㘴〴愳昸㤱㠹㄰晢㐰ㄶ㔰戰戵㠹挰搸㕥㠶㈱㤸ち戵愶摣ㅡ㍣㠱㕤攳搰㍦㜶〲ㄷ㙦㘵㠰㜸㍥㤴㔶㌰〳㡦搴戵㥤挵㡢愶㙦㍡晢㔵昹㜱㕦㐲㤹昹换戸挹慤扡戰挷昵㥢搶愸㑥㥢昸㉡ㄲ㉦晢慥㍦㘵㝢昷搷㠱愹㈸㐵敥㝢㔱ㄴ㠵㤷攱㈹ㄱ㍣㌷攴㍥戴敦扢挷晦昴昰攳挷㜸㕢㉤愶㔵晤㜶攴㝢〹搹搳㥥㐰㔰㌷㜵㔱攴㙡㝥㤸㜳ち㥦㈸搹㙢㌵㌹㙤晡捡ちちっ㈷挹㐶㠴㤷㈲捣㠸昸㜶㠲㠹㠹㝢て㤱㠹㌹搱收敥㔴ㅦ㌶㈹ㄷ攱㐴㙡攲捡愷㤷㠴つ㐵㔷㐵搶愳戵愹㝦ㅦ慡攸㈵㑥愴搵㑡攴愹㤳㐹㠸敦戵敢扡挳搴㜵搱㐱㠶㘱晦㐴㑡㈱晥㐰ち㐹ㅦ㘴㜸㈱㐰㐹愹㌳挸攸㜷〰㘴㐴搶摡㐳扣昴〷散ち〱搹戸昴搷攳㐷㉣搸㐵㘰㌱昱挵昷㝡愲愵㉤㥡愸㈶㠶㙡㤵㑤戳㠴㡣㍡扣戰㘰㌲㈹㕤㐶㈶㐹晡㈱攴戶敤㡥攲㑢㠶㥣㈸昰ㄶ㌱戶敥搰搷㔶㜲敥㜱敢戸昹〱㍤㔳㔰ち挳摤换㘲ㅣ㐸㔵㡣㉥㙡㕡㡡㡡〸㠷愳㙣愳搳㐰㕣〵㥤攵敥挷愹ㄴ挱㍦㝥㈹挴晡昱收搰㔷户搷㔰挷戹晤㔸㈰㝦戰扦㙥捣㘰㙣扣㤵ㅣ〳〹扢慤㔶挵攸㝡昸㔹㜴攱愲㜳挲㘸㘶搵戳㌸㡣㍦〹㘷昵㘹ㅤ晡㥦搱㙢挵㔹攷搸㥢㘱散ㄶ晤晦〰ち戶搴晦㠲戱㌷㠵挸昷挵ㄹ㍥攸㡣㥦㙣ㄹ戲攱㡥挰戳㡤攰㡤㍡ㄸㅢ㉡换㤰㜷㤴㕢挲挷慢㔱戵㤲攰昰㝢攵摢慦㐶㌴晡搲戶ㅤ攸㉡〰ㄹㅢ搲扦〳ㄱ搴戵㝦慢摣㑡㑥户㠵昷愳攳扥㔳㜶挵昷〲捦ち挷㤶㄰昴ㅤ攳户㘷ㄶ㙣㥥㈹昱敤㜶愱㜶㌳㜶㘲昰㠳攸㜳㝡〱〲晢戴っ㕦愹㔸㈴㈳ぢ摢㡢㘴昰㍢愴㤱㔴㜸㠹摡㈱戸捡扡慦㙥搶昰改敡〲㝣㥤㈱㡢㜶㠴戲㡢㍣捥敤㌷㌴戸㜵戸愳昵㕥昸㠳㘴㙤〲挱㌱戵㠴昷㝦㤰晢摡扥〷慤㙤攳戵〵㙣搹㥢捦慤愴㍦つ㥣㙥敦㉤慤㈴挳㜷昲㡢攴㤲㔱㈶挴愵晤㘳昸扢㝤〷㉤㐷ㅢ〵㥤挷ㅦ㜴搳ㄱ㌶㕥㠳晢㙣ㅢ搱敦昳攸㉡愶〸昰㌳捣㌸挳〷㐱㉦ㅦ㔹㔱㝣〳换㈲〳㈰㥦㉢㔴〰扡㔳昵㔳㥢㔱昵挸扤散㠹㈴㜸挶㈰㌹㤶挴搷搰㤰摢ㄵ㉤ㅢ㉣挱㘵ぢ㜵㤶㐰摥㐸㝡㈰㥦ㄳ㍣㑢愸㠹㝣〵ㅤㅡㄳ戱㔱摡㝤㈲㕦摥㙣㈲㠲㔶㠰㕡㘸㝡晣㤱㐴㡢ㄸ㌵㔴ㅢづ㠱㑢攰〱㡣㈴捡㘴㤸昲㤱㐲愷㄰挵ㄸ㝥㑣ㄴ㈱晤㌶晥晢晣戱摦㍣挷昴户㘳㐲㐹㐴㔴戵慥㠲ㄲ㔱慤攲㜳改㔵昸㈸敤扥㡡捦㙣戶㡡ㄱち㑢捥挴〸〱㠶晡㐴ㄹ㝦搴慡敡挸㜰㐳昹ㄳ攷〹昰㙢㤹挵㠸㠹ㄲ搵昷ㄲ㌲攸换㥤㔷慤㉥㈳㤳昴搵戹ㄱㄹ㕦昹㈸㐳㠹㌷㈲改搴㈹㐴㕥搹㐲愴ㅥ㡢㑥散㡥摤ㄱ㐲〲㑢攲㘷戳㕤㘵㝢愱挷㔰扦昸㜸㠲㤸ㄳ㈷㤲㑦愸戴㌸昸〴挲㠸㑣㔳ㄲㄲ㌷㔲㝣㉣㘹晣㠳ㅦ㌶㝤愷愸㐰〲昵㐴㡤㐹㜰慡昱ㄳ㐹攳㐳昸㍣㑢戵挹昱㉡〱搳昳㐹㘳ㄲ愶㙡晣㜸搲昸慦㠷昶㌷ㅡ㈷㜴ㄸ㡤慣㤳㐸㌲㡣㕥㜵っ㐸㝤慡㍤㡣收扡㐵㐵㍡㘰㐵挵ㄴ愱㉡㠶㕣㔳慡㜴㄰户㐲㝣㝣㉣㍤㡦㑢㑥戸ぢ〲㘹ㅢ晤㍦ㄳ㑥攲昲搳慣ㄹ㥡昸ㄶ㝡ㅤ㔱㘷摦㔰㑦散㕣戰ㄶ㝣ㄴ昴㕢㈷〳ㅣ慥慡㍢㡡㐴㘰ㄷ攴愳晤摤挲㍢㥦㘱㐳㌶昷㈳㠹㤶㘹扣㑣搲㥢ㄶ㔱ㄱ㤶扣昸㐸㠲搹摣㘳㑤㥡㌱ㅥ〵㜲㈰㈶〱㤹㌱ㅥ〳㡣㈲㌲晢㔸㌰㐲晥㔷捣晤ㄱ㔶㝣㤴攰㜱㠰㤲㈰戳㤳づち㑦〰っ㈷晦挷㡡戱㜵攵㌸搱挴挳挹换搲㘴㘴㝣㥣ㅤ㍥〱搰〷㍦慥㠸㠹戰㘴㝣ㄲ㈵改㤷㔲㜰愸㤷㝥㡡ㄵ㥦㈶昸っ㐰㐹攷㘴户扤㙢㕣㔳㡦㉡散戳攸㉡ㅥ㈳挰捦昸㕣㥣攱㠳捥㝤㜸㘷㜷愳㤹㘷攲攴ぢ㝦挴㍣㕢㍥攵扦〷㥦收㙦㜰搱㝤昸㍦㤳攸捡挲捦㙢敦攸㙤㉣㌲〱㡤㜳昵㕢挳㘶扦㡣㜱戸慥㘶㈸㠵㈳㔲愹ㄴ戵㠲㈰扥戹㘰攱攱つ㝣换㔱㔵㈱〴㘹㐰㔵戸㜱挵㌱ㄴㄸ㕦㘰㔳攲㤸㜸㌲扥挸㈷愲㔶㙤攲㤷攲っㅦ〴昱慡扡㍦ㄸ㜷㑦㕥㐸㕣慢ち扢敤㠵挴扦慡㔸㑤扦昰㐹づ愶㤰㠵㑣慢㔶㈲搲ㄴつ㝤つ㤹愱扥㘱捥敤㝥晣戴换愲㜲扥㝡晥晣㍦㠷昳㘳搷攷ㅦ㜸捦攰㤳捦晦晡㠵捦晦敥〳㐷㕦晣搷㔳㑦晤敥捦㥦㝦敥㕦㍦㕢㌹晡换愷㥦晥挵扤摦㝣敥㠵扤搶户戴ㅦ晥㜳晥㕢㡦㑣㕥㝣攴㈱敢散敤挷ㅦ㜹摦㠳昷㑤㉥㕥㌵摥搷搷摦㝦摢攸慦慥㝢昳挸㘳て㍤㉢㝥晥㠷㙢㕤愱㤶㡢ㄷ戴㑥㠳换㔶搳昸㍡㌲㤸〶㘷晣慡㑥㠳换㔵ㅢ戵ㄲ㙦搴㌴ち㡡㜰㙥㜰〲慡挲㙣慤ㄸ昸て㌹敤戳ㄲ</t>
  </si>
  <si>
    <t>㜸〱挵ㄷ㑤㜳摢㔴㔰㤲㘵㔹戲攳搴〵㕡㍥㕡㐰㔰ㄷ㕡㥡ち挹㡥愹㝤挸㌰戶㤲ㄴ户㜵ㅣ攲戴㍤扥㤱愵㤷㐴㡤㍥㔲㐹づ〹㠴㕦〰挳㤵づ㐷捥㥣昹ㅡ㌸㜰㘲〶㠶〳㕦㌳攵挲㠱ぢㅣ攰挶っっㄷ搸㤵慣挴㑤㌳づ㘵㍡挳㥢昱敡敤扥㝤扢㙦昷敤摢㕤㌳㉣挳㌰㝦挳挰㉦づㅥ㈷㈷㝢摢㘱㐴㕤㐵昷ㅤ㠷㥡㤱敤㝢愱搲っ〲㘳晢㡡ㅤ㐶ㄹ㘰㄰㠸つ敢㘱㤶㠴昶慢㔴㈴㥢㌴〸㠱㈹换㌰愲㈸㜱戰㡥㐲昰㔷㑡ㄱ〹㜷㑤昰〰㤶昵㔶户㝦〳愴昶㈲㍦愰㔳昲戵㘴敦㡣愶㈹㥡㌲㝤㐱㝢㐱㔱愷㘴㝤攰㐴㠳㠰捥㜸㜴㄰〵㠶㌳㈵㉦づ晡㡥㙤㕥愶摢换晥㍡昵㘶㘸㕦慤昶㡤改扡㌶㕤慢慤㌴ㅡ昵〹㔰捤㉣㜴昵㤶戲㐰愳晢㈴㌳㡢㐷㝥㝥㤶㥡㌶摡㐶㘹㘰㝢慢ち㘸戸攳晣㑡㜷㈳㔲扡扤挴㈲㝢㤳收搰㑣戲ㄸ搰ㄵㅡ㔰捦愴攱㈴㤹摢㌲愹愳㔳挷㔹愲㉢㘱㠱㕣っ晣挱㐶摢戳攸ㄶ㑦慥ㄹ㠱㐸㉥づ㙣慢㘳㙣ㄴ摤慢㈱㕤㌲扣㔵扡㘰戸㌴敢㈲㤹攳ㄹ㍥挳㘴戴挳づ愱户㉥㈸㜷愸㐱㐷㡢昲扥㙤攸ㅥ㌸敥㘵ㅡ㜸搴㔱攰挸攸戴㠳慥晡㈵㈳㕣㡢㡣扥㐳搹挲㌰㄰昰㌰㈸㌳㉦〹〰㜱㐸㘸愹㈴〲㘰昹㍦㈰㝥㐶㌹ぢ㐰攵㠸挱㤱㍥㐷㑣㡥㔸ㅣ愱ㅣ㔹攱挸㉡㐷搶㌸㘲㜳攴〶㐷搶㠱㈷ㅤ㘲㉥挷つ挷㠷扦扤㝢捣捣扤搷㝥敢㥢て㙥㜵戸昶㡦㔹搴㜷敦昶㘳搸㐹戱ぢ㈱㘴挲慣㍢敦〷㘱㈶㌳搶搶戱㡢㘸扢㤴㐷㠰戶㘵搱昶㐳扤㝢ㅣ㤸㔸㠳敤攷㕣㜰㝡㘷㌵挸扡挹挵捥搲搰㤴㕣戸晡㌸〸〴㤸㌹〳㍡攱敡扥ㄷ搱慤㘸搶㠸㡣㥣扢㘸㐰昴㐴㤳戰ㄱ昸捥つ〵㑣愴㈸捡搹㐵㔰㕣㈹㕤㐹愵ㄶ昷〸㈰晣挱ㄴㅢ搱戱㉢㍢㔱㈵挵㝡㔰㜰㌲㐳愹挵㤸㤶㡡捣て㌱㤰㔷㡡愷㈳挲ち㌱㈱㤱挴昳㍣ぢ㑦㍦㤳㝥ㄲ攴散㘱戱㠸㘹㘶㤳捥て㌰㠹㌰攷晥ㅤ昷昲昶〶つ㤱晦搴㜸晥挴晤挰㈷ち㘳㙦戹㝣㤰ㄸ戳㝦㌵戲㥤㔰〱ㄳ攳愷晢㝦攸扢㕦攷挶戳攷戳扦挳㜳扤ㄷて㘳㈲捦㙤㘲㤴ㄲ挲㠸㈸〳㈹㜹愱〸戰㌰㤲晢㠴㐹㈰挴挵〴扦㌸愴㈳〰昲㜹〹㌹㈵㕣挵㑡〳㥦㜸㈴㡢攳搶㜸㑣㉦㘳㙦っㅦ㘲晥㡡㙦㔸昳㠶〹攵㈴㌷㉣㈶愲敥扢ㅢ昰㠴㠲ㄲ愶㌲摤户攸㘲攰㙦摡ㄶつ㐴㈴昴愰㘸昱㤸ㄸ㠴昸敤㠵㄰慤ㄹ㈶㥢㉤㠸〷改㙡愷戲捡〷ㄴ挵昶㕤昲㝦㝤戹晥㘲㝣慡㍣㘶ち〹㤳㠰昴㌰〰ㄶ戳〷摡㠳っ戱晦ㄲ㠶㐷㤰攱㔱㘴㐰晥〳ㄸㅥ㐳㠶ㄳ挸㠰捥㑣ㄹ搰愳昹㐴挲㐹㘴㜸ㅣ㐰㈹捥㌸挸㠴㕣㑣㈹㔶ぢㄳ改〹挴㔰ㄱ敡ㄵ㥥〴㜰㕡㙦改㑢㐴㥤戶っ㔳㔵ㅢ搴愲搵改㝡愳搶㘸搴㌴换慣搶戵㑡扤戱㔲㌳㉡愵昸㕣挰㉥挹〰㑡㜸ㄲ㤴㈰㍤㠵㔸㝣㈴挴㘴挴昰㄰ㄸㄹ挲㈹〰㐵扤㐵㈰攵㌴慤捤㕥㘴㐴㐲ㄹ㐸㤳〹愹㐷㙦づ戰㉣ち愷㠱㤶㈳㜳㌷攱㕥㌶㠴㘷〰㌹㡡っ㜱㕦搰戶㈰昵搹搱戶昰散㥥㈸㈸㙥捥挰愲㈵㌴㌳㔶㜳〶㈶㝣㠷ㅡ㕥㘲慢㜰ㄶ昰敢慦敤㉣昹㝥戴〳挹㥥㥡㐶ㄸ㠵㍢㙡㔵扥づ㠵㔷㑥㈹昲㜹㜹捥昴攵㌹〸㘶昹㡣㕡㈵ㅤ㘳摢㈷ㄵ戵㔲㍤慢㙣㌹愱扢愳㐳㜰挸昳㡥晦捡捥㑣戹㔵慥㔵㤴捥㕣㜳攱㜵改㌹㄰㉥戲㑣づ晤ㄸ㝢〰换㑢㘶戴攲戱摦㐳㘰㘳ㄹ晣戹昷换晢て昵㝥扡晣收て攲敤㝥敥搶㌲晢摤㜰攱㜸晤摢扦晡㝦㥥扣昴㡥昵戶昳挰慤㡦㑥㘵㘵㤰愱敥㑢㌸㜷㜵ㄷ晢ぢ㍢㔶挳㘳㙥㍢㠴㔶〲摡愶㘵扦戹摢㌰ㅣ㡤㐳ㄹ攸攷搲戲㜷㝡㡦搲散㠷扥㌳㠸㘸扡慤ㅢ散敥㠳㈴てて㍢摥〷㕥㍡戶㠷㡤愴昷ㄳ㝢搴戶ㄷ搲㈰愲㔶㉡㌱㘴㔸㤶攷㌲㙣敤㌰㑢㈰ㅥ戰㑦㑡ち㕡摡つ㘱㔹㍤㜱挰戳㙡搹㔱摣㙥攲㍡㉢㘱挰ちち〰㘹愶摣㉣㙢慡慡㙡搹慦挱慤晦㑤㈷㐶昰㕥㌶㐳つ㌸昲㤲ち㤰挵挸㐶搱㐸㥡搰〰㐰捦㌴敢扢㠶敤摤慦愶ㄲ㘳㘹㝦昲㡤慦㍤㔱戳摢㕤愶慦〰愳㝤挲敤㥡晤攵㠰挶㥤愱ㄸ㈳㔰昹㡡敥㜵㍦㔸敦晢晥㍡㤶敤挹ㄸぢ搷㈸㡤戰㔹㉢戸挹㘳挲㌹换戲㤹㍢愲㜵㌴㜲搱㐸愱〲愰搸㠴㠷㤲㑡っ㠵㉡㤰㌲㈰㐳㤸㠶挹搳㥡慡挸ㅤ㈳㙡ㄹづ搱㕢昲㤹慡㝡㝥捥愳㠱㝦扥愲㙡㡤攴敤戰㕦づ〳㝤㌲昷昹㘷攲㈷㥦㕥㝡攳攳摢㔳㕦昵扡ㅡ晢挵㜰㘱㝦㙢挷愳挷挷摤㍥昶摦㌹㤷ㄸ昸挷㐳㜴㠹㐳扤搵㘸㙤昷捦〶㈴㔹ㄱ晥㙤㕣〰㈶㝣㡥㌸㡥㈰㠲昷ㅢ攷扦挲㍦攵搹戹摦</t>
  </si>
  <si>
    <t>Monthly Production</t>
  </si>
  <si>
    <t>Yearly Production</t>
  </si>
  <si>
    <t>Matrix</t>
  </si>
  <si>
    <t>Start Date</t>
  </si>
  <si>
    <t>Shrinkage</t>
  </si>
  <si>
    <t>CGR (initial)</t>
  </si>
  <si>
    <t>CGR (final)</t>
  </si>
  <si>
    <t>Yield Condensate</t>
  </si>
  <si>
    <t>Yield Gasoline</t>
  </si>
  <si>
    <t>MMscfd</t>
  </si>
  <si>
    <t>Well per year</t>
  </si>
  <si>
    <t>Total Active Wells</t>
  </si>
  <si>
    <t>Year (project)</t>
  </si>
  <si>
    <t>Total Prod.</t>
  </si>
  <si>
    <t>Years Drilling</t>
  </si>
  <si>
    <t>Total Investment</t>
  </si>
  <si>
    <t>P90</t>
  </si>
  <si>
    <t>P50</t>
  </si>
  <si>
    <t>P10</t>
  </si>
  <si>
    <t>us$/MMBTU</t>
  </si>
  <si>
    <t>us$/MMscf</t>
  </si>
  <si>
    <t>us$/STB</t>
  </si>
  <si>
    <t>MMus$</t>
  </si>
  <si>
    <t>years</t>
  </si>
  <si>
    <t>Gas Price</t>
  </si>
  <si>
    <t>㜸〱敤㕣㕢㙣ㅣ㔷ㄹ摥㌳摥㕤敦慣敤搸㡤搳㑢㑡㘹㑤㑢㈹搴挱㡤搳㠶㔰㈰〴㕦㥡㑢㜱㘲㌷㜶㔲㄰愰捤㜸昷㡣㍤捤捥㡣㍢㌳敢挴愵㔲㉢㘸戹㠸㥢㈸搷搲㜲㔱㠵㤰㜸攱昲挲晤〵〹〹㠴㡡挴〳㍣㈰㠱㈸〸挱〳〸㐵攲㠵〷㈴昸扥㌳㌳扢㌳扢摥戱扢㙤挱㐵㍥改晥㍥㜳㙥㜳捥昹慦攷晦捦㌴㈷㜲戹摣扦㤱昸㤷㈹捦捣つ㡢ㅢ㝥㈰敤㠹ㄹ户㕥㤷搵挰㜲ㅤ㝦㘲捡昳㡣㡤㌹换て晡搰愰㔸戱㔰敦ㄷ㉡扥昵㤰㉣㔵搶愵攷愳㔱㈱㤷㉢㤵㜴つ昵ㅣ㠴扦㤱昸㐱㘷慦挱㍣挰搲捣昴晣昲〳ㄸ㜵㌱㜰㍤㜹㘰散㝣搸昷攸攴攴挴攴挴㕤㐷㈶摦㌰㜱昰挰搸㑣愳ㅥ㌴㍣㜹搴㤱㡤挰㌳敡〷挶ㄶㅡ换㜵慢晡㜶戹戱攴㕥㤴捥㔱戹㝣昰捥㘵攳慥㌷㑥摥㜵昸戰㜹昷摤㙦ㅣ挴慢㜳㘷㘶愶ㄷ㍣㘹晡㉦搲㤸〵㑥昹慥㔹㔹戵戸㌶㈹㍤换㔹㤹㤸㤹挶㝦㠹昹攳改挸挴攲慡㤴〱㕦㉤㍤改㔴愵慦愳攳㠰㍤攵晢つ㝢㡤㥢愷摢挷戱搴慡攱〷〵㝢㐶搶敢扡ㅤ㡦㕡戲攷戱㜷㜵㘳㘳搰㕥㤴㡥㙦〵搶扡ㄵ㙣ㄴ敤㈵っ㔴ㅢ戲捦昹昲慣攱慣挸㌳㠶㉤ぢ昶㠹㠶㔵换㠷㈹搷㜷㕢㍣㐴㜲㘲㙡昹ㄳ㔳扥㍤戳㙡㜸㙡㐶㍥㌷㈶愳敤㜱慦㥡㙥㝢㑢昷㜱㌹㜵昵〶㡥㜹㙢昷㜶愸㌹㙦㜸捤㤶攳摤㕢㐶㡢㑦捦攰㡥敥敤ㄳ㝢㤴敥昳扡敥㝤搴㔶愶㕢㡢㠱㠸扥搵㡥㘲㌱㝡㤱愰㥦愰㐴㐰〴敡㘵㠲〱㠲㐱〰㤱晦〷戸㈴搹㤱㔵㕡挵搰㉡换㕡愵慡㔵㙡㕡㐵㙡ㄵ㔳慢慣㘸㤵㔵慤㘲㘹㤵〷戴捡㐵戴㠹㔳愹扦㕦㡢搲ㄷ晦㜰攴昷㙦㕤昹摤捣攷晥㙥㍤昱挹摦攴慥ㅢ摣㠳㐶昷㐵㤳㥡昵㡣㑢㈰戵ㄶㄵㅦ㥡㌸挸㝦㕢㜳〵㤸挲㍣㙣ㅥ㌱㈷㈷㙢㠷てㅡ㜷ㅡ〵㉥㉢〳昹㈹㐲ㄹ㐱摢㐱昳㝥换愹戹㤷ㄴ敥㙥㤸㌶㝣搹摡戸昱愸㙥摡㙤㌸㌵晦ㄵ㥢㔷㉥〶㐶㈰慦㙦慦㙢つ搲搱㙤ㄱ㙣㈵㝤昵扥ㅢ摢扢㥤㌷敡つ㌹㜵搹ち慢㕦搹㔶㙤㉦㜸敥㜲昷摡攳㥥㝣戰㔹摢㌱愳㈹〸戵㜵㌵㜶挷㉡挳慡㜰㕥㘳㌳慢慥㉦ㅤ㌵扤㜱㝢挱慡㕥㤴摥愲愴㐸㤴㌵戵搴慢㔹ㄵ㜱晤昸扣㠳㠵㠲㕢㙢㌷㈷㑢捤㝢㉥〷㘰㘶㔹挳㝣搷愴ㄷ㙣㉣ㄹ换㜵㜹㑤慡㐹昸㑥㔴散㑦ㄵㅦ㜷慢つ㝦挶㜵〲捦慤愷㙢愶㙡敢〶㈴㑤敤戴㕢㤳昹㝣㑥〹〵〸摣扥㍥㈱㜲户㜷攷〵㠵㠸〴㡡挹挸搷愵挹㙥攲㉣㔶㠷㔵搴㈵㘹㔲㝢昵ㄶ㠳㜱扥㑡挶㘴㜰㘰㘲㑤搴ㅦ㝣改㙢户ㄸ戶㠹戹㤷戶戱愶㡤㐶慢扦㘷㕤㍡挱㐹挳愹搵愵㤷愹晤〴㘷愴て〳ㄴ慥㐰㈰㜴摤㍤慡㍡㜱㔹㙣ㄴ㉥㔹戵㘰戵戸㉡慤㤵搵〰㘵搰㤰愵ㄲ户戶㈳改㔷愱㐸摦㑢㌰ち㔰㉥攷㡡晢搸愸㔸㐶捡ㄵ㈸㥤㌲㜸㌹㈵挸搹㉦挵换㠳收㜱慢ㅥ挸㔰㈸て㥢挰㐸愸搵ㄴ晡㠶㐸愲㥥㔱つㄵ挶㍥㜳〶㔴㙡㔸㑥戰搱攲摢づ㉥〹㠹㘸㔷ㄶ散㌸㔹㐰㔱㤰㤶〷ㄹ扣〶愲㘹㤳〶搹㡤ㄳ㐴㐴㌶挸搰散ㄸ㌹㑤㘴㙣㥦㈱㈳搰㍥㐹㠴㙣㝤戰扢㡣㈰戱㜷ㄲ㈹㍢㜵攵挷㕤㘹戶㤹㉤ㅦ㑡戳慢戱㜱晡㌵〴搷ㄲ㕣㐷戰ㅦ㐰晣ㄹㄲ㡥㔲づ昹㜴搲㕦㠱㘷晤〶㠲㔷〲㐰㍥改㤴㌹㤱愸愲つ戵ㅤ㍢㤲敤㠶㘰㈷㉢愳㌸ㄴ㐵戴㡣㥢㜶收㤰慤㄰ㅤ㔹㥤㍢㐳搷收㤵㡥㝤㑤㜷摡㑣㉥㠷ㄴ㤹搱㌴戹搶㉤㥡㈶㌷㠲㑤㝢搴㕢㌷愱慢㍥㐶昰㉡㠰戲㝥㌳㈱㤴ぢつ摥敤㔹昴㌴㈹㕦ㄶ㘶㔱㘸っ昵愸攰㈳㐲收ㄱ㈰㐳挸㜵ㅣ㕦㜶㙤㘸㥡㠳攳收换摥㠶㍥搰㥤扦㈳愴户改捤㕤扤㐳㝦搱昳戴愲㙦〱㝢㠹摦㜶搵㌱户愲㕡㝦つ挱㙤〰㙤㍡㠶愷敦攷敢㈹㔰㘶戱㥤挰摣㕥㝡㕤㤴㤵扢戴戱㈶㤵〶ㅡ㌴㤷っ㙦㐵〶昰㘰㥣㥡㠵㉤散㝡㥥慣攳㔰㕢㔳〵㍣扦㕣㥢㉥昴㡦㝢慥捤昲㕤ㅢ搹㝦㔹㈸㠶㝣㕥敢换戵搹挸ㄹ戶㘶挲攷㤴愰ㅣ敡攰㍢扢ぢ㠹㐴愷㌴㜹戱㕦昶昹㜲㔷㤲昴㈰㐹㕥㠷㙤搵㙦〷㠰㤴㄰扦敥㉡㔱づ戰搹敢㔵戳戴挵㑡て㕦挶改愴捤㠷搸㈱㐷〶㐲㠷敤㌴晣〷晥㤰扤㘸搹㑤㘱㌱㘰㉦㐸慦ち摦㠲㔵㤷攵搰㉤㑢㔱戳㉢㉢㕥㈶戲愲慦慦攳㍣㥤攱㕦㔳㜴搲㈶㈵㌲戹㍤戳㌲攳㉣摥㈲㉡扡㈱㈹㔴㌲㕣㐳㑤〹㐴捡㘳摢㕤ㄱ搳㠳㠸戹〳ㅢ愷ㅦ㈴㤸㈴㌸〴㔰昸〵㈴捤㜶㌷㥥攱戰晥㜵扡戴㉢㤵㕣㠹㘸㔰㉥挲㘷扢ち慢挳㝣捤ㅢ〸㡥〰戴㤹㍦㜴㐰㘶㄰愲㐲㜹㠲㄰㔵ㄸ挳㍣㙦挹㑢愴㠱㍤㈶〲㑢㌳つ㍦㜰㙤㐶㤶㠶捣㔹昷㡣ㅢ捣㕡晥ㅡ㈲㔱愳㘶㤴戹㝦㔵㍡愰㉥て戶㑦㕢㤹扢戶㈶㙢扡戹攸㌶㈰摡㑥捤敥㠴㠳㌹戶〳戶愴㍡㥢㙢〲愹户昳㌱㠶㄰搸㘹攵㙦愵㌷㜶㕢摥㙦ㅥ晡㠶㕢㍢扡㘴〵㜵㌹㘰㠶㑣挷㝣挹挴㉥㈲㜲㔰敢㌷㤷㔶㍤㈹㘷㠷捣ㄳ㥥㔵慢㕢㡥㈴㌲㘰㘳㌲㔸㌷㈷㔷㄰㈵㔸㜰ㄹ〳㜴㥤㈱㜳挹㌳ㅣ㝦捤㘰㐰㜱㘳㙦敡㐹㠵㐵ち收戴攵昸㜸㡤挲㈲昳挳收攲慡㝢〹ㄱ摢㠶敤㥣㌰搶晣ㅤ㠱ㄵㄲ㝤㤸ㄴ㙡㠴㈶㌴㑤㤴戴㔲慦昸攱㠱㍣㤷㈳敦攵〹ㄴ慥㜲〵晡捣㌳戴㌷敤晡㈸㐶㐳㍢㥤㜳ㅡ㐴昴愸㔹搸㤷㈹㠵挹愹晡摤散昳㈶㠰㝢㑦㥣㍢搵㡡捣扤愰㤸㜵㠱㕥晥っㄹ慦挸愲ㄹ〸愱㡦㙥㑦㐸㉡㉣㈳攵㠰〳㠱㜱㍥戵㤳㕦搹㔴㙤㐸㝤㝢㕡搹攳㠸㈴つ㥡㜳挶戲慣㈳ㅥ㙤ㅢ挱㥥昰㠱㘶慣㙤搴晤愸㙥挶戵㙤㠳愴㐵戲㕣慣ㅡ愴攰愹㐶攰㥥戶ㅣ摤〴㔰昴ㄷㄵㄹ㤷㔱㘴㕣㔶㐵㠳收㔹㠶〶㔵㥥㘳戹㉢㠶㘷〵慢戶㔵㉤昱㠱攱扢ㅤ㐱㤳㘰㜲㑡摥㌸挵㌲㘳慣捤㥡㍦〷㤳捤㥦〰扡㈷㈰㐷戹㜵㐴㍦㈸㔷ㄳ㐵晣ㄳ㍤㍡㤶㈰㘰㤴愷㔴㝦ぢ㐶㉢愸摢ㄱ㄰㌹㉡㕤㠹敦㘰㕣㜹〴㈵愱㄰㈲搶㌳㐸〴㕥挱㠴㤰愷㡢扢㘸㥥㜳慣〰搸㈳挶㡥㕢挱慣て㤴〳㈰慢㡥户搷㉢慣㈶㍡㡤㌷戵挲㑤㥤㔵㈹㌵㜱㘳㘷㝤㔲㙦扣㝡㤳敡㔰愳㈴ㄴ挹㔶㡤㤴㘶搹㘴㡥㍢㐹搵〸愵戸㘳㙤㈳戲摣愶慤㝤愷ㄴ㜹〱㡡㐹搱㑣㑥㝦慢㈲ㄴ〴㝡㈳ㅤ㐵㥦㝤㌶㜹㈴㈲㌶戴〱捡搴㔳㘱搹㔰ㄴㄲ㍣㠵㙢㈷㌵㔹㡥㥥挰摦㝢愲散㝣㈳㐸搵ㄸ㤷㐷愳㥡愹㝡㝤摥㠱㤵㔰㌵扣摡づ㘱㘹慣㉤搴㌰㡡㍢㝢搵晥攱昶㈶ㄸ㌱㘲㐳㠶㐵㌲晣挰㘰㐳㌰㔷㈲愲㑡敢㙣㠸㕢摤㉣㉥昱改戴㌴ㅣ㠵㠱挵愰㌶㉢搷㤵ㄹ搶戲攴㐷㔵㠷收㘹㔱挹㔱摤㥣㕡昶愱搲〳捡昱㈸愷ㄸ㕣㌷捦搲㉤㠵㑢っ㄰扢㔱㙥愱ㅡ㈰戴摢ㅣ㠰㈷㠳㥤㠳ㅤ散㐸ㄸ㍡愱㜵㐶〹㕡捣㈰摣昴㈲挸㍢㍤㘲ㄴ㠲搴㔴改敦挷挴ㄷ㥥㘴晡晡戱㕣㥣㠹㤸㠸攱慥っ敢〱挸㑤㐶㈶挹㐵愳㜱挰㍣㤴㙣㑡㘸つ挶㘵㌴㌱㠶㘸昲㜹〱㙥昱㌰㤶㌵㑣戶愹攳㥥㕢㘰㐱㥢搶㌷昶㤸愷㥣㙡扤㔱㤳㑡ㄵ挷戲㕡㘹攴ㅤ㠱㉦㜵〵㌰攴愶㡣㝤㠹㌶攵ㄴ㡥㔲㕣㌲㤱搴扢摤慤ㅦ㐳㜷㈵攴㌰㐶愸晡ㄸ㠰捣㜰换愹㠰㔸挷㍤〵摡㠷㝢㕢ㄷㄸ搴攵㌹㠸戴㡥㈲捡戲㌹摣挷㙢㐶㤱ㄵ户㈵㥡捤戹㜳㉥㙤昶㐴搱㐹㉢㉣摡ㄱ㌸挲㍡㐳㠱㔷㉣挲ㄸ改㤱㍢㌸㐸敥㑡ㄴ摤扤昲㠸㝡捣㕤〱㉡ㄴ〶〴㘳扣㍣〵攵戰慢㘰㈴ㅡ摣㕡换敡ㄶ㡣晥搲昲搶愷〰〴挳挰㌴㘸搱㌲㌴㜰㘶㤰摦摡挰戹〹慤㌲㈲愴挹㘰㉡㘳㤴愳㜰搸〳㘹攰㈶ㅥ愴㤷㕣㈸愱㘰㥦扡ㄸㄶ摦㑤ㅣ户㜱〴㜲扤㙢摡ちㄷ㡣〰搷㕦㥣晤㙤挵㔳戵ㅡ捤㕤昸攷㜶〴㔶㜱㜵㈳㌴㐷昷戵㕤捡㔲㙢愲㝤㜷㑢㕢㐵㜴㔹昰搰散挴㐹㈳愸慥㉥〶ㅢ攱挵慤㕥㐹愲昰㈳昸㈳㌶㝤㍢㙤收扣挳㡢愸敢摣晢昲㐵挷扤攴愸㜹ㄵ㝣摥晡〳㠵攰ち㘵㍦㈷㔹捥晤ㅢ晦㔴搲㜲㠵ㅦ㘲挴敤㑣㥢〳戴ㅣ㈴ㅣ㐷愵㔰ㅡ㡣㈱㥦㐱㈷戰摤㥢户〶㐸㈷晢摡攸㐴〹㠲㕤㐲㜱㔶㕥㌴㐲ㄱ㍦〰㕡㐹㉣攱㤱ㅣ㝢晥㌵戰扥昸㍥㑡㠸㜰㍣㐷㘲愴昰㉡攴㌲㔰愷〴㜹㜴挵㠳ㄷ㐲晥㝦戰ㄴ㜳昳愶散昴㕦㘰㘶昱扤㜶ㄴ摤㐸ㄴ㝤户〳㐵㠲搷㐰ㄴ晦摥㡢㑣㥣ちっ捦㍥慦㐰㌸搷戴㝢〰㝤挹㉦晣晥てて愰㜳ㄱ㜱㈸ㅢつ愱戶㕢昱摣㌴ㄱ晡㍡㑣〴〶敦㤵㠹㜰ㅡㄹ挱㈸㝥㘸㈲㐴㍥㤰㜹ㄴ㙣㙤㈲㌰戶㤷㘱〸㈶㐲慤〹户〶㑦㘰搷搸昴㡦㥤挴挵㕢改㈳㥥て愵攵捦挰㈳㜵㙤㘷昱㠲攱ㄹ昶㝥㔵㝥挲㤳㔰㘶摥ㄲ㙥㜲慢㉥散㜱晤愶㌵慡搳㈶扥㡡搸换扥敢㑦搹摥晤㜵㘰㉡㑣愱晢㕥㤴㐴昱〵㜸㑡〴捦つ戹昷敥晢挶㠹㍦㍣昴搸㌱摥㔶㡢㘸戵㜰㍢昲扤㠴散㘹㑦㈰愸㥢戸㈸㜲㌵㍦捣㌹㡤㑦㤴慣戵扡㥣㌶㍣㘵〵昹扡ㅤ㘷㐳挲㑢㄰㘶㐸㝣㍢挱挴挴扤㠷搰挴㥣㘸㜳㜷慡て㥢㤴㡢㜰㈲㌱㜱攵搳㡢挳㠶愲慢㈲敢搱摡㉣㝣ぢ慡攸㜹㑥㈴㙤㈵昲搴挹㈴挴㌷摢㜵摤㘱敡扡昰㈰挳戰㝦㉣愵㄰㝦㈰㠵㈴て㌲扣㄰愰愴搴㔹㘴ち㜷〰㘴㐴搶摡㐳扣昴〷散ち〱搹扣昴搷攳㐷㉣搸㐵㘰㌱昶挵昷㝡愲愵㉤ㅡ慢㈶㠶㙡㤵㑤戳㠸㡣㍡扣戰㘰㌲㉥㑤㔹㍡㠷㔰扡㙤㜷ㄴ㕦㌲㘴㠷㠱户㤰戱ぢ㌶㝤㙤㘵晢ㅥ愷㠱㥢ㅦ搰㌳㐵愵㌰㥣扤㉣挶㠱㔴挵攸挲愶攵戰㠸㜰㌸捣㌶㍢つ㐴㔵搰㔹捥㝥㥣㑡ㄱ晣攳㤷㐲慣ㅦ㙦つ㝤㜵㝢つ㜵㥣搳㡦〵昲〷晢敢挶っ挶挶㕢挹㌱㤰戰摢㙡㔵ち慦㠷㥦㐳ㄷ㉥㍡㈷昴㔶㔶㍤㡢挳昸ㄳ㜳㔶㥦搶愱晦ㄹ扤㔶㥣㜵㥥扤ㄹ挶㑥改晦㜷愰㘰㑢晤㉦ㄸ㝢㔳㠸㝣㘷㤴攱㐳㠱昱㤳㉤㐳㌶摣ㄱ㜸戶ㄱ扣㔱〷㘳㕤㘵ㄹ昲づ㜳㡢昸㜸㌵慣㔶ㄲㅣ㝥慦㝣晢搵㠸㘶㕦摡戶〳㕤〵㈰㘳㐳㠵慦㐱〴㜵敤㥦㤶㕢昱改戶昸㉥㜴摣㜷摡慡㝡慥敦㥡挱搸㈲㠲扥㘳晣昶捣㠴捤㌳㈵扥摡㉥搴㙥挱㑥っ扥〷㝤捥捣㐳㘰㥦㤱挱㡢ㄵ㡢㘴㘴㘱㝢㤱っ㝥㠷㌴㤲〸㉦㔱㍢昸㔷㤹昷㌵㡣㍡㍥㕤㥤㠷慦㌳㘰搱㡥㔰㜶愱挷戹晤㠶〶户づ㜷戴摥づ㝦㤰慣㑦㈰㌸愶㤶昰慥昷㜰㕦摢昷㈰摤㌶㕡㥢捦㤶扤昹摣捡㠵㘷㠰搳敤扤㈵㑤㌲㝣㈷扦㐸㉥敢ㄵ㐲㕣摡㍦㠶扦摢㜷搰㜲戴㔱搰㜹昴㐱㌷ㅤ㘱攳㜵戸捦戶ㄱ晤扥㠰慥㘲㡡〰㍦摤㠸㌲㝣㄰昴昲㤱ㄵ挵㤷戰㉣㌲〰昲戹㘲ㄵ愰㍢㔵㍦扤ㄹ㔵㡦挴〲㔹昰㡣㐱㜲㉣㡢愷搰㤰摢ㄵ㉥ㅢ㉣挱㘵ぢ㜵㤶㐰㕥㡦㝢㈰㥦ㄳ㍣㑢愸㠹㝣ㅥㅤ㥡ㄳ戱㔰摡㝤㈲㥦摤㙣㈲㠲㔶㠰㕡㘸㜲晣㤱㔸㡢攸㜵㔴敢㌶㠱㐳攰〲っ㔳㉣㔲搶ㄴ挳搰挲昷㠹ㄹ愴㕦㐶㝦㥦㍢昶㡢㘷㤹晥㜶㑣㈸㐱㠸慡昴攴㈹〸搵攴㍦㤱㥣扣㠷搲敥㤳晦搸㘶㤳ㅦ愱㡣攴㑣昴〰㘰愸㑦㔴昰㐷㉤愶㠱っ昷㤱㍦㜱㠱〰扦搴㉣㐶っ㤴愸扥㤷㤰㐱㕦㙥戸㙡㜵ㄹ㤹戸㙦㠱敢捦昸戸㐷搹㐷扣〸㐹㕦㑥㌱㜴挶ㄶ㐳慤㔸戲㈳㉦散㡥㤰つ㔸ㄲ扦㤶敤㉡搲㡢㍤㐶昸挵〷㘳挴㥣㍣ㄹ㝦㌹愵㐵㌱㈷㄰㐶㘸㤱㤲㝥戸㤱攲〳㜱攳㙦㝦愷攵㌲㐵〵ㄲ愸㈷㙣㑣㍡㔳㡤ㅦ㡦ㅢㅦ挲㔷㔹慡㑤㡥㌷〸㤸㥥㡢ㅢ㤳ㅥ㔵攳挷攲挶㝦㍤戴扦搹㌸愶挳㜰攴〲㠹㈴挳搶㔵搶㝦攲ぢ敤㘱㌴㉦㤸搴㥦〳㘶㔸㑣挹愹㐲挷㜵愵㐱〷㜱ㄹ挴挳㌷搲㜳戸摢㠴㉢㈰㄰戲攱晦㉡攱ㄴ敥㍣捤ㅡ㠱㠱㑦愰搷ㄱ㙣昶㜴昵挴捥㐵㜳摥㐳㐱扦㜹捡挷㤹慡戶愳㐸〴收㐰㍥摣摦㉤㥣昲ㄹ愶㘳㙢㍦攲㈰㤹挶㍢㈴扤㈹てㄵ㔸挹㡢昷挵㤸捤㍤摡愲ㄹ晤ㄱ㈰〷搲ㄱ㤰ㄹ晤㔱挰㌰㄰挳摢捡戹ㄱ昲扦㘲敥昷戱攲晤〴㡦〱㤴〵㤹㥤㜴㔰㝣ㅣ㘰㌸晥ㅦ㔵㡣慤㉢㝦㠹㈶ㅥ㡡㕦㤶㈴㈳晤㠳散昰㈱㠰㍥戸㙦㐵㐴㠴㘵晤挳㈸㐹扥㤴㠲㐳扤昴㈳慣昸㈸挱挷〰捡〵㑥㜶摢扢挶㌵昵愸戹㍥㡥慥攲㔱〲晣昴㑦㐴ㄹ㍥ㄴ戸て㙦敥㙥㉢昳㈸ㅣ㝦搸㡦㔰㘷敡ぢ晥㝢昰㐵晥〶ㄷ摤㠷晦㈱㐹㐱ㄹ昶㜹敤㑤扤㡤㐵㈶愰㑤慥㝥㙢搸散ㄷ㌰づ搷搵㡡愰㜰㐴㉡㤵㤲㔶ㄴ挴㌷ㄷ㉣㕣扣㠱㙦㌹慡㉡㠴㈰つ愸ち㈷慡㌸㠶〲晤㔳㙣㑡ㅣㄳ㑦晡愷昹㐴搴慡㑤晣㑣㤴攱㠳㈰㕥㔵昷〷愲敥昱ぢ㠹㙢㔵㘱戵扤㤰昸㔷ㄵ慢挹ㄷ㍥挹挱ㄴ戲㤰㐹㙢㈵㈲㑤搱搰㔳挸っ昵つ㜳㙥昷攳愷㕤ㄶ搵ぢ戵ぢㄷ晥㌹㥣ㅦ扢㍥晦㡥户つ㍥昹摣捦晦昸挴慦摥㝤昴㉦晦㝡晡改㕦晤改㠹㘷晦昵愳攵愳㍦㝤收㤹㥦摣晢攵㘷晦戸搷晣㡡昶㥤㝦捥㝤攵攱挹㡢て㍦㘸㥥扢晤挴挳敦㝣攰扥挹㠵慢挶晢晡晡晢㙦ㅢ晤搹㜵慦ㅤ㜹昴挱敦㠹ㅦ晦收㕡㐷愸攵攲〵改㘹㜰搹㙡ㅡ㕦㐴〶搳攰㡣㕦搲㘹㜰戹㙡愳㤶愳㡤㥡㐶㐱〹㍥つ㑥㐰㔵ㄸ改㡡㠱晦〰ㅤ㔱戳愶</t>
  </si>
  <si>
    <t>Oil Price</t>
  </si>
  <si>
    <t>Production</t>
  </si>
  <si>
    <t>Cumulative</t>
  </si>
  <si>
    <t>Tax, %</t>
  </si>
  <si>
    <t>Min</t>
  </si>
  <si>
    <t>Max</t>
  </si>
  <si>
    <t>Well Opex</t>
  </si>
  <si>
    <t>P80</t>
  </si>
  <si>
    <t>P70</t>
  </si>
  <si>
    <t>P60</t>
  </si>
  <si>
    <t>P40</t>
  </si>
  <si>
    <t>P30</t>
  </si>
  <si>
    <t>P20</t>
  </si>
  <si>
    <t>P1</t>
  </si>
  <si>
    <t>P99</t>
  </si>
  <si>
    <t>㜸〱敤㕣㕢㙣ㅣ搷㜹摥㌳摣㔹敥㉣㐹㤱ㄶ攵㡢ㅣ挷㘶攲㌸㜶㑣㤵ㄶ㘵㉢㡥搳愸㌲㉦愶挴㐴ㄲ㘹㤱㤲㤳摡㈹㍤摣㍤㐳㡥戵㌳㐳捦捣㔲愴攲搶㑡㤰㈰〸搰㈲㠹㠱ㄶ㜵敢挲㤷ㄴ㙤〳㈴㈹〲戴㙥〲攴㈵㐰㠰ㄶ㠱〳攴㈱㜹〸㤰〷㈷㈸㥡㠷ㄶ㠵㠱扥〴㐵㠰昴晢捥捣散捥散㜲㠷昴摡㙥改㠲㈳敦捦㌳晦戹㥦昳摦捥晦㥦㜱㐱ㄴち㠵摦攲攱㕦㍥㐵㈶㙥㕢摡づ㐲改㑣捣㜸昵扡慣㠶戶攷〶ㄳ㔳扥㙦㙥㥦戳㠳戰て〵㑡㉢㌶昲〳㝤㈵戰慦挹昲捡愶昴〳ㄴ搲ぢ㠵㜲搹搰㤰捦㐶昸ㅢ㐹㕥っ搶ㅡ㉣〲㉣捦㑣㉦慣㍥㠵㔶㤷㐲捦㤷挷挶㉥㐷㜵㑦㑤㑥㑥㑣㑥㍣昰攰攴㠷㈷㡥ㅦㅢ㥢㘹搴挳㠶㉦㑦戹戲ㄱ晡㘶晤搸搸㘲㘳戵㙥㔷㍦㈱户㤷扤㉢搲㍤㈵㔷㡦摦扦㙡㍥昰㤱挹〷㑥㥥戴ㅥ㝡攸㈳㠳攸扡㜰㘱㘶㝡搱㤷㔶昰㌶戵愹㜳挸て捣捡慡捤戹㐹改摢敥摡挴捣㌴晥㑢㡤ㅦ㙦て㑥㉣慤㑢ㄹ戲㙢改㑢户㉡〳〳ㄵ〷㥣愹㈰㘸㌸ㅢ㕣㍣挳㤹挳㔴慢㘶㄰敡捥㡣慣搷つ㈷㘹戵散㉣㘰敤敡收昶愰戳㈴摤挰づ敤㑤㍢摣㉥㌹换㘸愸㌶攴㕣ち攴㐵搳㕤㤳ㄷ㑣㐷敡捥㤹㠶㕤㉢㐶㑦愱敦敥愴㠹昴挰搴昴㈷愶〲㘷㘶摤昴搵㠸〲㉥㑣㑥搹㌹扦㥡㉤㝢㘷昷㜶㌹㜴搵〳摢扣慢㝢㌹攴㕣㌶晤㘶挹昱敥㈵攳挹㘷㐷㜰㕦昷昲愹㌵捡搶昹㔰昷㍡㙡㈹戳愵挵㐰㑣摦㙡㐵㌱ㄹ愳㐴搰㑦㔰㈶攰〶ㅡㄵ㠲〱㠲㐱〰㔱晣㉦㜰㐹扡㈲戳戴ㄵ㔳㕢㔹搵㔶慡摡㑡㑤㕢㤱摡㡡愵慤慣㘹㉢敢摡㡡慤慤㍣愵慤㕣㐱㤹攴㈹昷昷㙢昱昳摦扦戰㝥晥㠳扦扥㙦晥戳搷戶晢捦㙣㕤扦㍡㜸〸㠵ㅥ㡤〷㌵敢㥢㔷㐱㙡㉤㉡㍥㌱㜱㥣晦㜶攷ち㌰㠵㜵搲㝡搰㥡㥣慣㥤㍣㙥摥㙦敡㥣㔶捥收㘷〸㘵〴㘵〷慤挷㙣户收㕤㔵㝢㜷摢戴ㄹ挸搶挲㡤挷㜹搳㕥挳慤〵敦搹㌹㜳㈹㌴㐳㜹㙢㝢㕥慢㤱㡥㙡㑢㘰㉢ㄹ愸晥㙥㙦慦㜶搹慣㌷攴搴㤶ㅤ㘵扦户㉤摢㔹昴扤搵敥戹㜳扥㝣扡㤹摢㌱愲㈹〸戵㑤搵㜶挷㉣愳慣㘸㕣㘳㌳敢㕥㈰㕤㌵扣㜱㘷搱慥㕥㤱晥㤲愴㐸㤴㌵㌵搵ㅢ㤹ㄵ㜳晤昸㠲㡢㠹㠲㕢㙢敦㑦㘳慤㐷戶㐲㌰戳慣㘱扣ㅢ搲て户㤷捤搵扡扣㈹㔳㈴敡ㄳㄹ㐷㌳攸㌹慦摡〸㘶㍣㌷昴扤㝡㌶㘷慡戶㘹㐲搲搴捥㝢㌵㔹㉣ㄶ㤴㔰㠰挰敤敢ㄳ愲㜰㙦㜷㕥㔰ㅢ㤱摡㘲㌲昲㉤㔹戲㥢戸㠸搹㘱ㄶ㜵㐹㥡搴㍥戰㑢㘳ㅣ慦㤲㌱㌹ㅣ㤸㥡ㄳ昵〷㍢扤㘷㤷㘶㥢㍢昷捥ㄶ搶戴搱㜸昶㡦㙣㑡㌷㍣㙢扡戵扡昴㜳戵㥦攰㠸㡣㘱〰晤つ〸㠴慥慢㐷㔵㈷戶挴戶㝥搵慥㠵敢愵㜵㘹慦慤㠷挰㐱㐳㤶换㕣摡㡥挷戸〱㈸攳㌰挱㈸㐰愵㔲㈸ㅤ㘱愱㔲〵㑦㐱愷㜴捡攱攵㡣㈰㘷扤っ㉦て㕡㜳㜶㍤㤴㤱㔰ㅥ戶戰㈳㤱㔶㔳摢㌷㐴ㄲ昵捤㙡愴㌰㡥㔸㌳愰㔲搳㜶挳敤ㄶ摦㜶㜰㐹㐴㐴〷戲㘰摦挹〲㡡㠲慣㍣挸攱㌵㄰㑤㥢㌴挸㉦㥣㈲㈲戲㐱㡥㘶㐷换㔹㈲㘳昹ㅣㄹ㠱昲㘹㈲㘴改攳摤㘵〴㠹扤㤳㐸㔹愹㉢㍦ㅥ㐸戳㥤㙣昹㐸㥡摤㠸㠵㌳㙥㈲戸㤹攰ㄶ㠲愳〰攲摦㈰攱㈸攵㤰捥㍥挶㝢昰㙥摣㐶昰㕥〰挸㈷㠳㌲㈷ㄶ㔵戴愱昶㘲㐷戲摣㄰散㘴㘵ㄴ㐷愲㠸㤶㜱搳捥ㅣ㜲搴㐶挷㔶攷晥搰戵㐵愵㘳㍦搸㥤㌶搳搳㈱㐵收ㄴ㑤捦㜵㤷愲改㠵㘰搱ㅥ昵搶ㅤ愸㙡㡣ㄱ扣て愰㘲扣㥦㄰捡㠵〶敦摥㉣㝡㥡㤴敦ち戳㈸㌲㠶㝡㔴昰㌱㈱昳〸㤰㈳攴㍡㡥㉦〷㌶㌴捤挱㜱敢㕤㙦㐳ㅦ敢捥摦昱愶户改捤〳扤㐳㝦搱㥢戴愲敦〴㝢㠹㥦㜷搵㌱㜷㈱摢昸㈰挱摤〰㙤㍡㠶愷敦㌷敢㈹㔰㘶戱㤳摡戹挳昴扡㈸㉢㜷㜹㝢㐳㉡つ㌴㘸㉤㥢晥㥡っ攱挱㤸㥦㠵㉤散昹扥慣攳㔰㕢㔳〸㥥㕦㙥捥㈲㠳㌹摦㜳㠸㍦戰㤱㠳㜷㠵㘲㈸ㄶ戵扥㐲㥢㡤㥣㘳㙢愶㝣㑥㈹捡愱づ扥扦扢㤰㐸㔵捡㤲ㄷ敢攵㥦㉦て㈴㐹て㤲攴㐳㔸㔶攳㕥〰㐸〹昱搳慥ㄲ攵ㄸ㡢晤㡥㉡㤶戵㔸改攱换㌹㥤戴昹㄰㍢攴挸㐰攴戰㥤㠶晦㈰ㄸ㜲㤶㙣愷㈹㉣〶㥣㐵改㔷攱㕢戰敢戲ㄲ戹㘵㈹㙡づ㘴挵扢㐴㔶昴昵㜵㥣愷㜳晣㙢㡡㑥摡愴㐴㉥户攷㘶收㥣挵㕢㐴㐵㌷㈴㠵㑡㡥㙢愸㈹㠱㐸㜹㉣㝢㈰㘲㝡㄰㌱昷㘱攱㡣攳〴㤳〴㈷〰昴ㅦ㐱搲散㜵攱ㄹづ敢摦愴㑢㝢㘵愵㔰收㌶㈸ㄷ攱㙢㕤㠵搵㐹㜶昳㘱㠲〷〱摡捣ㅦ㍡㈰㜳〸㔱㙤㜹㡡㄰㔵ㄸ挳扡㙣换慢愴㠱㐳ㄶ〲㑢㌳㡤㈰昴ㅣ㐶㤶㠶慣㔹敦㠲ㄷ捥摡挱〶㈲㔱愳㔶㥣㜸㙣㕤扡愰㉥ㅦ戶㑦ㅢ捥摢搸㤰㌵挳㕡昲ㅡ㄰㙤昳戳晢攱㘰㡥攵㠰㉤愹捥收㥡挰搳摢昹ㄸ㑤〸慣戴昲户搲ㅢ扢㈷敦㌷て㝤挳慤ㄵ㕤戶挳扡ㅣ戰㈲愶㘳扡㙣㘱ㄵㄱ㌹愸昵㕢换敢扥㤴戳㐳搶ㄹ摦慥搵㙤㔷㜲㌳㘰㘳㌲㔸㜷㑥慥㈱㑡戰攸㌱〶攸戹㐳搶戲㙦扡挱㠶挹㠰攲昶攱捣㥢ち㡢攸搶戴敤〶攸㐶敤㈲搳挳搶搲扡㜷ㄵㄱ摢㠶攳㥥㌱㌷㠲㝤戱㉢㈴晡攸㔱㕢㈳㌴愱㘹愲慣㤵㝢摤ㅦㅥ挸ぢ〵昲㕥㤱㐰敤㔵㐱愷捦㍣㐷㝢搳慥㡦㘳㌴戴搳㌹愶㐱㐴㡦㥡挸扥㕣㈹㑣㑥㌵ㅥ㘲㥤㡦〲㝣晣捣愵昹㔶㘴敥㉤挵慣㜵㝡昹㜳㘴扣㈲㡢㘶㈰㠴㍥扡㐳ㄱ愹㄰㐷捡〱〷㘲挷昹搶㑥㝥ㄵ㑢㤵㈱昵ㅤ㙡㈵攷㄰㐹ㅡ戴捥㤹慢戲㡥㜸戴㘳㠶㠷愲ㄷ㥡戱㡥㔹て攲扣ㄹ捦㜱㑣㤲ㄶ挹㜲愹㙡㤲㠲愷ㅡ愱㜷摥㜶つぢ㐰搱㕦㡣㌲户㠰㌲户ㄴ㙡搰扡挸搰愰㑡戳㉤㙦捤昴敤㜰摤戱慢㘵扥㌰㝣户㉦㘸ㄲ㑣㑥挹㥢㍣㠹捣ㄸ㙢戳收㉦挱㘴ぢ㈶戰摤ㄳ㤰愳㕣㍡㙥㍦㈸㔷ㄳ㈵晣ㄳ㍤㍡㤶㈰㘰㤴愷搴昸ㄸ㕡搳搵敤〸㠸ㅣ昵扣㤱摣挱㜸攳㔹㘰㈲㈱挴㕤捦㈱ㄱ㜸〵㔳㐲㥥㉥敥㤲㜵挹戵㐳散ㅥ㜷㙣捥づ㘷〳㙣㌹〰㤲敡㜸㝢慢摡搵㔴愵昱愶㔶戸愳㌳㉢愳㈶㙥敦捣㑦敢㡤て散㤰ㅤ㘹㤴㤴㈲搹慤㤰搲㉣㍢㡣㜱㍦愹ㅡ愱ㄴ㜷愲㙤㐴㥥摢戴戵敥㤴㈲㙦㐱㌱㈹㥡㈹ㄸ扦愷〸〵㠱摥㑡挵㌸㡤㌴㕤户昴摢攷㤳㐸㉡㙡㐳㍢愰㐲㕤ㄵ攱㠶攲戰攰㍣慥㥥搴㘴㈵㝥〳㡦ㅦ㡡㤳ぢ㡤㌰㤳㘳㙥㡤挶㌹㔳昵晡㠲ぢ㑢愱㙡晡戵㝤挲搶㤸㕢愴㘵ㄴ㠷昶㙡〱愰ㄵ㍣㈹㘶㠴㥢晣㘱㘰戸搶っ㡦攴昸㠳挱㡥㘰戲㔴㘴㤵㔶摡㄰㤷扢㠹㉥昳敤扣㌴㕤戵ぢ㑢㘱㙤㔶㙥㉡㜳慣㘵搱㡦慡ち捤㔳愳㤲愷㠶㌵戵ㅡ㐰戵㠷㤴攷㜱㑡㌱扡㘱㕤愴㝢ち㤷ㄹ㈰㝥攳搴㘲㌵㐴㠸户搹〰㑦〸晢㘷㠷戰㈲㔱〸㠵㔶ㅡ㈵㘹㈹㠷㜸戳㤳㈰て昵戸慢㄰愸㤶㝡晥昳戴昸㡢攷昹㝣晤㜴㈱㐹挴〶ㅦ挳㕥㌹㔶〴㌶㌷ㅤ愱㈴㈷㡤㈶㠱昳㐸挲㈹攱㌵㤸攰㘸㙡っ搱昴昳㐳摣收㘱㑣㙢㤸慣㔳挷㝤户搰㠶㔶慤㙦ㅦ戲收摤㙡扤㔱㤳㑡㈵㈷㌲㕢㘹收㝤戱㕦敡㉡㘰挴㔱㌹敢ㄲ㉦捡㍣㡥㔴㥣㌲㌷愹㜷晢摢㤸㐲昵㐸搸㠱攳㡣ㄹ扣㤱敦ㄸ㡣捣㜱搱愹攰㔸挷㥤〵摡㡡㠷㕢㤷ㄹ搴㐵㍡㠸戶づㄴ㘵摡㌹摣捤㙢㐶㤴ㄵ挷愵㡡㥤昳捥㜹戴摦㔳愸戳㜶㠴摡ㄷ晢㠴㜹㐶㠲慦㔴㠲㘱搲㈳㠷戰ㄱ㐸㍤昵愷昰挶戳昱㕦㈸ㄹ㘵㠸〸挶㝢㜹㈲㉡㘰㔵挱㑣㌴扥戵㤶〵㉥ㄸ〹愶ㄵ㙥捣〲〸㠶㠴㘹摣愲㘴㘴散捣㈱扤扢戱㜳〷㑡攵㐴㑢搳㠱㔵挶㉢㐷攱扣挷愶㠱愳㜸愸㕥昶愰㡣挲㈳敡㤲㔸㜲㑦㜱摣挱㜱挸昳㙦㙡㐳㉥㥡㈱慥挲戸㐷摢搰㔳戵ㅡ㑤㕦昸敡昶挵慥攲ㅡ㐷㘴㥡ㅥ㘹扢愰愵收㐴㕢敦捥戶㡣昸攲攰㠹搹㠹戳㘶㔸㕤㕦ち户愳㑢㕣扤㤲㠴晥㕤昸㈶㜶散㥤昶㜳搱攵愵搴㑤慥㝤攵㡡敢㕤㜵搵戸昴㠰㌷〰㐱㈱戸㑥搹捦㐱㔶ち扦挵㍦昵㘸〵晤㍢㘸㜱㉦挳㘶〳㉤㘷〹摢㔱㑦㘴ㄴ㡦㈱㥤㐳㈷戰攳㥢㌷〸㐸㈷㐷摡攸㐴〹㠲〳㐲㜱搷摥㌶㐲ㄱ晦㠴㙤㈵戱㐴挷㜳慣昹摦㠰昵挵慢挰㜰挳昱ㅥ㡢ㄱ晤㝤㐸攵㙣㥤ㄲ攴昱㜵て㕥づ昹晦戳㑢〹㌷敦挸㑥晦ぢ捣㉣晥戱㝤㡢㙥攷ㄶ晤㐳挷ㄶ〹㕥〹㔱晣㝢ㅥ㠹攴搱ㄹ慡㝤㔳㐱㜱捥改攰㌰晡㡥㕦晥晤㍦㍣㡣㉥挴挴㈱㈲晢㔹摣㠵昷愶㠹搰搷㘱㈲㌰㤰慦㑣㠴㐵㈴〴㈳晡㤱㠹㄰晢㐳㉥〲戱扢㠹挰㌸㕦㡥㈱㤸ち扢愶㕣ㅣ㍣㠵摤攴搰㔷㜶ㄶ㤷㜰㘵㠰搸㍥㤴㔶㌰〳敦搴捤㥤攸㐵搳㌷㥤愳ち㝦挶㤷㔰㘶晥㌲㙥㜵慢㉡慣㜱敢㡥㌹慡搲づ㝥㡢挴攳㝥攰㕢搹摢㕤㜶散㔴昴㐴慥㝣㔱ㄶ愵户攰㌵ㄱ㍣㌷ㄴ㍥㜳攴㕢㘷㝥㜱敤昳愷㜹㜳㉤愶㔵晤㕥愴㝢〹摦搳㥥㐰㠰㌷㜵㘹攴㐶㝥愴㜳ㅥ㥦㉢搹ㅢ㜵㌹㙤晡捡ちちっ㈷㐹㐶㠴㤷㈲捣㠸昸昶㠳㠹㠹㍢㄰㤱㠹㌹搱收晡㔴ㅦ㌹㈹㜷攱㐴㙡攰捡扦㤷㠴㄰㐵㔷㐵搶愳戵愹㝦ㄳ慡攸㑤づ㈴㙢㈵昲攴挹㐷㠸㙦戴敢扡㤳搴㜵搱㐱㠶㔷〰ㄲ㈹㠵㔸〴㈹㈴㝤㤰攱攵〰㈵愵㉥㈱愱摦〷㤰ㄳ㘵㙢て昷搲㈷㜰㈰〴㘴昳〲㘰㡦ㅦ戴㘰ㄵ戱㡢㠹㕦扥搷ㄳ㉤㙤搱㐴㌵㌱㙣慢㙣㥡换㐸愸挳ぢㄱ㤳〹昶㌱㈴㤲㐷㍦㠱搴㥥㕤㔲散㘴挸㠹㠲㜰ㄱ㘳敢づ晤㙤ㄵ攷ㄱ户㠱㕢㈰搰㌳㈵愵㌰摣挳㐴攳㐰慡攲㜵㔱搱㑡㠴㈲ㅣ㡥㤲捤㑡〳㜱ㄶ㜴㤶㝢ㄴ愷㔲〴〲昹搵㄰昳挷㕢㑤摦搸㥥㐳ㅤ攷昶㘳㠲晣挱晥扡㍤㠷戱搱㉢㌹〶ㄲ㜶㑦愵捡搱㔵昱㑦愲㡡戲昲㠵搱㑡戲㉦㈱ㄸ慦㑥㌸慢㑦敢搰晦㡣㘴㉢捥晡ㄴ㑢㌳愴㥤搱晦㡦〳戱慢晥ㄷて戱㉥㝥挶ㄳ㜱㠲㉦㍡㘳㈹扢㠶㙦戸㈲昰㜰㈳㤰愳づ挶㠶㑡㌲晣ㅤ愵㤶昰㈱㙢㤴慤㈴㌸㝣㕦挵昶㙢ㄲ捤扡戴㙤〷扡ち㐰挶㠹昴慦㐱〴㜵慤㥦㤵㕢挹改戶昴〷愸㜸攴扣㕤昵扤挰戳挲戱㈵〴㠰挷昸ㅤ㥡〵㥢㘷㑡扣摣㉥搴敥挴㑡っ㍥㠹㍡ㄷㄶ㈰戰㉦挸昰敤㡡㑢㌲捡戰户愸〶扦㐹ㅡ㐹㠵㥡愸ㅤ㠲ㅢ慣㐷ㅢ㘶ㅤ㥦戱㉥挰摦ㄹㄲ戵㉦㤴㕤攴㜵㙥扦慤挱愵挳㝤慤㑦挰ㅦ㈴敢ㄳ〸㤴愹㈹㍣晥㘹慥㙢晢ㅡ㘴换挶㜳ぢ㔸戲㌷㥦㕢㐵㝦ㄱ㝢扡户㕥戲㈴挳㍥昹㜵㜲挵㔸㈵挴㥤㌷㌸敡㈲挶愸㈲挱㙤攱㑦㍣㑣㠰㥦㔱〳㐸ㅥ㝤ち愹扤㍢㜴㔹㝦ㄴ㍣ㄱ㝦〸㑥愷搹㜸ㅤ慥戶㍤㐴捤㈵慡㡡ㄹ〲晣㌲㘳㄰戳〹㜶㉤㑥戰㠸愰㥦㤰捣㉣晥ㅣぢ㐳ㄶ㐲扡㔰戲〱扡昳挵㥦愱㔸挶昷㐰扥ㄸ㐹づ慦㠲愷ㄴㄲ㜴㐵晣㈹ち扥㠸㕦戴㜰㜵攲戰㜰敡㌴㠲戴㤱搴㐰扡㈰㜸ㅡ㔱〳㜹づㄵ㥡〳昱㠰敤㍥㤰慦愰㘸挷㐰〴敤〸㌵晤㜴晢㈳㠹ㅥ㌲㝣㘴ㅢ〱㐱㐸搰〰ㄸ㐹搴搱㌰㈵㉣挵㔶㈹㡡㔴㝣㤷㥢㡣攷挷昱摦搷㑦晦攸㌵㍥晦㜱㕡㈸㤹㡡慣散㉣㈸㔳搵㉣扥㤴㥥挵ㄶ戰摤㘷昱挵㥤㘶㌱昲〴敡㜰㈴挶㌵㠰愱㍥㐱戲㔳戳晡っㄲ㕣㔰晥㐶慡〰㜴摢ㄸ捦㄰晣㈱挱ㅦㄱ㍣㑢㜰㥤攰戳〴㥦〳愸㡣㈴㈴㈹ㄴ㤵㄰㥦㘰㤰㉥㡣㤰㉥㔴㡦㥦㐷〲㍤㜲扦㔴㡦㕦㐰㈲改㔱攷昲攵㝣㘹愴っ㌴摥捡攴愸㑡㤱㌷戸ㄴ愹攵戲ㄳ扢㠱昷㠵㜰挲㤴昸改㙥㔷㥤㔲敡昱扡㠱戸㤶㙣攷搹戳挹㘷㕣㕡ㅣ昸〲㌹㐵㈶㌱挹㡦ぢ㈹戶㤳挲摦㝥戵攵戳㐵〶ㅥ搰㕣㔴㤸㘴慡ち㙦㈵㠵㑦攰ㄳ㌱㔵愶愰㐵㝦ち慦㈷㠵㐹捥慡昰搵愴昰扦㥦㌸摡㉣㥣㔰㙦搴戲㑥搲捡㌱戶搵昱㈳昵戹昸㌰㡡敢ㄶㄵ昸㠰ㄵ愱㈹扡㔵っ扢慥㔴昸㈰㙥愶昸昸㘰晢ㅣ㉥㕡攱㍥ち愴㝣昴晦㙤㤸挷〵慣㔹㌳㌴昱㍤昶㈶愲摥扥愱摥㔸戹㘴㉤昸㐰昴㕢昳〱づ㜵戵㝤㐵㈲戰㐷㡡搱晡敥ㄲㄵ挸戱㕤㕢敢㤱㐴敡㌴㕥㘸改㑤㝢愹挸㑥㔱㌴㤲㥤㉤㕣㙦搱㡣昱挷搸ㅣ〸㔷㐰㈶㡣㍦〱㡣㈲㐱扣㍡㕤ㄸ愱搴㔰捣晤㘵㘶㝣㠵攰慢〰ㄵ㥤㠲攳㜷扢ㅢ慤㍣㤳㈶㕦摢㈳敥㤸昹慣晥ㄱ㝣㈶扦捤ㄵ敡挳晦㈵㐴㔷ㄶ㜶㔱晢㘸㙦㙤㤱ㄸ㘸ㅣ慢㥦㡢ㄹ扥㠵㜶戸〸慤㔰〶㕢愴昴慡〸㡡㐷㑥㔷㌸㘸㥦㝤搰㜶慥〸ち㑣㠵慥挷㘸摥敦愸〸㡡㔰㠵扥ㄲ愳㜹ㄵ愱㈲慥㈷攸愷㘲昴㍤ち㑤㌱慢㑡摢㌱㥡㝥戳㡡愰攰㔵攸昵ㄸ㑤戵㔱ㄱ㤴戰㘴扥搲昳〰挳挹晦慡㘴㙣㔳㜹挹㌴㘱愱戰搲㙢㘹摥㌵晥㤲ㄵ㕥〰攸㠳搳㕥挴㥣㕦㌱晥ち㤸昴㑥㝦〱敦㙡愷㕦㘴挶㑢〴㉦〳㔴㜴㔲挸㥥㐹㤵㙢搸愳つ昲ち慡ち搲ㅦ摢㌰扥ㄶ㈷昸㈲㐸㝣㙡㌹㥥㠸㤷攳㘳㐰㤴戵㤲㈰㐱慡㡣挷攳㡣㔳㉡㐳〸ㄲ愹捡昸晤㌸攳㌴㄰挶摦〲〸慥〷攷㘴晣ㅤ摦戸っ慡挳慦挷〹搵㈱搷㐰㔵扦摣搶攱㑢㐹挶愵戶づ㕦㑥㌲㤶搳ㅤ㝥ㄳ㔸愱㈶㠶㐴㐶攵㡦㜰㠲㙡扤晦ㅥ㠹愱扥㘱㡥㡤昶㠴戶㈵慡㑦搶㥥㝣昲搷挳挵戱㕢㡢㥦㝣㜸昰昹搷㝦昸换攷㝥昲挴愹㕦晤收㠵ㄷ㝥昲慦捦扤昶㥢敦慤㥥晡攷㔷㕥昹挱挷㕦㝣敤㤷㠷慤㤷戴㔷㝦㝤敥愵㘷㈶慦㍣昳戴㜵改摥㌳捦㝣敡愹㐷㈷ㄷ㙦ㄸ敦敢敢敦扦㝢昴㕦㙥戹㘷攴晡搳摦ㄱ摦晦搹捤慥㔰搳㐵〷搹㘱㜰摡㙡ㄸ摦㐶〲挳攰㠸摦搱㘱㜰扡㙡㘹㉦挴ぢ㌵つ㐴ㄹ㕥ㅦづ㐰㘵㥣捦㘶っ晣て㍤戵昵扡</t>
  </si>
  <si>
    <t>Coeff</t>
  </si>
  <si>
    <t>kf</t>
  </si>
  <si>
    <t>km</t>
  </si>
  <si>
    <t>Pi</t>
  </si>
  <si>
    <t>Pwf</t>
  </si>
  <si>
    <t>h</t>
  </si>
  <si>
    <t>Phi</t>
  </si>
  <si>
    <t>Lw</t>
  </si>
  <si>
    <t>kf h</t>
  </si>
  <si>
    <t>kf Lw</t>
  </si>
  <si>
    <t>km Lw</t>
  </si>
  <si>
    <t>Pi Pwf</t>
  </si>
  <si>
    <t>h Lw</t>
  </si>
  <si>
    <t>kf h Lw</t>
  </si>
  <si>
    <t>Standard Dev.</t>
  </si>
  <si>
    <t>Ln(qi)</t>
  </si>
  <si>
    <t>md</t>
  </si>
  <si>
    <t>psi</t>
  </si>
  <si>
    <t>ft</t>
  </si>
  <si>
    <t>fraction</t>
  </si>
  <si>
    <t>Well Length</t>
  </si>
  <si>
    <t>Porosity</t>
  </si>
  <si>
    <t>Reservoir thickness</t>
  </si>
  <si>
    <t>Wellbore Flowing Pressure</t>
  </si>
  <si>
    <t>Initial reservoir pressure</t>
  </si>
  <si>
    <t>Matrix permeability</t>
  </si>
  <si>
    <t>Fracture permeability</t>
  </si>
  <si>
    <t>Term</t>
  </si>
  <si>
    <t>Gas Produced Cum</t>
  </si>
  <si>
    <t>STB/D</t>
  </si>
  <si>
    <t>scfd</t>
  </si>
  <si>
    <t>Time Constant</t>
  </si>
  <si>
    <t>a</t>
  </si>
  <si>
    <t>n</t>
  </si>
  <si>
    <t>Date</t>
  </si>
  <si>
    <t>Gas Rate</t>
  </si>
  <si>
    <t>1f99c114-14e3-44c4-80ce-65749bee6894</t>
  </si>
  <si>
    <t>CB Trials</t>
  </si>
  <si>
    <t>Gas Rate Mean</t>
  </si>
  <si>
    <t>㜸〱敤㕣㕢㙣ㅣ搷㜹摥㌳摣㕤敥㉣㐹㤱ㄶ㘵挹㜲ㅣ㥢㠹攲搸㌱㔵㐶㤴慤㌸㑥慢捡扣㔸㤷㔸ㄷ㕡愴㘴㍢㑤戳ㅡ敥㥥ㄱ挷摡㤹愵㘶㘶㈹搱㤶ㄳㄷ㈸㤰戴㘹㔰㈰㐸搲㍡㜱敥㐹㠱愰㐸㠲扣戸㐹㤳㤷〲〵㕡ㄴづ搰㠷昴愱㐰〳戸㐱搱㍥戴〸っ昴㈵て〱搲敦晢㘷㘶㜷㜶挹ㅤ搲㙢扢愵ぢ㡥扣㍦捦㥣晢㌹晦昵晣晦ㄹ攷㔴㉥㤷晢つㅥ晥攵㤳㘷攲慥挵昵㈰搴敥搴㕣愳㕥搷搵搰㘹㜸挱搴㡣敦㕢敢㘷㥤㈰ㅣ㐰㠵㘲挵㐱㜹㔰愸〴捥戳扡㔴㔹搳㝥㠰㑡㠵㕣慥㔴㌲つ㤴戳ㄳ晥挶㤲ㄷ㤳慤㠶昳〰㑢㜳戳ㄷ㤶㥦㐱慦㡢㘱挳搷㠷㈷㉥㐷㙤㡦㑦㑦㑦㑤㑦㍤昴昰昴〷愶㡥ㅣ㥥㤸㙢搶挳愶慦㡦㝢扡ㄹ晡㔶晤昰挴㐲㜳戹敥㔴ㅦ搷敢㑢㡤㙢摡㍢慥㤷㡦㍣戸㙣㍤昴挱改㠷㡥ㅤ戳ㅦ㜹攴㠳挳ㄸ㍡㜷㝥㙥㜶挱搷㜶昰㈶昵㔹攰㤴ㅦ㥡搷㔵㠷㙢搳摡㜷扣慢㔳㜳戳昸㉦㌵㝦扣㍤㍣戵戸愲㜵挸愱戵慦扤慡づ㑣㌴ㅣ㜲㘷㠲愰改慥㜲昳㑣昷㈴㤶㕡戵㠲戰攰捥改㝡摤㜴㤳㕥㑢敥〵散㕤摤㕡ㅦ㜶ㄷ戵ㄷ㌸愱戳收㠴敢㐵㜷〹ㅤ搵㐶摣㑢㠱扥㘸㜹㔷昵㜹换搵〵昷㔴搳愹攵愳㈷㌷㜰㕦搲㐵㝡㘲戲晣愹㤹挰㥤㕢戱㝣㤹㔱挰㡤挹愸㝢搲慦㜶搶㍤搴扢㕦㑥㕤㐶㘰㥦昷昶慥㠷㤲换㤶摦慡㌹搹扢㘶扣昸捥ㄹ扣扦㜷晤搴ㅥ㜵戶㜹㕦敦㌶戲㤵㥤戵搵㔰㑣摦戲愳㔸㡣㔹㈴ㄸ㈴㈸ㄱ㄰㠱㘶㤹㘰㠸㘰ㄸ㐰攵晦ㅢ㕣㤲㙥挸㈲愳㘲ㄹ㤵㘵愳㔲㌵㉡㌵愳愲㡤㡡㙤㔴慥ㅡ㤵ㄵ愳攲ㄸ㤵㘷㡣捡㌵搴㐹㥥搲攰愰ㄱ㍦摦㙦㝥晤㑦てㅣ㝡晥搴攷㥡㍦㝦敡攷㝦晣换㑦づ敦㐱愵㈷攲㐹捤晢搶つ㤰㕡㥢㡡㡦㑥ㅤ攱扦慤戹〲㑣㘱ㅦ戳ㅦ戶愷愷㙢挷㡥㔸て㕡〵㉥㉢〳昹ㅤ㠴㌲㠶扡挳昶㤳㡥㔷㙢摣㄰摣摤㌵㙢〵扡扤㜱㤳㜱搹㙣愳改搵㠲㜷㙣㕥戸ㄸ㕡愱扥戳扢慣摤挹㠶㘶㡢㘰㉢ㅤ挸㜸㜷㜷㌷扢㙣搵㥢㝡收愶ㄳㄵ扦戳慢搸㕤昰ㅢ换扤㑢㑦晡晡㝡慢㜴挳㡣㘶㈰搴搶愴敦つ慢㡣㡡愲㜹㑤捣慤㌴〲敤挹昴㈶摤〵愷㝡㑤晢㡢㥡㈲㔱搷㘴愹户戳㈸收晡挹ぢㅥㄶち㙥慤扤㍢㥤㙢㍦㜶㌳〴㌳敢ㅡ收扢慡晤㜰㝤挹㕡慥敢晤ㅤ㔵愲㌱㔱㜰戰㈳晢㘴愳摡っ收ㅡ㕥攸㌷敡㥤㈵㌳戵㌵ぢ㤲愶㜶慥㔱搳昹㝣㑥㠴〲〴敥挰㠰㔲戹〷㝡昳㠲㈰㈲㠵㘲㌲昲ㅤ㥤㘴㌷㜵ㄱ慢挳㉡敡㥡㌴㘹扣㘷㡢捥㌸㕦㤱㌱ㄹㅣ㤸㕡ㄳ昵〷〷扤㝦㡢㙥㕢㤸㝢㙢㉢ㅢ挶㜸扣晡挷搶戴ㄷ㥥戶扣㕡㕤晢㤹摡㑦㜱㐶收㈸㐰攱㌵〸㠴㥥扢㐷㔵愷㙥慡昵挲つ愷ㄶ慥ㄴ㔷戴㜳㜵㈵㐴ㅥ㌴㘴愹挴慤摤昰㤸户㈱换摣㑢㌰づ㔰㉥攷㡡晢㔸愹㔸挶㤳㉢㔰㍡㘵昰㜲㠷㈰㘷扢づ㕥ㅥ戶㑦㍡昵㔰㐷㐲㜹搴〶㐶㈲慤㈶攸ㅢ㈱㠹晡㔶㌵㔲ㄸ晢散㌹㔰愹攵㜸攱㝡㥢㙦㌷㜰㐹㐴㐴扢戲㘰挷挹〲㡡㠲㑥㜹㤰挱㙢㈰㥡㉥㘹㤰㕤㌹㐵㐴㘴㠳っ捤㡥㥥㍢㠹㡣昵㌳㘴〴敡愷㠹㤰戵㡦昴㤶ㄱ㈴昶㡤㐴捡㐶㍤昹㜱㔷㥡㙤㘶换㐷搲散㜶㙣㥣戹㥦攰〰挱ㅤ〴〷〱搴扦㐳挲㔱捡㈱摤昹㤸敦挰扢㜹ㄷ挱㍢〱㈰㥦㑣捡㥣㔸㔴搱㠶摡㡥ㅤ挹㝡㈳戰㤳挵㈸㡥㐴ㄱ㉤攳㤶㥤㌹攲ち愲㘳慢㜳㘷攸摡扣攸搸昷昶愶捤昴㜲㐸㤱ㄹ㔵搳㙢摤愲㙡㝡㈳㔸戵㑦扤㜵て㥡㥡ㄳ〴敦〲㈸㥢敦㈶㠴㜲愱挱扢㍤㡢㥥㈶攵摢挲㉣㡡㡣愱㍥ㄵ㝣㑣挸㍣〲㘴〸戹つ挷㤷㕤ㅢ㥡收攰愴晤戶户愱て昷收敦ㄸ改㕤㝡㜳㔷敦搰㕦昴㍡慤攸㐳㘰㉦昵㉦㍤㜵捣扤㈸㌶摦㑢㜰ㅦ㐰㤷㡥攱改晢昵㝡ち挴㉣㜶㔳㤸摢㑢慦㡢㔸戹㑢敢慢㕡㌴搰戰扤㘴昹㔷㜵〸て挶㤹㜹搸挲つ摦搷㜵ㅣ㙡㙢㤲挱昳换㠱捥捣攰愴摦㜰㤹扦㙢㈳〷㙦ぢ挵㤰捦ㅢ〳戹㉥ㅢ㌹挳搶㑣昹㥣㔲㤴㐳ㅤ晣㘰㙦㈱㤱㙡搴㐹㕥㙣㤷㝤扥摣㤵㈴㝤㐸㤲昷㘱㕢捤〷〰㈰㈵搴㍦昵㤴㈸㠷㔹敤户愴㕡愷挵㑡て㕦挶改愴换㠷戸㐱㡥っ㐵づ摢㔹昸て㠲ㄱ㜷搱㜱㕢挲㘲挸㕤搰㝥ㄵ扥〵愷慥换㤱㕢㤶愲㘶㔷㔶扣㑤㘴挵挰挰㠶昳㜴㠶㝦㑤攸愴㑢㑡㘴㜲㝢㘶㘱挶㔹扣㑤㔴㜴㐳㔲愸㘴戸㠶㕡ㄲ㠸㤴挷扡扢㈲愶てㄱ昳㝥㙣㥣㜹㠴㘰㥡攰㈸㐰攱愷㤰㌴摢摤㜸㠶挳〶搷攸搲慥㔴㜲㈵愲㐱㕣㠴慦昴ㄴ㔶挷㌸捣〷〸ㅥ〶攸㌲㝦攸㠰捣㈰㐴㐱㜹㡡㄰㈵㡣㘱㕦㜶昴つ搲挰ㅥㅢ㠱愵戹㘶㄰㌶㕣㐶㤶㐶散昹挶昹㐶㌸敦〴慢㠸㐴㡤摢㜱攲挹ㄵ敤㠱扡㝣搸㍥㕤㜹㡤搵㔵㕤㌳敤挵㐶ㄳ愲敤捣晣㑥㌸㤸㘳㍢㘰㑢捡搹摣㔰㜸晡㍢ㅦ愳ぢ㠵㥤ㄶ㝦㉢扤戱摢昲㝥昳搰㌷摡摥搱㈵㈷慣敢㈱㍢㘲㍡愶㑢㌶㜶ㄱ㤱㠳摡愰扤戴攲㙢㍤㍦㘲㥦昲㥤㕡摤昱㌴㤱〱ㅢ㤳挱扡戳晡㉡愲〴ぢつ挶〰ㅢ摥㠸扤攴㕢㕥戰㙡㌱愰戸扥户攳㑤挲㈲〵㝢搶昱〲っ㈳㔸㘴㝡搴㕥㕣㘹摣㐰挴戶改㝡愷慣搵㘰㐷㘰㠵㐴ㅦ㍤㠲ㅡ㘵㈸挳㔰㈵愳搴㉦㝥㜸㈰捦攵挸㝢㜹〲挱㔵慥㐰㥦㜹㠶昶愶㕤ㅦ挷㘸㘸愷㜳㑥挳㠸ㅥ戵㌲〷㌲愵㌰㌹搵㝣㠴㙤㍥〴昰攱㔳㤷捥戴㈳㜳㙦㈸㘶㕤愰㤷㍦㐳挶ぢ㔹戴〲㈱昴搱敤㠹㐸㠵㜹愴ㅣ㜰㈰㌰捥户㙥昲㉢摢㔲㠷搴户愷㥤㍣㠹㐸搲戰㝤搶㕡搶㜵挴愳㕤㉢摣ㄳ扤搰㡣㜵慤㝡㄰㤷捤㌵㕣搷㈲㘹㤱㉣ㄷ慢ㄶ㈹㜸愶ㄹ㌶捥㌹㥥㘹〳〸晤挵㔹搶㑤㘴㔹㌷㈵㙢搸扥挸搰愰愴搹㔷攳慡攵㍢攱㡡敢㔴㑢㝣㘱昸㙥㐷搰㈴㤸㥣㤲㌷㜹ㄲ㤹㌱搱㘵捤㕦㠲挹ㄶ㑣〱摤㔳㤰愳摣㍡愲ㅦ㤴㙢愸㈲晥愹㍥ㅤ㑢㄰㌰攲㈹㌵㝦〷扤ㄵ攴㜶〴㐴㡥㍣慦㈵㜷㌰㕥晢〴㜲㈲㈱㐴慣㘷㤰〸扣㠲㈹㈱㑦ㄷ㜷搱扥攴㌹㈱戰㐷㡣㥤㜴挲昹〰㈸〷㐰㔲㡥户㜷ち㔶㔳㡤㈶㕢㕡攱㥥㡤㐵ㅤ㙡攲敥㡤攵㘹扤昱㥥㑤㡡㈳㡤㤲㔲㈴㕢㔵ㄲ捤戲挹ㅣ㜷㤲慡㔱愲戸ㄳ㙤愳戲摣愶敤㝤愷ㄴ㜹〳㡡㐹㘸㈶㘷晥慥㄰㡡攸㈸昳〴搲㜴摤搲㙦㥦㑤㈲愹愸つ敤㠰㌲㜵㔵㤴㌷ㄲ㠷〵捦攰敡㐹㑤㤷攳㌷昰昸㥥㌸㜹愱ㄹ㜶㤴㔸㌷挷攳㤲㤹㝡晤㠲〷㑢愱㙡昹戵ㅤ挲搶㔸㕢愴㘵㠴㐳晢戵〰搰ぢ㥥ㄴ㌳挶慣挸搰㐸㠶㉦ㄸ慣〸〶㑢㐵㔵㘹愱㡤㜰慢㕢搹㈵扥㥤搳㤶㈷ㄸ㔸っ㙢昳㝡㑤㑣戱戶㌵㍦㉥つ㕡㈷㐶㤱愵愶㍤戳ㅣ㐰慤㠷㤴攵㜱㑡㤸摣戴㉦搲㌵㠵㡢っ㄰扤㜱㙡愱ㅡ㈲扣摢敡㠰愷㠳㥤㠳ㅤ散㐸ㄴ㍥愱㠵㐶㈹㕡捣㈰摣捥㐵㤰㝦晡挴㈸㠴愹㉤捦㉦㑦愸㉦扥挸攷㍢㈷㜲㐹㈲㌶昶ㄸ昲捡戰㈰㠰摣㜴㜴㤲㕣㌴㥥〴捤㈳改㈶㠲㙢㌸挹愳㤹㌱㐲戳捦て㜱㤳㠷昱慣㔱戲㑤ㅤ㜷摤㐲〷ㅡ戵扥扥挷㍥攳㔵敢捤㥡ㄶ㜵㥣挸㙢搱捡㍢〲㕦㜲つ㌰攲愶㡣㝤㠹㌷攵っ㡥㔳㕣㌲㤱搴扦敤㙤㍥㡡收㈲攸搰㐷愴晥ㄸ㠴捣㜰捤㐹㔰㙣挳㕤〵摡㠸㝢摢㤷ㄸ攴〲ㅤ㐴摡㠶㉣捡戲戳戸㤳搷㡡㈴ぢ户愵慡㥤㙤㥣㙤搰㙥㑦㘵㥤㜶愲慣ㅤ㠱㈳慣㌳ㄲ㜸挵㈲っ㤲㍥戹㠳㥤㐰摡挹㥦摣㙢㥦㠸晦㐲戹〸〶ㄴ攳扣㍣〹攵戰慢㘰㈴ㅡ摤㐶摢昲㔶㡣〰搳晡㌶㘷〱ㄴ㐳挱㌴㙡㔱㌳㌲㜲收㤱摥摡挸戹〷戵㌲愲愴改㠰㉡攳㤴攳㜰摡〳㘹攰㈶ㅥ愶㤷ㅡ㔰㐲攱㍥戹ㅣ㤶摣㑦㥣㜴㜱っ㙡昸晢扢㌲ㄷ慣㄰㔷㘰扣㠳㕤搹㌳戵ㅡ㑤㕥昸攸㜶〴㔶㜱㝤㈳㌲㐹昷㜵㕤捣㤲㌵搱挶㍢搴㔵㄰㕦ㄸ㍣㍡㍦㜵摡ち慢㉢㡢攱㝡㜴㜹慢㕦㤲㈸晣ㄸ㍥㠹㑤㐷愷摤㥣昷㜸ㄹ㜵㡤㝢㕦扥收㌵㙥㜸㌲慦㐲挰㥢㝦戴㘴捤挱㐱㑥戲㥣晢つ晥挹㘳攴ち㝦㡤ㅥ户㌳㙤㜶搰㜶㤲戰ㅦ㜹㈲㘹㌰㠱㜴〶㥤挰㝥㙦摤ㅣ㈰㥤散敢愲ㄳㄱ〴扢㠴攲㕤㝤搳〸㐵晤〸㘸㈵戱㐴挷㜲散昹㕦㠰昵搵て㤱㐳㠴攳㍤ㄶ㈳㠵㜷㈱㤵㠱㍡ㄱ攴昱㌵て㕥ち昹晦㠳愵㠴㥢㌷㘵愷晦〵㘶㔶㝦搵㡤愲扢㠹愲㤷㌷愰㐸昱㉡㠸昰敦攳㐸㈴㑦㠱㈱摡搷ㄵっ攷㥡㜶て愱㙦昹愵摦晦挳㐳攸戹㤸㌸挴㐶㐳戸敤㕥扣户㑣㠴㠱つ㈶〲〳昸㘲㈲㥣㐷㐲㌱㤲ㅦ㤹〸戱ㅦ㘴〱ㄹ㕢㥢〸㡣敦㘵ㄸ㠲愹㜰㙢捡戵挱ㄳ搸㝥㤷㍥戲搳戸㝣慢〳挴昴愱戴㠲㌹㜸愵づ㙣捣㕥戰㝣换㍤㈸昹愷㝣つ㘵收㉦攱㌶户㌴㘱㡢㍢㌷㉤㤱㐶㥢昸㉢ㄲ㑦晢慥㑦㘵㝢㜷搸㠱愹攸㠹㕣昸慡愴㡡㙦挰㕢愲㜸㙥挸㍤户敦㝢愷晥昵搹㍦㍣挱ㅢ㙢㌱慤ㄶㅥ㐰扡㥦戰㍤敤〹〴㜶㔳㤷㐵㙥攷挷㌹攷昰㤹㤲戳㕡搷戳㤶㉦㔶㔰㘰扡㐹㌲㈲扣ㄴ㘱㐶挴户ㄳ㑣㑣摣㝤㠸㑣捣愹㉥㤷愷㝣摣㈴㙥挲愹搴挴挵慦㤷㠴づ㔵㑦㐵搶愷戵㔹昸㍥㔴搱敢㥣㐸愷㤵挸㔳㈷ㅦ愵扥搷慤敢㡥㔱搷㐵〷ㄹ㠶晥ㄳ㈹㠵ㄸ〴㈹㈴㝤㤰攱愵〰㤱㔲㡢㐸ㄴㄸ敢换㠸慥㜵㠷㜹改て搸ㄵ〲扡㜵昱慦捦て㔹戰㡢挰㘲攲㡦敦昷㐴㑢㕢㌴㔱㑤っ搷㡡㑤戳㠴㠴ㅣ㕥㤸㌱㥤攴㜶㔸㍡㍣搵㙥摢ㅤ挵㐱㐶摣㈸昸ㄶ㌱㜶挱愵慦慤散㍥收㌵㜱晢〳㝡愶㈸ち挳摢换㙣ㅣ㐸㈵㑥ㄷ㔵㉤㐷㔹㠴愳㔱戲搵㘸㈸㉥㠲捥昲づ攲㔴㡡〰㈰扦ㄶ㘲昹㘴扢敢摢扢㑢愸攳扣㐱㉣㤰㍦搸㕦㜷㘷㌰㌶㐶㈵挷㐰挲㙥慢㔶㈹扡㈲㝥ㄹ㑤挴捡㔷㘶㍢挹戱㤴㘲㥣㍡攱慣〱㘳㠳晥㘷〴㕢㌸敢㐹搶㘶㈸扢㐳晦㍦㡤㡣㉤昵扦㝡㠴㙤昱㌳㍦ㄲ㈷昸㔲㘰っ㘵换戰つ㜷〴㥥㙤〴㜰攴㘰㙣㑡㤲㘱敦㈸戵㠸て㔸愳㘲㤱攰昰㝢攵扢慦㐷戴摡搲戶ㅤ敡㈹〰ㄹㅦ㉡㝣ㅢ㈲愸㘷晢㑥戹挵摥昸ㄴ㍦ち戰敦㥣㔳昵ㅢ㐱挳づ㈷ㄶㄱ昸㥤攰昷㘷㌶㙣㥥ㄹ昵捤㙥愱㜶〸㍢㌱晣㌱戴㌹㝦〱〲晢扣づ摦慣㜸㈴愳ぢ摢㡢㘶昰㕢愴戱㔴㠸㠹摡㈱戸捤㝥愲㘹搵昱昹敡〵昸㍡㐳㘶敤〸㘵ㄷ㜹㥣扢㙦㘹㜰敢㜰㑦敢㜱昸㠳㜴㝤ち〱㌲㔹挲敦晤㍥昷戵㝢て㍡敢挶㙢ぢ㔸戳㍦㥦㕢戹昰㜵攰㜴㝢愳㜴㤲っ挷攴㔷挹㘵昳ち㈱㡣㙦㌸敡㈲挶戰㤰㈰㕡昸㉢㍣ち戰㝤户㉤挷ㄸ〷昵挷㥦㝡搳㍤㌶㔹㠷㔳㙤ㅢ㜱昱㘵㌴㔵攲晢㐳挲慣昲㉤昹捤㈳㐱〶㔵㉦㘱戱㘴ぢ愴㜳㐵つ搰㥢搶扦戸ㄹ慤㡦㈵㘲㕡昱攴㐱㈲㉤慢ㄷ㔱㤱㥢ㄸ㙤挶ち昳戰ㄹ㜲挲㐰摡㑣㕡㈰㥤㔳㍣㘱挸㐴扥㠰〶慤㠹㕣㐳㙥敦㠹㝣㙥戳㠹㈸摡〶㕣㕦㐷晦㘳㠹㙥㌱㍤ㄶ㌵〸㔶〹慥〳㡣㔲㔸㔲〲ㄵ愳㠰挳㡦㠸㉦㍣晦ㄸ晦㝤昵挴㑦㕦攱昳㕦㈷㤴㠸㐷ㄴ㜵㜴慥㈸ㅥ㘵昲㥦㐹㑦㍥㐴㙥敦挹㝦㝡戳挹㡦㔱㜲㜲㈶收ㅡ挰挸㠰扡㠲㍦戲㤸ㅢ㐸㜰ㅦ昹ㅢ戳〰攸㠱㌱㙦ㄲ慣ㄳ㍣㑢昰ㅣ挱㉤㠲攷〹㍥づ㔰㔶㠲㝤扥愶昷㝢㡣㔴㈰〳扤㠰〴〶㈲㜶㘴愰㍦㐰㈲ㄹ愸挰捤捡昸㐶㐸㑣㉣摥愷攴㘴㡡㤱㍦户ㄸ㈹搶㤲ㅢ㍢㜲㜷㠴㜸挱㤲昸搱㙤㑦慤㔰散昳愲㠰晡㜸㠲挵搳愷㤳て戰㡣㌸㙣〵㉡㡡㡣㕡ㄲㅢ㌷㔲㍤㥦㔴晥挱换㙤慦㉢ち昰㠰搴愲捡㈴㑡愹㝣㉢愹㝣ㄴㅦ㜷㐹㥤㥣ㄱ晤挹扤㥡㔴㈶昱㑡攵攷㤲捡晦㜹昴㘰慢㜲㐲戴㔱捦〵㔲㔴㠶戹㉣〷㠸搴㠷摥㍣㤷ㄷ㙣慡攰㈱㍢捡愶昰㤵攸㜳㕤㤴昰㌰敥㤴昸昸搴晡㉣慥㐸攱㈶〹攴㜴昴㝦㕣㌸㠳慢㔳昳㔶㘸攱㑢敡㌵挴慢㝤㔳摥搸戸㘸㕦昰㤱㌱㘸㥦〹㜰㉣慢敤㈸ㄲ㠱㐵㤱㡦昶㜷ぢ扦㝥㠶昵搹摥㡦㈴捥㘶昰㉡㑡㝦晡㐷㘲㌳㜹戵㥥㘰㌶昷㐲㥢㘶捣㑦〱㌹㄰愵㠰㑣㤸㝦〴ㄸ挵㜲㜸改㌹㌷㐶㘱㈱捣晤㘹ㄶ晣〹挱㘷〰捡〵捡㡢摦敥㙤㜶昲㔴㤹㝣㈷㡦愸㘱挷〷昱㡦攱〳昷㜵敥搰〰晥晦ㅥ〵戱㤱昳挶㠷晡敢㡢挴㐰昳㔶㝥㍥㔶昸〶晡攱㈶戴㠳ㄱ散㤱搲慢慣㈸ㄵ戹㕣㜵ㅤ晤㜳っ㕡扦㘵㐵㌹㈹搹慢㜱昶㝥挹愶攴㤴散㐶㥣㝤㐰戲㈹㑢㈵摢㡢戳敦㤷㙣㑡㔷挹㜶攳㙣㝡扥捡㡡昲㔶戲敢㜱㌶昵㐲㔹扤〰㐸收㉢㝥ㅥ㘰㌴昹㥦㡣㑣慣㠹㥦换㔰捦愰戲戸攷搳扣㙢晥ㄹㅢ晣㌹挰〰摣敥㉡收晣戲昹㈲㜲搲㤸愶戴ㄶ㑣㝦㠹〵㉦ㄱ㝣ㄹ愰㕣㈰㠵㙣㥢㔴戹㠷㝤摡ㄶ㕦㐱㔳㐵晡㘳ㅦ收㔷攳〴㕦ㄴ㠹㑦戶攳㑡扣ㅤ㔴㤱㈵愳愸㐸㤰㔲㔰㠹ぢ㡥㑢㠱㔲㈴㔲㈹昸㔸㕣㐰〵㙣㝥ㄳ㐰㜱㍦戸㈶昳㕢㝣攳㌶挸㠰摦㡥ㄳ㌲㈰昷㐰㥡㝦愴㙢㐰敥㡢ㄴ㍣摤㌵㈰昷㑡ち㥥㑡て昸ㅤ㜶㉡ぢ㐳愲㔳㙤㜲㠱戲摦㝦㠹挴挸挰㈸攷昶㈴㝥挶㑤㔵扤㔲扢㜲攵㔷愳昹㠹㍢昳㑦㍤㍡晣攲慢晦昰㡢捦晥散愳挷晦攳搷㉦扤昴戳㝦晢散㉢扦晥挹昲昱扦晢挶㌷晥昶挳㕦㝤攵ㄷ㝢敤慦ㄹ㉦晦敡散搷㙥㑤㕦扢㜵摤扥昴挰愹㕢㑦㍦昳挴昴挲㙤㤳〳〳㠳㠳昷㡤晦晤ㅤ昷㡦扤㜰晤㠷敡㙦晥昹㠰愷㘴戹ㄸ愰㜳ㅡ㕣戶㑣攳扢㐸㘰ㅡ㥣昱㕢㍡つ㉥㔷㌶敡㘲扣㔱戳挸㈸挱㙦挳〹㐸挱ㄳ㥤〵㐳晦〳㜳昰昲㌰</t>
  </si>
  <si>
    <t>㜸〱捤㕡㝢㡣ㅢ挷㜹攷昰戱挷攱摤改㘸㍤摣搸㤲㙤挶㤶㙣搹㔲づ攴ㅤ㜹㡦戴慡㜴挷㤳攴㙢昴戲敥㙣昷㠱㠲㔸㜲㘷㜵㙢㤱摣昳敥㥥㜴ㄷ㌴戵㤱戸㘹㤱搸㈸ㅡ㌷〹㤲戴戱搱㌴㐰㥢昴〹愷〹㡡戶㐰敢㌸つ㔲攷㥦挲㑤㠲㈲〸㤴ㄶつち昷㠱〸〵摡愲㜵㔳昷昷㥢摤攵㤱㍣敡昴㠸ぢ㜸敦昸㜱收㥢㙦扥㤹昹收㥢㙦㝥㌳换㠴㐸㈴ㄲ㙦攲攱㌷㥦㌴ㄳ晢㤶㌶晣㐰戵挶慢㙥戳愹ㅡ㠱攳戶晤昱㌹捦㌳㌷㑥㌹㝥㤰㠲㠰㔱㜳㔰敥㘷㙡扥昳㕥㤵慤㕤㔲㥥て愱㑣㈲㤱捤捡㈴捡㈹挳㑦㍥捥㐸收㘴㥡〴㔲㠹ㄱ〳㘴戹㍡㝦戶晥〴昴㉦〵慥愷づㄷㅥぢ戵ㅣ㈹㤵挶㑢攳攵改搲搴㜸昱㜰愱扡搶っ搶㍣㜵愴慤搶〲捦㙣ㅥ㉥㥣㕢慢㌷㥤挶㝢搴挶戲㝢㔱戵㡦愸㝡㜱戲㙥㤶㘷㑡攵㑡挵㥥㥤㥤ㄹㄹ㠲收㌳搵昹㜳㥥戲晤户㑡㘷㤶㍡捦㔶攷挷捦愸攰慤搲㈹愱ㄳ㉡ㄷ摣㤶改戴摦㈲愵ㄹ㕡戹戲愰ㅡづ愷㐳㈹捦㘹㕦ㄸ㐷户㝢っ㡤摣昴昸㥣敦慦戵㔶㌹戳㔵搵㙣㥥㔷㌶㠷㈸㕢ぢ㝥㜰捥昴㕡晥㐸㡢昶㔳㥥㙡㌷㤴扦愳㜵㝣扤愱㥡㤱愰㥦㙤㍤㘶㝡㘷捣㤶㑡㌳㌱搶ち攷㜰搱㔲敤挰〹㌶㐶㕢㡦晡敡扣搹扥愰㈸㤲㘹㥤㕣㜳㉣㤱㑥攳㍦㤱㝡㘰㔰捦昴㐴愱㍦慤敡㡡改〵㍡挷㈹㉣つ㤲敤㜲ㄷ㍤㡡㥥㝥搱愵ち㝤戵㌸㘷㑢㑥敢㍤捡㙢慢㈶ㅢ攱㌰て昵〹㘹〳㠵昳搰戱㔴㍣ㅣ捥㤲ㄸ㡥㤶〳挷挲㔶㡣ㅣ挸〳㘷㕣慦〵㠷㍣攵㔶搷㠲㈳挵挳て㍢晣慥ㄴて㥦㔶㘶晢㐸攵昰㔲㘰㉤愸㑢㐷㑡㜲ㄸ挲㜲㠴搵㐶㐱昶㍣づ㝢ㄷㄶ摢㑥攰㤸捤挲㐹搳㉦㥣㌷〳㈵㜷㔰㘸っ㐴愴慦㘲㌵㜶户挸晡挹㥡㤹慣搵㤳戵㐶戲㘶㈵㙢㉡㔹戳㤳戵ぢ挹摡㑡戲收㈴㙢㑦㈴㙢ㄷ㈱ㄳ㍦搹愱愱㘴昴㝣攷敦㜶㝥戴昰摡ㅦ㉥㝣昱㡤改攵搷晦攱ㄹ㔳㜰〱搲㐷㡣摢㐰ㅥㅡ㌸㠲㠹㜰〰挵昱㤹㜸〸挵昱㤲摣〹㜹戹㡢㌵㜷㠳㘴ㄷ㥣㐲搵㔵戶㉤昷㤰㝦㍢㠸㄰慦愳摦散㝢攳挱慡㜱昰㑦敦㕥㝣攱戹㑦扤㙦㜵敥㡤㡦〹㉥㜸摤攸㍢㤰ㄸ摣㘸㈵㙣㜴㘲扣㘳户攲㜸㐵摥㐱攵㜷㠲ㄸ㝢㐱㠶敡㔱㥢晢挸扥ぢ㐴㠸扦㡦摡晣㠳改㥦㜹攵慥晢扦戶昰散晣户晦晡戵换捦晦搶挸㍤㈸㝥㈴㥡戶〵捦扣㡣㠵戰戹挶㈶挶㡢晣扢㝥㜰㐱㙣戱㉢昶戴㕤㉡㔹㤵愲㌹㘹㘶㌸ㄷ㌷敡挵㜹挸㡥搸㡦㍢㙤换扤慣摤㝡摦扣改慢㑤㉦㍦ㄴ㤵捤扢㙢㙤换摦㍢戸㜰㈹㠰㜷摣搹㕦戶愹㘴㑢戵㈵㉣㝡攵敢昶敥敥慦昶㤸搹㕣㔳㜳敢㑥㔸㝣㔷㕦㌱㤶扣㕢扦㜶改〹㑦㍤搹㈹摤搲愳㌹散ㄲ㤷戴敥㉤愳っ㡢挲㝥ㄵ慡㉢慥慦摡扡㝢㠷㕡攷㥣挶㐵攵㉤㈹敥㌱捡搲㐳摤挳愲㈸敥ㅣ㍡摢挶㐰ㄱ㐹慣㝢扢戹昶昱昵㐰戵㉤㘵愱扦慢捡ぢ㌶㤶捤㝡㔳摤摥㈳ㄲ戶㠹㠲㍢㝡搸㈷摣挶㥡㕦㜵摢㠱攷㌶㝢㑢收慣㑢㈶㘲㥤㜵摡戵ㄴ㐲㔵㥡㑦㐲㈴㔲㈹㈱ㄲてつ㡡ㄷ搴敢㡦敢㠹攸㥡㘲㐶慥㜷昴扡摤昸㜹㡣づ愳㘸㉡晡㘴㜲晦㜵㤴㘹扤㔴昳攰戵〵扢挶挴つ㤹搲〷慦㉤慤晢搸㤹戹晦㕦攱㘴㜲㔷㌴晡攳㤷戰ㅦ㍣㙣戶慤愶昲戶㠵ㄳ㠲㍤㤲〵㤰捣ㄵ慣收㙢㕡㡦愱㑢慣㡢㡤捣㘵挷ち㔶㡣ㄵ攵㕣㔸〹挰〳攴挸㘶㘹摡㉤㡦扣ㄷ㉣㜹ㅦ挹㝥㤰㕣㉥㘱ㅣ愰㤰㤱㤳昷㠷昹っ挳昲捤敦㌴〴㌵㔲敦㙣㠰㈱㝥愶㜵挲昵晣㔴㙡搰㈸ㅦ㌶晤㤵㠰敥戹㙤㈱昷ㄴ昹〰挹㐱㤰っ昷㠲敢㙥㘴摣㉢搲摣慦㐷㕢ぢ捡㌶㠱㤲昴敡ㄶ㘶愶ㄵ㙥扣ぢ捡㙦㐸敥搰㡢㔸㉢敢〶㔲㔸晣㈳㉤㝡扦㕡てㄶ捣挰ㅣ㙡㘱慦挷㉣㐹〸ㅤ搲戵挲ㄴ㙢㡥㙡㕥㕣㍢ㄷ攵愰㈱慦㤳㕤㕡㠶㌵㈳搴㠴㠵㠳昵㤲㐸㐵㜴晢㐱愰敦摣㡤㡤㝥㐷敦摤戳〱㈵慣㤳慡扤扣戱慡㝣㡡㘷㡤㙤㑤搹扦扣愸散㙣愳晥㘸攰㌴晤㜱昴昴愴攷慥慤扥愵㝡搰㈷昹㈰㐸晣㘴扥〹㉦扥昱㌱ㄱ㙥て㕤攲摣搴㙡㜰㘵攴挸㤱㠴ち㤲摥ち㘵㙦攲㑢㍦昲㕤昸捡㙤㔷㤶愱㕢摣っ扥搱㘰扣〵ぢ㉤㝢㑡㈳戶慣捥挰摡愳慤挷㕤敦㘲摤㜵㉦搲㥦㜶攸㥣扦愲㔴㐰ㄴ㌴ㅣ愱㍥㡤敥㠴㐸愵㝡〰㑢ㄷ㕣㈲㝥㌲㑡㈰愳㜳㠰㍤戱㐶摦㤸〰㉢〵㍣㘶㑣㈲㔱㉥捥ㄴ㌴㉣挲㐲㔲つ搳てち敦㉡ㅣ㙦戸㠵攳戰㑢攱㘰㘹愲㜶摡摣㜰㙢ㄳ挵㠹挹〷ぢ㠱昲㠳昱昵愶摦ㄲ㕦㠷㘵㠸㌷挶晦收㑢㌳晦㌱昲挹搳㥦㥥㙦㍦昲ㅢ捦晤搵㙦㡡㔷愳㠲㉤攸㠷㈰㐶愳戱㈹㈴挴搷㈰㜶〵ㅦ愴㝢ㅦ㌹㠳扣㥣㈵㜹㌷〸攲㠶㥥〹㠴㡤ㅦぢ戳㠲㐰㠸愱㐳ㅥ㈱昹㜱㄰㐱㈰愴㐱摣㔱㈴攲㐷晣㌹昴搳ㅦ昴㥣ㄲ㌹㙤㥤搳㉡戸㌹戹㑤㤹㈰扣攲扣㑡摡㔱搲㜲㤲㔶ㄳ㕦㠴攲㠱〶昸愳愸㘰ぢㄲ㈳愰搲〶㌸挵晡㉦㐱散ち㍥㐸昷㍥昲っ昲昲㉣挹㌹㤰㉥〳㥣て戳㠲愰㑣ㅢ㘰㠹㐲换㈰㠲愸㑣ㅢ攰㔱㈴攲㐷㝣づ晡㍢〶㈰㡡摢㙡㠰㥦〲㌷㈷户㈹ㄳ挴㝡㠳っ昰㈲㤴て㌴挰ぢ㔱㐱㍦㉣捣ㄴ愰改㈶戶㜳㙤㉢晢㌱㐷㕤㘶晣搹㘱攳㘸㔳㕤昳〳㔷〷换㔱㝢挱㍤攳〶ぢ㡥扦摡㌴㌷㜶搹㔱攲昱ㄵ搵〶㤴昱㠰㘸晡㜸敥敡慡戲愴扤攴慥㜹つ戵戸昰㜶㠰㍡㌰〷愶㑥愳㥣愴挰㜳㙢扢㌷㠰戸㠰㤷攰㐹㘴戸攷昶〷㘱㝤挰敡〲㑣㍡㐹㜸㍣戶㘹搱㘵㈷㘸慡㘱㕢㠳ㄵ㥤捥摡戰㘲攳愲戲㠶散攵ㄵ〴愷㠵㔱晢愴攷㔸㑤愷慤㌸ㄹ扢㐳搱㔳敡〲戰攰㌹搷挷㜹捡㙤㡦摡换㥥搹昶㔷戹慤㌵㌶㜶昶攴昴晥㤷戱攷㥤戶㡦㘶昴㉣㌲㍤㘶㉦慤戸㤷㜱搱戱搶㙡㥦㌴㔷晤户挵慣㌰㕣㠴㡦㥥ㅡ㤱ㄴ挹愴挸㈶戳户㍡㍦㐶ㅤ摡㜶㠵挷扤〲晣㌴昰㥣晡ㅡつ愶ㅢ㘱㐴㐹㤳攸㌹㑣㘴㠸㤸晡㌷戰慥㈹散㐳㥦散㙢捦㜵挱㐰㈰搴戹㍤搲㘸慦挱㍡ㄶ挸㑦㥣㝣㜴㜱昳㕣昶㐳㕤晣㘴㠸昱㙥ㄸ〶敢㜰ㅤ扡㄰愱㌱㍤ち㉢ㄳ㥥挰㕣扦㕢收㙣㉤㐳て摤戱㤹㍣〱㈴㌵㘲㥦㌲敢慡㠹㝤慢㘵〶㍢挲っ㤱㌸㉥〶晣愸慣敡戶㕡㈶㕤㡥搷ㅢ㑢つ戳愹戲昶摣㕡攰㥥㜶摡搲〶搱㝥ㄹ戱捣㜵戰捣㜵捤ㅡ戱捦昳㘰愸搳搴攵㕥㌰㍤㈷㔸㘹㌹㡤㉣㌳㍣扣扤㉤㝣ㄵ昱㈳つ换挷㑦ㅣ㑢晡戱㕦㠸挰㌰摤攳㌸㉥搱㜴㥣㝥㜸㜴㔲ㄸ昸ㄳ户㜸㙥㐰攴搱ㅢ㡡戴愱㉤㐳㕣捥㔰愴㥦慢昱㤵收搵愷挰搱挱㐹㄰昶戳㔸㕥㠸ㄲ捣愴㠹扣户〵㤵昴搹摣㈹搷戴㑥㤸つ㕣㔵づ㐵ㄷ㤵㔹㑣㉤㐳㡤㤷㈷捣慦攲攴㠸ㄳ改㈵挷㔲㕥㤶㡣㈵㕣㡤愶㜹㐰㌰挲㌹〴攰㐹㈵㌲㤹攱散愰戶ㄶ㘳㕤晢㈳昰搴㝤昵扡戸㐵晦扦㍣㌲㜳㤴愳捤攵㔲愰㜲㠵挴〱ㄱ〷㐱㌸㥥㍥㠱㈷㈸㜰ㄱ㈴㐳愸摡㍦㌷扤㠸ㅢ戸㥣愸㉤慤慦昸㜸ㄶ挸〲㌷敢㐳㐴㐶て㘴戸ぢ晣ㅢ㈱敥捦挶昷㠶挶ㄲ扣㕣㔹戹㌰扥昲㤰挱改㐸㈶搳㤸㙡愳晦攲㘴㑢戳㔰搶㕡㔲晡㔴㈰㠸㠴㡤㈶挸㙥㉥ㄶ攸慦㍤改ㄴ㕥晥㔲㈱扣戸摣㠲㈲㜲㌹愹㠳㔹㑥㄰㈳挷ㄶ㈰㠰捥攵㌸㝤搲㈵㔹〵ㄱ〴㝦〵㝣扡㜶㉤㐱挴挷㥤㉢㘱㍣〹㜲愳㤱㔲㄰㈳㌲㕡㑡て㐴㄰㉣㌲〸㜵㥣㤲挷搳敢㍢㈵㐱愵㜶捡戵㈸挱㡣㈰戲㡣㠷搱㌵搳㤷挰㤶㤷㈹㐰搴㌹㐰㘰㥤〲ㅢㄴ㈰㄰攵㙣ㅢ敦〵改㔸ㄱ㌷㜷摢㕡昱攷㈰㥣挸㠹㉡㘸慣㥤摦㤱ㄵ摦㠷愴晣㜹㄰㐱〴㔹挰愷摢㡡㠴㡤愱ㄵ㥦㐲敡㠶慤㐸愰愹慤昸㌴ㄲ㠲㠸戳挷㡡敦〷攳晡㔶㈴㌲搵㔶晣㐰㤴搰㔶㈴㍣㡤㠷搱㘵挵㘷挰㤶扦㐰㐱㐲搷〱〲ㅦ愴挰㉦㔲㠰㘸㔶㕢昱㤷㤰搸ㄵ晢㘲㝤㝢㈳㝥〸戲㌰㈲㤱㙤慣㥣㐳㡡㡣昸㘱㈴攵戳㈰愲㐱挲摣㜳㔱㈲㠵敦っ㘳㔹晦ㄲ摤ㄲ㍥搳㄰捡搹っ愴㑢挱㐶ㄳ㥢ㄷ㤳㕣戲㘱㡡挱㈷㉣㐶㈰㜱㍤扣搵㐹昷摦慣㜴敡摥〳㔵挳扢晢㙥慤㜴㌵㤶㔸昸㘴㍣〰敡㙢搶攷〸㌶㡦戰慣挳挷昸㘵㤰摤愷㥤㠶攷晡慥ㅤㄴ㤶〰捣ち扣〵挴昰㡡㜳㤹㔵㘸ㅣ搸㈶〷㤶㙥昳摤挱㈵㥥㡡㜳ㄷ摢敥攵戶敥㑤挶攷㘵愸戶搷搰㄰㥢攱㌵扣㝥敥㠳ㄵ昳ㄷ㤰㘴㘵昹㉢㈰愳愹㍣㠳㈲攷摣昸〸挸㠱敡㝣昵㝣㙤搲㥡㉡摢㈵戳㘸愹戲㔹㙥愸搹㔹慢㌴㍤㘱㤶搵昴㜴㔹㑤搴愷㑣攳昹㡥㘸㜱愶㘲慢挹搹ㄹ戳㕥㥥㉥捦㤶㡡昵㠹搲㠴㘹㑥㑤㤷愷㉡ㄳつ扢㔱捡㍢㤱㝡昹慢㐸挸㡦㠲攴ㄹ㘵搹愲晣ㄸ挹挷挹㘲捣搵㉣ち㘸搱っ攳搴㡤㠶㐲㡥㐷搴㐵㐳㔸㐲愵㠷㠶挴㠱扥㙢扥㉤㈱戴㜳㑦㘲ㄸ㡣愰ㄹㅢ㘶扥戱㑡扤戳挸捡㜴㐶昹㈹㤲㕦〳挹攵ㄹ㐲搹㈱攳搷㐱㜶㔶攷㙢㌸扦挷㈷㝡㝡㥥昱㘹昰㐷挰搷摢〴摥㈹昹挶ぢ攰摣〶㑥敦㍢㈲攳㐵戰㜷㠰摤〵㈵昳㡣捤㝡晡㜸戶搵敦㑢攴㘷㤸攲ㄹ㑣攸昸捡摣㘷㤹挳㠷㝤ㄳ㡣慦㕣㉣攲愷㌱㑡扡㈸搲〹㐹扦愳㡢㠹㥦〴㠷㙥搶敢㈶㡣戲扡㥤摦㐶〲㙥挲㠸慡摤攴㜳㐸㠴㙥搲㌰愷ㅡ昵㐶㘹愲㕥㥦㉤㤷㘷㈶㑢收戴㌹㕢㥦㈹㔷㈶散愹攲㜴挵㥥㌴㍥摦ㄱ㥤戰愶㉢㔳㌳戳㘶搹慡挳㑤ㅡ㌳㌳攵搹晡挴㐴摤㥥㈹㤷捣愹昲戴捡㌳㔶㙢〷昸ㅤ㈴攴敦㠲攴ㄹ愲㌵敢昷挸晡㝤戲ㄸ戰㌵㡢〲㤲愲㠲㠱㤸慥㈲捥㘰〸㥣㐶㍤ㅤ㉦戱晣ぢ㈰戹㍣㘳戱ㅥ〸愷㐳搲昶㤲收㤶㉦㠲攴ㄹ愳㌷慤戹㡢晣㍦㈱搹〹㈲㥥㈶㘱敥捦愲㠴戶收晢㤱搱搶㥣㐷㘳㕢慤㜹っ摣慤搶晣〰㉡改㜶晥〲〹㔸昳ㄹ㝣㜱㈰挶换㈰愱㌵㘷换㔳㤶㘵㑤㑤㤶㈶愶㘶㘱㤱捡散㉣㉣慡搴㡣㥡㌶慤㘲愵㌸㘹㝣戹㈳㙡搹戶慡㑣搶㉢㘵㝢扡㔴㙥㤴愷敢愵搹㤹㡡㥡戴㈱㔹㥡㉡㥡搳㜹挶㙣㙤愷㔷㤰㤰㕦〱挹㝦㌰㘶晤㈵㔹㕦㈵㡢㠱㕢㑢㔱㐰㔲㔴㝣〸㐴㕢㜳慡摢㥡慦戲晣敢㈰戹晣㠷㐱昵㐰〶㔹昳搹戸㔰晢㈶㉦㍦攴㙢㈴㜷㠰攴ㄹ扢㜵捤㙦㈰㌱㥡捡㌰晣晣㘸摦㍡ㅤ㝣㝣㍡搴晦㈶攳㌸摥㑣㙣戰攷㈹攰挶㄰㙤愵㤳敦扥㌵㕤㡣〴㐳㔰挵㑦收㈱㡣晡㠷搰搳ㅢㅢ愸㤱攱㔷㝥㡢慡ㄹ晥㡡㠳扡戸摤换㕡〳㤵昶戴ㄶ㝤〴〹扣昴㕦㜶攷㍡㙦㡣㙦㡢㠳挷愱昸㠲晤挰㈶㘷慥敥攳愰ㅥ愸戸摡㔹慦㔳てㄷ搶搸㉤㔰㜰㠸搷昱㝢㌶㜳㕤㘸㜵敦㈶㜷戱敤攳搵㤱戲㘲㡤㍥㜰㑣㍡㤹ㄲ〳て㤰搱扢㘱挲㔳㙡挳换愳㐵㑢㘲〴㝢〷㘰昵㜹㈷搰㘷㕤㡥㔰㐸㙥㍤挶摦㤲ㅣ搹㝦㝣㝦㘹㍡㜳㍦㈶攲㠶摢攸㌵㍢㕢攴㐲捤挹㙦㠳ち㙥㈸戴扤㤰捦㠳ㅡ摦㈱㌹戲㝦〱㡤㠸㝢搱〸ㅢ愲㈷攵攴ㄵち㜱㐷㡡㔹㠲㍢ㄳ㌳搴㌶挶〰㥦挱㠷ㅤ敥㝡慥ㅥ㡤㌲挷挲敦㙣昴㥤㍦㌶挶摤㐰搷昸㔹昱捥㡦捣㘵扥晢㔴㈸ㄱ搳挵㐸㜲㜷昴㝤昵愸昸っ捡挶昰改扦挱扣ぢ㥤ㄸ㜸㠱户㉦㉡攸扦挲捤㝦ㄶ㕡昴㘲晢ㅥㄲ愳㈹挱㈰捥〵㈷敥㐴つ㝡戹㜶捣㝦㈴㠷㔱㌴㌴㄰㈳扢昱㍡㠹㥥㠵㔹㜱㍢〴㘳〳攴攴㍦㔳㥡㠱㌷㤴晥㍣〵晦㌵㤴㠶㌹㘷挵捥㐸㍡㌴攷昷㈹捤挸摤㌱㈷㈳㜸慣㙤散㈵㘴㙥捥㥣㕦㠸㙢っ㌶㘷攲搸㈷㍦挱攷昵愳攱昷ㅦㅦㄵ㡣攴㠳捣㌹㡡㡥づ㌴攷㐸㔴搰㝦㈱㥣攷〶愰捤昹敦㐸挰㥣㡣攲摡㥣㌹搴攸㤸昳㍦挱ㄵ慦㠰㠴〶㝡ㄹ㈹攳扦㐸戴㌹㘷㠴ㄱㄹ㈸昴捥㌷㈸晤㤵㡥昴㤷㈹昸㠳㔰ㅡ收㥣ㄱ挹㐸㍡㌴攷㥢㤴㘶攸敥㤸昳慢㔱㐶㝢攷慢挸摣㥣㌹ㄹ捥㜵㡤挱收㡣扤㌲㝤っ㜲㜸扥㝢㔴㌰㤴て㌲攷て晥昷ㅡ收晣㥦愸㘰换昵㌲㜷㠰敢㕤㉦㜷扤愰㘷愳ㄹ㥢搰㘹搸づ搹っ摡㠰敤㑥戳愹ㄱ敦〸㙥㠳㍣扣㈲㍦㠵㑢㑦摣〱攱㤷㉣ㄱ㤰挲㘵㈸て搷昱㝤㠳搴㌹㔶㌶散戳ㅥ㉥㈰㠶散㐵ㅦ㤷搵㔶ㄶ慦昸㠲〰扦㝥㜹㍢㕣ㄵ攱っ㤲收愴㈳㡣昱戵㝡㜲㈰晣攷晡ㅤㄸ㈰挳晢攳㑤㝢挴㙦扥㤳扣㐴扡戵㝢㙢㈳㠳〸ㅢㅦ㔳慤慥㙢搱戴昸㙦㑣㜱㠸㜶㥥㑥搰㐵昱㈴ㄳ㜲〸昲㐶ㄶ㈴〵攸慢㈱ㄴ㐸㑥㑡㜰挲㙢愸〳ㄴ捣㜰㕦散ㅦㅣて㘴㈷㌸晡扥昷搷挳挳ㅣ㜱晣愴ㄹ摡户摢㔶戸㈸㠶㕡㌵㤳㍦挶换戶㙡㑤搵扥㄰慣㜴㝥㠰㠷㥤ㄹ㉦挳攵㌰晡挳愶昸ㄱ㔷㐰愸㔵㡥㜴㜳扦〷づ扤搵ㄸ〵㜷戰〹晥㙤愰〹挶㌸㔶㥡㘰㜳昸户㤱挵㤱㙢㤲㄰㡣扥㌴㐱晣〸〶㔸摤㠵㕤㤰散㜴散晢㌱㜷㜷㌷㤷㠱㐸㜷㙣て戸㠳㍢昶㑦〳㍢昶㈳散㐵㙦挷敥㈰慢慢㘳㡣㘳㍤ㅤ㘳愸搲ㅤ摢摢摤〵捥户收敥敢攲㘶㌸昷㌷散㤸㤰㑤散挲ㄲ㡥㝥㍤㌹㡦换摡㐳㑤晥㜶㜲搰摤㕦敦摤昸㕤愸㉢攸㔱搴㈱敦㡥ㄲ捣㡣㜱㕥㤹挸敡搰挸昹散攴〴攷㠵㕤㤴昷㤰捤㈹挱㍦㝥㔷ㄱ㈵㤸ㄹ愳昹㤹〸敢搳散㥤㥣愰昹㜴晤㜷㤲㑤换戱㑣摥ㅢ㈵㤸ㄹ愳㤵㤸〸敢搳㍡㥤㥣搰摤㘶㡤晢挸㡢㥥㍣扢慦昷㤷晤㐸㘰㝦搱㥤㐳㘱慦㔴㈱㤶扡㍦㤴搲㕤搸㈲挵慥㘸㕤〷戵㔴㍥㙥㐸㔰户摥戴扥〵挷攰愶㌵㡦扡昰〴㐱㜵扡攰㥢㝤〵搴愰ぢ扥搱㕢㌰晣㝦搴捦㕦昰</t>
  </si>
  <si>
    <t>㜸〱搵㕢ぢ㤴㕢挵㜹搶㘸㔷㜷㌵摡㤷挰㠶㠶㘷搷戰慥〱㉦㡢戴㤲㔶ㄲ搴攰㝤摡づ㝥攱㕤昳㌸㈹ㄶ㔷搲扤㕥㘱㍤ㄶ㕤慤扤摢㜳㑡㈰㤰〲改㈹㠷愴㥣〴㤲〲㜱㌰㑤㈰㌸㐰㈰㠷㔰㑥挰㍣挲㈳㑤㤳昴愴㑤〹㌴㌹㤴愶㉤攷㈴㙤㈰改㈳㙤㕡摣敦㥢㝢慦㔶㉦慦ㅦ戸㍤昴挲晥晡攷㥦㝦晥㤹昹收扦㌳晦捣㕣㝢㠴挷攳㌹㠸㠷扦㝣摡挹㥣㍥戵㘰㔵㡣挲攰㔸㈹㥦㌷㌲㤵㕣愹㘸つ㡥㤴换晡挲挶㥣㔵㘹㠳㠲㤶捡㈱摦昲愵慣摣敦ㅡ晥搴㙥愳㙣㐱挹攷昱昸晤搲㡢㝣㜰敡㉦攸㈶㈴㑢挹㜶ㄲ收㐹㡤愴〳愴换て㌲㍤㌶扡㈵㝤㉤㙡㥡慡㤴捡挶㐰摦攵戶扤㌵攱昰㘰㜸㌰ㅡててて㠶〶晡挶收昲㤵戹戲戱愶㘸捣㔵捡㝡㝥愰㙦敢㕣㍡㥦换㕣㙡㉣㑣㤷㜶ㄹ挵㌵㐶㍡ㄴ㐹敢搱㐴㌸ㅡ㡢㤹挹㘴愲㑢挲昲收戱搱慤㘵挳戴㡥㤷捤〰㙤㙥ㄹㅢㅤ摣㙣㔴㡥㤷捤㑥搸㠴挹昱㔲㐱捦ㄵ㡦㤳㔱ㅦ昱づ㡦ㅢ㤹ㅣ〷挶㌰捡戹攲捥㐱㌴扢づ㘸愴攲㠳搰戹㕣㉦㡦ㄹ昹晣㌶挳攴㘰昴ㄴ戶㕢挶搸㥣㔵㈹ㄵ㌶敢〵愳慢㐰〰㡤戲㔱捣ㄸ㔶㑦㘱㘲㍥㘳攴ㅤ㙤换㕦㐰㔱㉡戵㤳改㉤搸㠳戸㈱㙢ㄴ㉢戹捡㐲㌷つ㙤搳㡢㍢つ慡昸ち敢收㜲㔹㑦㝢扢㘸㙦昷戴㠹㤵慤摡愶㠶捡㘹㤱攲㌹㠴㐷搴㡢晡㘶愱搴搹つ昶㌹㘶㕢㘶㉢㤷ㅡ攵愲㤱㜷慡攰㘰慥㙥搰㔳ㄸ搹㐳㔱〵换敤㄰〷㑡㜴㍡敦〶㝢㐳戸㠴散〲㤵摤㈰㕡て㠸㙦㑤晦㘸㝦㕣昶㔲ㄸ〴ㄱ敤㍦挷敢㔵㕢㡡㘶扣㈹摤㥢㑡㝢㔳ㄹ㙦㉡敢㑤ㄹ摥㤴改㑤敤昴愶㘶扣愹㥣㌷㜵慤㌷戵ぢ㍡敥攳敦攸昰㍡捦㔷㕦摢晡㤳昷㔶扣昵攱摢㍥昶愳㑤扦㌴慥扢挵挷㌷㉡搶慡ぢ㌵敦㤳ㅡ收ㄱ换㥡㉢捣昲㔵慥ㄹ㙡㔹ㄸ户㉡㕢昵㜲挱㍡扥愳㡣㈱㔶愳扣慡㔵换散㐱ㅥ戱ち㘳㌳㝡戹昲㍥㠷戹慦愱〶づ昳㔴慥攰っ㌳㉡㌹㉥㘳慣㥤〸㤸捦摦㔸摡戹戹㔴㉥㘰敡㔹ㄳㅡ㔸ㄳづつ㙣㌲昴攲㥡愱㠱愹㑡㜶摣搸扤㈶㌴ㄸㅢ搸㔸捡攸挴㜸㑤㐸㉥㐳ㄱ戹ㅣ㐴㍢㠹摣挶㕣搱攸摢戲㜵攲㑡㜹㌲㤳扦〱㈲挴摢昰っ㝡挷换ㄳ㍢戶慥敤㝡㘷昳扥搴扢慦㑤㜸敥摤㉦㌸㐷㜲㘸戵㔳㐰㘰戵戶攲㠸㔳㜱㌸收搶㍣㔴㕢敦愹㈸㈱㑦㘳搹搳挹㕤㠱ㄷ扢㙦换慣㌱㉦捦㘰昲㑣㄰㈱晥搶愹㌷㤹㝦昱攴㤷慥㝦㘲散㠱ㅤㅤ㙦っ扥晤摡ㅤ㠲搳戲慡户て捣慡昱敤挵㥣㠹ㅥ挳晣搸㕣㘵㑤㜸㘰㝤㑥晤㠶搰㠲㕣㜱㑤㜴㘰㤳㍥てㅣ攴ち㈸换戳㐰戴戳㐱㝡㔸愵搵㌷㙢㤴晢ㄶっ扤㉣晢㤹扢ㄲ㐴㠸搷㥤㝡扦戴㙥㜴晤敢搷慤㥤扣昹㥤ㄷ攷昶㕦搰㌹㈳戸ㄲ愸㝡㔷㠱㌹愹㕡㙦㕤㉤攷搰捥戹㈰摡㜹㈰㍤㔷挱戶搵㌷㕥捥攵昳㤸摢攴㙡收づ㠰〸昱㝤愷㤶㜷㜳〷㌶晦㌰㜰㜰晤扤捦摤晦搶昴㝦㝣攵㔱ㅦ㕦搴㈳㥢㜷㠸㐳摦搸㑣挹㌲㡡捡㐱㔷ㄷ戶收㌲扢㡣昲㤴挱昵搰挸㑥㔵昴㡡㜱ㄲ戳㥣㠹㜱昵㤶㈲摣ㄹ㔳㕤昶慣㕡愹㌹㌱㕦㌱㡡㔹㈳扢戵㕣〲㈰㤵㠵㘹㍤㥤㌷㑥慥㔳ㄹ挱〲扢摢㐰挶㈹㜵攲挹㔲㘶捥ㅡ㉢ㄵ㉢攵㔲扥㍥㘷㈴扢㕢挷㘴㥣摤㔴捡ㅡ㥥戶㌶㈱㍣摥㘵捥愴㌴戱ㅢ㔳敦㝡扤㤸捤ㅢ攵㈵ㄷ㜱挱㤹㔵ぢ攰昱昸㌸㜵ㅤ晤㈴换㤵㕤慡㌹ㅤ㉢戰攵㉢㑣㤶捡㔶㕢㕢慢㑡搷敢搶㑣㠵晤㕥㌲㤳㜳愹ㅣ㈴戹〰挴挷昹昳㐸收㜰扥㈰㐲ㄷ㘹㤱ㄱ㔹㘱㜴ㄴ㌰挷㙦摡㔹昶愹愵换㔷ㄸ㌷慣㡣攴摡戴〱㠳㌰慦㠱换捦㘱㐵㈳慣挶㝣㘵㕣慦攸ㅤ〵捣㝦〰慤〷〵愱户摡㌱搰攵㈶搵ㄲ攸㈶㘸㉥攸㈶㕣慢摤㡢〲ㄸ㕦收愶㙡敡愸摡戶慢㤲慡ㅥㅡ戶㌹㕡敤㔶㌲搷㘴挰㐹挱㕥㔰戱㌵挶㍡㤵挰戶㠴扥㌳㘲㐳挸搶㠶ㄹ㔷晤搸㔴攳戳㌴㝣㘸㈷㠰攲昴攸搷㤶ㅣ㤸晥ㄶ㔳散㤶㑣㝡㝢㈵㤷户〶搱㤸㜵攵搲摣㉣敤晣㕦搷㜷扣摡捤戶摢㑦㜰㙤晤㙦扦㤳㝥攷ㄲ㕢晥收戳〱㉤〴㔶慤昱〹㉤㑣㈹㈶㥢㠳㜶㉥㕣㜷〸㕣㈰㈰愹㈳㤹摢㥣戹㔴㥥㡦昱挲搱〴㈴㕣㈶扡ちㄸ㡣改戲愱㠲㉣扦㑡㉣捣ㅡ摤㠵㉢㑡攵㕤改㔲㘹ㄷ晤慣㐷愵慣ㄹ挳愸㌰㙣改㜴〲㌵昲㐲㠸戶戶扡攸愴㈶扥㘱愴愲㈵㐱扡㐷戰㡡戸ㄶ㉤敤㐲捡攱ㄶㄸ㝤敤㈲昰搱㔰愲㑦㉤㌴㤸〴㡣㡣㙥㔵晡捥敦㥢挸㤴晡㈶㜶敢昹扥㜳挲㐳愹㑤晡㐲㈹㌵ㄴㅡ㡡㥣摢㔷㌱慣捡攰㝣摥㉡㠸ㄷ㥤㜹㝡昷㡥㝤摢㝦㜱昷㘵敢㍥㜹昳㌵㥦㥤㕦昷㤵㕦㠹ㄷ㥣㡣挶㘸愷敢㘲搴㜵㤹搳扥昱戲扥〷ㄳ晦㘲扣㍣㌴ㄸ攲㝦㠷摦㈸㘰㥦㘰挶捣戸ㄹづ㘷㘳㈱㍤愲晢戸㔴ㅦ㘹愸挲㈱敡㌲慦挸ㄵ戳愵㍤㥣慦慤搳㐷㜵㠴换搵㔰㘶戵㤳㌷㕡㥡㉢㘶慤搳㕡㘷慡攵攳搴挶扣㐵㈳㑤挵愶㄰挰ㅢ㤶慡敦捣挶㘲㙡㑥ㅢ㤹捦搹搹㘷㌴㘴㈳㝡㉦愵て㥤㍢㔹㌶慥慢收㌶戵挸㕥㥡㤸摦搴㑢㍢换㙥搷晦㡢㤵ㄲ扢㡥㜶㍥ㅥ㘱慦㤹攷㌵㑣㙢㉡昰㔷〸て慡㠱愸ㄹ㘲慥㤵ㅦ慡㜷扢挱㙤㠸〳戰摥攷つ晡愴户㜱㡥㙣㌴愶散搲捣戹㠷慥㤵㍡㑥㌴挱㙤㌶戵捦㌹戴戶㙡㘳㜵攴晥㜷㤵扤挷ㄸ㕦㐸㑥㥢扥〳㜸㥢て㠹ㅥ㠳㍥㌱㉦ㄶ㝣㝢㜲搹捡㡣㌶㘳攴㜶捥㔴㈰挳㐱㠲摦㑦㘸㥢ㅥ㌹〲㤱ㅣ㈵ㄹ〳㐱〰愳㘶㕡㉤㈰㈷散愴㘰搰捤㤸㐶㑥㤲慣〳昱㌱收㍥散㔶㠱㈱㐷㍢㜷㐴摤㠸ㅢ㑣ㅤ挷つ敡搵ㄲ晡搱㐷ㄳ挷㙦㠹㠷搷搶㉥散㑢㜷〲㙤攷㘲愶㌵㝡㔹晤慥〸㕢昲散㍡愳㌸㡤㘵挲㍡㥥敢晦昱㕣㡦攵㝡昴挳㝤㝣㑦挲㠵㡥扣㑦㠸㠳㍣ㅤ㔸㜹收㡣㔴捡攳㘷て㈹㤱㙡ㅢ搶戴㈸㙦㐴㔶㘰愹㍣挱慤ㅡ㘷㝤挹㠵㔰扢っ愴つ晢㑡挹㜵㑦散㍦搴ㄲ昶戰㤳搱戴戳攳昶㑣㙤つ户戳晣㐳㔰攳晢〱扥晥㤱㔷㈰㉤慦㈴戹ち愴挶换㍦㘲㈷〵户㜸捡换㝦㠷㑡㔷㠳〸敥昰搴敥㜲〷ㄸ昷ㄱ㝢㘱㥦〰㉡㄰搴㥥戰〹㠴㌴㤴〳㜲㠹㍣㜱㈶㌴慡㈰㐸㠲㘰〳昰ㄹㄸ收づ戶㘹つ晦戴㤳搱戴挵㕣㠱戲ち〰ㅥ㜱㠸㍢愱搶ㅡ㠰〲敢㈸㤲㤴㐰㙡〰戸捥㑥ち㙥㌸ㄵ〰㘵㉡㔹㈰㠲㕢㑤〵㠰㥡㐲㤰攰㈳晥〰㜵㔴〱攰づ戵㌹㌴㥢㠷㌴㈰㤷挸ㄳ摣挰戶〲攰㐶愷㥦㑤〰摣攰㘴㌴敤㜵戹㡦㔵〰摣〸㐶㕣㝦㐸〰㙥㐲戶扣㤹攴攳㈰㌵〰摣㘲㈷挵戹昸㔵〰摣㑡愵摢㐰〴㜷挱ち㠰㑦㠰㜱ㅦ㌱㔷ぢ挰㜹㄰㌷〳㜰㍢愴〱戹㐴㥥攰摥扡ㄵ〰扢づ〵挰戵㑥㐶攳㌶扣㥤㥢扣㈵㜷ㅣ㍣つ〸㙣㉣改搹㐹㍤㠳〳攱づ攷㌸搸㍦㔶㉡捣㘲戳㔶づ㜲㐷㌹㠶摤㉦㘲㥢摤戹慣㔱昶㔳㌰㠵愳攸㜶敥㐵㌵㌵㙤挳㈱摡摡㍣㍥㕦愷扦㔵㕤ㅢ㕣㕢晤捥扡㕥㝢搴扤愱挹晥捦㉥㑢㕣搲挶㔶〵ㄸㄲ换捦㤰摣〵㈲戸㔷㘵㝦ㅡㄴ敥愶挲㘷愹挰ㅤ㠱慢搰〹ㄳ㠱〰攷ㄳ昹㌹㤲㍦〶昱㜱㡤㍣㡡㔸㐴搵㙦㕥㥥㌳昶㜰晥敥㌱敢捥㙡扢捤昱搲收㔲㘵㍣㘷捤收昵㠵㘵愶挳㕣㌱㘳ㄴㄱ㜲㤶㜱㜰搱㈰㉢捤捥ㅡ㔹㘹㑥㤵收捡ㄹ㘳挳昸〷攲㐴〳㜸㜸戰㈷挱慡攷挵收㐴ㅣ摢搱〶㡥㠱〴戰㔶攷ㅢ㈳㌰㜸㐴〱ㅡ摤扢㜷ㄱ搱改㕣㈵㙦㜴㥡㉡搲㔲扣摦〴㡡㌸〶捡㜶㤸搳㌳搸㜱㡤㜷㥢敢捡戹㉣捥㥦っづ挶㜲㕢㜵愳戱ㄳ㐷㍥㕢㑢㔶㡥㈷㠱摤收㜴㔹㉦㕡昴摢㘲㘶攱挴扡㤴昲㔳㥦㌹㥡㉢㕡愸㐶㥤戸㤳敦㌵愷㘶㑡㝢攰㤰㜳㠵攲㍡㝤搶晡㐰㡣ち㔷て晢㔱㐳㈳扣挲敢ㄵ㝥慦晦㔸挷㐷扢〷搶㑥挶挹㘶㔱ㅤ愹昶挱㔵㉢攵㕣㝡㡥㤸愹㝡昸攲戴㤳愸㘱昴昸ㄸ昱㌵挶〰㌵㘱㜶㐳昴捣收搶㥤㘹户㍣㤹慡摥㘹㌱㝥㤶昷戲捣㝤㈰ㅦ㕥户㝤挳攲扥昲㝤㕤㐲昹挶㘰敦㠸挳㜸㠶㈸㍤戶ㄷ㌱戴愷㔳攱攵㠴㌳㌰搵攸㤹〱㔳改搰㐹㝢ㄶ搹㐹ㅣ㙤㜵㤹ㅢ昵戴㤱挷㘶扣愰㔷㝡散〴㜷ㄲ㌸扡戶㥣㍣㑣㝦〵㥤㕥挷㡤敢㔴㐶捦ㅢ㝥㜳㘴慥㔲挲㠹慢㌴㐱㤴㙢㍡㈲㝤ㅥ㈲㝤㕥㠹扡捣㙤摣搸摡㌳㉣㙣㤵㜶敡攵㕣㘵愶㤰换昸㤹攰收昳〳攱慥㤸㐲戸戵㜰ㅦ㜷㍡㘹っ㥦敤㐳㉣っ昷㈰戶㝢㠴㡥挳て愷昶ちつ晦㠹㘳摣昷㘰昲㔱㉢慣摣ぢ㙢㍥㉦〸㘷㈳昵扣攳㕥戴扥昳㔱㐸搴晣㈴戸㙦㘱戶晣㠲挳㌰㈱戸㜹㜱ㄷづ㥡㜰㤶㥥晢挱捡㝤㔴攰挶愶㠵挲〳㔴昸ㄳ㄰ㅦ㐳攸挶づ搷敦〴戰㕦愰攷户昳㡣愸㥤挷㤰㝥㥣攸愸愳㔲㥦ㅡ攱捥㥡㜳㐷捤㍥㜲昴扢㌷㐶摡ㄴ㕣挷挸〶散㜹㡢㐷愹散愳搷摢づ晣戴挶搳㤴愶㙡㘱慣㌰㘵愸摤㡡㘰㠴慥㝤ㄱ愴㡢ㅥ〸晢㈹㕥㤶㌴挵㈸㌸㔷㝢㄰㑡㥥㠰㘰捣敥昶扣㡦ㄲ㝢㔵㝥〸慣晣㌲㠸㘰㙣捤㜵戵㘶ㄵ㄰っ愸㐷㈸搳ㅥ〶㌹㡡㤹㐷㌰ち攷散㈳昷㠳〸㠶攳㝣愹慢㠳晣〸昸挳て㌲挳㜶㌵挸㡦㍡㡣ㅡ㘴挶敥㙥㑦㙡〶昹㌱㠸攵㔷愹挸戸扥㠵挲攳㔴㜸㠲ちっ昵㌹搰摡搷㐰慡〰昲㌰慥ㄵ㠰㑦㐲〹〰愶㐱㕤慢㝤㤴搸〰㝥ㅤ慣㝣ち㐴散〲㘹〴㤰〱戹つ攰㥦㠲㍢〳ㄳ㜶愶㙣㔴㡣㍥攷㤲攸戰㌳戸㈸愲㤸挲昱㘹㌰㠲㔱㝤ㅤ㡥摦㠰攰昰㌸㌲晡㔷㌸㍥攳㌰ち挷㌲ㄲ㙥㠷㙡㜰㝣ㄶ㘲㜹㠰㡡摣ㅥ戴㔰㜸㡥ち捦㔳㠱㍢〶㠵攳ぢ㘰㑥㜶ㅤ戱攱㉡㉢㡣㍣㐴戵〷昱愳ㅥ戸攴㌷挹〴〴㌷㄰慥晤㍥㑡㙣㐴㕦〲㉢㕦〶ㄱ㌷㠲㌴㈲㝡ㄳ㘴㈳昸昳㘸慦㠰ㅣ〳愲摣ㅤ㈸㐴㕦〵㈳戸㑤愸㐳昴捦㈰㌸㍣愲户戰㉣晥攴户ㅤ㠶〹㜱㉢㠸摢㈱ㅢ搱㌶敡晣㌹挹㜷愸㜰㕢㙢㠵敦㔲攱㝢㔴昸〴㠸㐲昴㉦挰㔴ㄱ㙤戸戶㙢㠱攸昷愱づ㐴㙦〷㜵ㅢ㜰ち㈵㠱づ㔰昹㤷㈴㝦〵ㄲ㘴㄰捥㌶㘹㍦〰㔹㌹㌶㍡戶㉤㘵㠶挲挳愱㑣㌴㥤㑤㈷戲搱㜸㈸愶愷㈳搱㘸㌴ㅣ㡢㠴愳愱戴㘹挶戵扦慥慡㠶昵㑣㉣㌲ㄴ搳㐳搱愸ㄱ搵㠷愳挹㠸ㄹ㌶㤳㘱㐳捦㘴ㄳ㌱㌳ㄳ搱㕥慢慡㥡戱㑣㕣㑦㠴㠷ㄳㄹ㝣㕥ㄲ㌶攳挹㘸ㅣ攷挶愱㙣㜲㌸㠱〳攴㐸㌴㜸ㄷ㔴ㄵ㍡㍦〴㈳㕦㈷㜹〳㈴㜸户㉢晦ㅢ㡡㝥㐴昲㘳捡戹㌱㔰晡搴戲昵㔹㌲昸㌹㄰㜶㔲㝢ぢ愴㙢㙣㌴愵㈶攱㙤㌸㘴搶晥づ㤲敥㤴㍤搷摡㡢慦昶ㄳ㠸㠲㔰慡摢〱㘸㝦て㘹て愴㌵昱㤰昶て㤰㜵愶㄰〱㘰㜶㘷㑣愱晤㈳〴㈷㐰愹晥㝢つ敤㙤㠸扢㔵戵攵㤱㙣戶㙣㔸㔶㤰㕢ㄴ㠵㍢㌷㥡〱㍦ㄶ戶㉥㌰㝥扦㜲㤸㥦㠲搵㝥〶㌲戶敡㈳愱挸ㄲ㌷〰愱㐸捤つ㠰㍡晣扦㕡㕤ㄷ㑣㘵㘶㡣散㕣摥㔸戵㘲㉣㈱ㄸ㝥㈹戳晦攴㌰㠴挸户ㄷ愴㜱ㄱ㙢㕡戵戹搴〷㑣慥摦㔳㤵㠵㍣㘲㈶戲敡㠲捤ㄶ㘲㘷㘸㘷㈳愸㉥㤵昱㠹㔳㝢攳㠱㘴戵散挵㌰搵戹扣攱戰㔷ㄵ㘳捥㝤昸昳㥤㠸ㄹ攰㤰攵搹㠳挵挳㈷㤶攱愳晤ㅣ㘴昹愶㕣愶㕣戲㑡㘶愵㙦ち㕢㠲㍥ㅥ㥥㥢ㅥ㑦㘸挴ㄷ㠴挵㤶㜵戲㘳敤㐵㝥㍤戳㥢攷㔹㠱㕤挵搲㥥愲㙡㡤捦攲ㄵ戴挲慢愳㠳搵㜰ㄵ㔵捦搹㐰㌱昸〵戰㉣㉣摦〵改㙥ぢ摥㡦ㅦ扥挶摡㉦㐰散㤷㈵ㄶ㑥㐶戳攱㔰㈲ㄲつつ㐵つ㈳愱㈷㤲㝡㌶ㄴ㑦㐴㡤㔸㐲ㅦ㑥㐶戴㕦㔶㔵㈳㐳㠹㐴㈶㍣ㄴ㡥挷㠶搳搱㜸摣搰㠷㠶㘳㈱㌳ㅥ〹ㅢ㤱㘸㍡㥥㐹〴昷㌹收攵扦㠰㤱晦ちㄲ㘴ㅣ挲ㅡ攵扦㤱晣㍢㐵㡣㑡㤴愸慡攵攳㡡㝥愴挱〲晢攳㕥昴戶㜷㜴㌴㝤㐲搴ㄴ㘴搰搷搵〹愷愶ㄱㅤ㥦〶㤸ㅢ敦晦㕢ㄷ慡ㅦ㐵ㄶ㔶㘰晥ㅡ㡣晣㉦㤰㐰昰㈱㐷愶晤㌷㤸挶ㄷ敥㍤挸㑥挴㡢㠴㜳㐲昷搲㡣摥愸㜱攱愸㝦慦改昱捤㙦㘲㤰㔱㡣慡㜱ㄹㄸ㜵搲愶㍥㈵㤱晣㍡㑦散㠷㑣つ扣㡦㈹㈴昸愲㠸㐷㐰昶㤲昹捦昷づㅥ愴㡢㠲昷㐸晡ㅤ㕤㑣晣ち㔲扡㔹扤㥢㌰ㄸ㔱昵㐸搸㠱㥢㍣㠶戴㜲㤳〰搲戶㥢っ㘳愲挴㉤㔹㍡㥤㠹愴昹㜱㕤㍡㥣㐴㉡ㅣㄹづ㘷㡤攱㐴㌲慤㜵㔶㔵昵㘸挸搰攳搹㜸㘶㈸㤹㡣愶つ㌳㥤ㄹ捡㠴㌱㤷挶㈲戱㑣㈶ㄹ㑢〴ㄹ搲㈸〷攸㐲ㄹ搹つㄲ㝣摣ㄵ昵㔰搴㑢搱ㄳ慥㠸ち㤲慡㠲㜱ぢ㕤㐵晣㌳扡挱㘱戴挱㘱晥㜲㤰㐰㤰愱㡢㤲㜱㌸㈴昱㤷〴㐰ㄲ㥦攰㔳㙥收愹ㄴ㕤㐴㜲ㅡ挹改㌴晤㌴㌸晣㝡攴ㄹ㑣㠱㔱㘸㌲ㄸ搹换㥣户㕡愲昹㘶㑢㌴㥦㐱〱搵㠸ㄵ戰〳㌴㥦㐵㕡愱㜹ㄶ搲㌶㥡㝡摣㌴戳昱攱愴ㅥ㡢㈴愳㐹㌰㘶㌲㤳㌰㐲攱㠴ㄹ搶㈳挳㤱㤸㜶㜶㔵㌵㤶ㄸㅥ㡥㘶㘳㠶㌹㘴っ㐷ㄳ晡㤰慥㈷ㄲ昱㙣㌶〶㕤ㄳ挳ㄱぢㅥ㜰捣换㝥㤴㤱㉢㐱㠲捦戹愲摦愲㘸ㄵ㐵捦扢愲慡㤶㘰捣愲搰晣㠱㠳收〹㄰挸搵㉣㌲〰ㄲ〸㌲㙣㌹㈴㥡㉦扢㤹㉢㔸㑡愱㜹ㄶ戹㈸㡡㡡㔷挱攱搷㈳㘳㑣㠱㔱㘸㌲㄰搹换㥣㙦搵愰愹挵㤱㝦挸㌹㔱扣搲ㄲ㘲挶㈸慡㘵㐹ㄴ〶挴㡣㐷ㄴ挴ㄷ㈲敤〶〱改㐴㌴ぢ搸攲昱㔰㔴㡦㠷昴㑣㌲愱㐷㌲挶㔰㌶㤹挸㠶㘳㘹敤愲慡㉡摣㌲㥤〹㠵㠶㠷㠶㤳改㘸㌸ㅢ搷挳㜱攰㡢㈹搱捣㈴挲昰摤㈰㈳ㅤ㥡㤷扦㡤㌲㜲つ㐸㤰〱㡥ㄲ㕤㑣搱㈵ㄴ㌱摣㔱㈲㉡㈸㔵挱㈰㐶㐱晣㑣㉤挴㘳捣ㅦ〷〹〴ㄹ挷戰㈳摡〴㤲慤收㡡㐹挸敢攷㡡㜵㤰㌴捦ㄵ摡㝡㠸ㅢ㈶愰㈰〳㈴〵㤳ㅡ㥥㜳㤱㤲㤷㐲㑤㥥〳捥挷㔸㈳搴敡㘶戱昱㥢挱摡㡦㉡㌵ㄴ㍡愹戰挱㐲㌴㠲㡦㜳愷㑢㈳搵て㍢㑦㜰愳㤴搵敥搷㐰㉢ㄷ㈵㈳㘹ぢ攷㔸ㄵ挳㉤戶愵㕣㉤㠷㑦㕥戰愴㈱㘳㌵扦ㅤ㍡㘹㌱㔵戳改㍣㙤㔱扡愱㘸攱〳㉡㈳敢㕡戴戰〱㙢昷戶㠹昳㕢昵挴昹㠰搳づ㜹㕣ㅢㄳ挵戹㐲㈷扡㜱㕡㡢㈳摦搱㕣㐵ㅤ〶昹㤱㉦㈴㈳㑡㙤㌳〰戳㍦昴昰㍤㠶㐱㍣扡㝡㔰戶㈶っ㘰慤㝣〲㜲㉢㌲〴㈳㐴づ㠲㤰㡣㐷戵㙤㜶㐵ㄳ晤㜱戱ㅦㄵ戱㌲ㄶて挸㘹㉡扦㔱㔵㘶㐴慡㕤㙥㉢㑦㐲昹㐱㐷㤹慥ㄷ㤰㔷㔲㤹㠱㈶换㔳㈴ㄸ㜰扡挶挴㡦㥤〴㝥㍣攲愷㈰㐱晣愹㉢㉤㜹㈱㌹㍡㡡搸㠷愲㉤㙦㜳敥㜷㌲ㅡ扦挸〸㌲㔶㔳㡥戶〳搵㜷户昹ㄸ㙥㕣搴㙡㐴搴つ昸㘰㑤㔴扡扡昱搳戸〹㝣敡戶挰㠶户攱㄰摦㍥㝦㘸昷㕥㜸㙣戶搴挹ㄹ㑣㐹晣昹昶愲昱敦挳づ㍡㔶㌳㤴戴昸㥢戴㝣つ昱㘶㈰㘳㡦㈴攳㉡㉤つㄹ㕣㘶戲㍦敡扢〷㤵戶㍣昷㜳㕣㤳〷㈰㜴㜴㝣摤户㈱㕢㕦〵扤㠵搳㘶㐰㌲㐳㌰㥡戲敢㘰㐰愶㤹㜶ㅤㄳ晤㔱㜱㌷敡㘰㍤戶〳捣㔰㤹挱ㄶ㐵㙡摡㘵搰攵收昷晥ㅡ〹ㅦつ攰慦收㜱㍦㙤昲慣戵㠵换㥤摦て慤敤㘵愰搳愲㠴慤㠷㈳㜵㐷搳㉤昹收㈵愲ㅤ㑤㔸昴慢换愰㘹晢搵㥤㘸㔱㑢扦晡㈳㈷愳昱㥡㌴攸㠳㈵攵㔷㐵㌰摤㙤㠲昱〹㝤㑢㝣ㄲ㈵㌸愰㙡っ㘶㈱ㄵっ㄰㙣㝣ㄸ戴㘸㘵㄰㡣挱㐴㝦㐴晣㈱昴摣晥〷㘴㠵捡っ㈹㙣㘵㠶㉤摡㙥㕢㜹ㄲ捡户㌹捡㌶昲昳㔴㘶㐸㔲〵㤳愱㠹㙢慣㜷ㄹ换愱㌹㐷づ㈶挳㤴ㄶ㈵㘰㐳㍤ㄷ慦戵㝦〷㥤㕦捦㕡挱攸愴ㄵ㤸㌷愳愱㉤挱扣挹挹㘸扣㜲つ㌲戲㔱㘰㕥て〶㘰㌲㍣㔱㘰摥㠸ㄲ㔵㌰㙦㠰㔴昴㠳搸昸㌰㘶搱㍥〶愲ㅣ㍡㉥㝥捦挱㠷㠶〲昲㘶㉡㌳攴戰㤵ㄹ戵㘸扦㙦㉢㜳ㅥ㕢㜰㤴㙤捦扣㤵捡㡣㐸㠸ㅦ换ぢ㐶㈶㔵㌰ㄹ㜸戴㠰愶搱㌳晤づ㌴挱戵扤㡣㔲㔴㠹慢挵㡡㑦㡤昸摥晣㈸㙣攲㜱㑢㕣戵㔶㈵㍤㐱攷户㝦慤㘰㜰搲ち捣ち㕡搴ㄲ㑣换挹㘸扣扥つ㌲戰㔱㘰摥づ〶㘰㌲㄰㔱㘰㕥㠷ㄲ㔵㌰敦㠰㔴㌰㘸戰昱㘱㜴愲㝤㡡㠴戳㐳㌸㈴ち㔰㜶搱〸挸㍢愹捤攰挱搶㘶㠰愲㝤摡搶㥥愰㜶捥搱戶攱扣㡢摡㡣㍥㕣〴〵愳㄰搷㕡㉦㠳㡣愳㠳㜳摣㉤攱挲㜹摦扢て㕤戴昲㥥㐷づ㍡扦づ扣㌵㜰㌲㤸㘸〵㘷搶㐱慤改㌶㍣攳㘴㌴㕤〶㜳㐱㕣㙡㐱收敢搸㔱㐸改晣搷㐷晥㐲㉡㙦ㄴ㜷㔶㘶慡晦攲〸㐷ㄳ昸㑥㐸摥ぢ㈳挴㠶㡦㤸㐶㠲㔶攵㝤戵㔲㉥㡦㑡晡昹ㅡ愹㡦慢搶攱㉥㕦㙢扥扤敢㠵㝤㥦挹慤㕣愷㘹㡢戹搰攰㘸〱ㅦ愱慢㕤㜹ㄷ㉥㑡捡昸㑥㥣〷搸戸㙡挱扦㐴㜰㡥㔸㜰㔵挸㈳㜲昷挲㕡慡㤴㍡㡢㌱户㤴㜱㠳摤㘱㙥戰㜰㤰㤳昵攳㜳攴㑡〵晦㐸攵㠳㜰㡢㠲㜳㤲㜶ㅢ㔶晢晥愴攵ㄱ挵挵挰愴攵㐲㘷慦昸㡢㜸戸ㅦ戵㜹㜹扦㜲㙣户扡摡㕥㡣㔷捤搱㝤戶收搲戰㕤散㠰㡦搹㕢摣ㅢ㍣〷改ち㜴ち㜹㍦㡡㘸晢㐰摡戰ㅢ㔷㕢ㄲ㤰㠰㝣〰ㄲ晢㤲㈶㑣㐵摦㌵㐸㌷昶㡦㕦ㄴ㑣ㄲ㠰㠶慦搳㍡㍢搹㘹昷挱㜷攷㡥㙢㝤ㄱ㑣搵つ戹ㅣ㉢㠷晢㔲慤㤴换ㄹ㥤㑥㝢㄰攴㤰㍤戹扣㘵㑦扥捣㜲て㠳搴昷㘴㍦㈴㌵㍤ㄱ戳㐸戳㌷敥㈳㉡㐸愸㤶㍣〲愶摡㍥慥㜰㑡晡㘸慤昴㝡㈴㔴晢ㅥ〳搳㝣㈲㕤ぢ戸㔷㙣㙥搹捣挷㔱㔲戲㤹㡢㘰㝦㡤㈲攲慣㠸㐷摣㠰㜴㕤ㄳ戹㥣愸挶㍣〹愶摡㐴慥ㅢ㑡晡昵㕡㈹攷㕤搵挴愷挰ㅣ慥㠹㤳㉤㥢昸㌴㑡㑡晡挴㘲ㄳ扦㐱㔱㑤ㄳ敦㐰扡慥㠹㥣愳㔵㘳㥥㘵㌹攷ㄱ㥣㡢㤵昴㐰㡤戴昷㕥㈴㤸收㙥挲搳换㜹㘸㌱昵昹摡㤴㡦摥㜹挴㙦て㡤㉣挳㍣攳晣㥢捣㔱㕣戶慥捥昳㕦㘴戶晡挲愵晥㙥晢㌹搶㑡㥦愷つ昹扣挳㌰搱㑢慦㈵㘳㌷㤶摥㕡㑤〹扡ㅣ㥢㈸㕦愰㤸㥥㠶晦㍤昲㐵㠷㘱愲㤷㕥㐵挶㉥晦㘸㙤㑡搰ㄷ㔴昹㙦㔲㑣㌷挰晦ㅥ昹㤲挳㌰搱换㈱㈷㘳㤷攷㔰㔷㔳㠲〳愵捡扦㑣㌱挷㠸㜹昲ㄵ㠷㘱愲搷ㅤて㝦敦〱愶昱昸㠵敡㉥㌸昹慡㈳愲㌸挸㙥慢愵晢㕢㘰戰㜴慢㑥㌵㘹戱㜳㑡敢摢戶㤶㙡㝡㤳ㄶ扢愰戴扥㘳㙢愹〶㔲敢扢㐸扢㑦㤰つ㔵㕡摦㔳㕡㐱户㌹㠲㉤㔰㔱挳〵㜰㔰㐶つ愳㈸攳ㄷㅥ挱㑡㔵挶㘰㐳〶敢㔱ㄹ攷搷㘷〴摤ち〵敢㔰ㅡ〳昵ㅡ㥤晦〳摡㈷扡㌴</t>
  </si>
  <si>
    <t>㜸〱捤㕢㙢㜰㘴挵㜵㥥ㅥ㘹慥愶㐷搲㙡扣て㘲㝢〱ぢ搸昵㠲戵㠸㜹㑡㈳愸つ㝡敥㈲戳散㉥㉢挱挶挱慥愹㍢㜳晢慥㠶㥤㠷㤸㝢戵㉢戹㔲攱ㄱ㙣ㅥ〱㍢㜱㘲愰㑣㐲〱㜶散ㄸㄳ㡣攳㤴㌱㐹〵㉦攰㈴挴㐹㔱戶ㄳ扦戰㑤㈵戱㝦戸ㄲ挷挶㜹㔲㈴挱昹扥扥昷㡥㘶㐶㈳敤㈳愴㡡慢扤㘷㑥㥦㍥晤㍡攷㜴㥦搳摤㜷㐳㈲ㄴち晤ㅣて㝦昹㜴ㄳ㌹㜷㙥挵㜱㔵㘵㜸慡㔶㉥慢愲㕢慡㔵㥤攱㠹㝡摤㕣搹㕦㜲摣㉥㌰ㄸ昹ㄲ昲㥤㐸摥㈹扤㕦㐵昳挷㔵摤〱㔳㈴ㄴ㡡㐶㘵㤸戵昸㙦㍣㐸㐸㤶㤲㈴㑢㜰㠵愴〱搰搷〳㌰㍦㌵㜹戰㜰㈳ㅡ㤹㜳㙢㜵戵㝢昰㝡慦慡㍤挹攴㜰㜲㌸㌳㥡ㅣㄹ㑥散ㅥ㥣㕡㉡扢㑢㜵戵愷慡㤶摣扡㔹摥㍤㜸㘸愹㔰㉥ㄵ慦㔶㉢昳戵㘳慡扡㐷ㄵㄲ改㠲㤹挹㈵㌳搹慣㍤㌶㤶敢㡢愲收〳㔳㤳㠷敡捡㜶摥愸㍡㈵敢㍣㌸㌵㌹㝣㐰戹㙦㔴㥤㌱搴㠹㉡愷㙢ㄵ戳㔴㝤㠳㉡㡤㔰搴搹㘹㔵㉣㔱㈷㑡搵㑢搵愳挳攸㜶㡢愰㤱ㅡㅤ㥥㜰㥣愵捡㈲搵㍢愵捡攵挳捡愶搸㘴㘵摡㜱て㤹昵㡡搳㔷愱晣㔴㕤㔵㡢捡搹㔴㤹㔹㉥慡戲捦攸㐴㉢搷㥢昵〳㘶㐵㜵ㄳㄹ愸㜸㍡㥣戵㔴搵㉤戹㉢晤㤵敢ㅣ㜵搸慣ㅥ㔵㘴㠹㔴昶㉤㤵㉣搱摤㡤㝦愱慥㕤㥤㝡愶ㄵ㠵晥㔴愶ㄶ捣扡慢㔳散㑢戲ㄳ㙦㤳戹攸㔱戴昴㡢㈶㌵搸㔶㡡㍡㥢㉢㔵慥㔶昵慡㉡戳ㄱ㙡㜲愸㡤㐹ぢ挸搳㐳㐳㔲挱㜰愸㈵搱敢捦〹㡥㠵慤ㄸ扤〰㤷ㅣ愸搵㉢㌰挸晤戵愹㈵㜷㑦㘲昷㔵㈵晥㈶戳㠹摤搷㈸戳扡㘷㌴扤㝢捥戵愶搵昱㍤㈹搹〷㜶搹捦㠲㥢㠸ㅤ㉣㤵〷て搵㑢㐵㈵〷㤸㡣〳㠸敥㥦㘲㈲㌶户挳㈶挲㜹㌳㥣㉦㠴昳挵㜰摥ち攷㔵㌸㙦㠷昳㐷挳昹㠵㜰扥ㄴ捥摦ㄸ捥ㅦ〳㑦昰㐴㝢㝡挲晥昳昴㐳慦㙥搹㝡昳昰昴愷㙥搸昶攴ぢて晥㈴㈲㌸昷昴搴摤っ㘴㔷挷㝥愷㠲㙥〷扤㑥捡㉤㘰㤶㕢〱㡣㙤〰摤㝢㈶㔳㘹㜹づ㘹扦〰㈰挴㡦搰㘱㜶晡昵㍦㝢挷㌷ㅦ戹攱ㅦ愷㥦晡昶㔵㡦㝦敡㥥昹㈱挱㐹慥㕢㝢ㅢ㤰捥㔲㑡㈵㠲收ㅡ㔲捡捡户戳敥敤〰挶戹〰㥢昶㤹㑥慤㕣慡㉡㕦㔴攷㌱昷㝣〰㈱晥摥㙦昹扤㕦晦昲㡦㜶㝦敤捡〳㜷昵㘶㕥㝢攷捦扥晡㠸攰捡愲㕢ㅥ〴戲敢扡㙡挹㠶㡡摡ㄵ挴愶㑢搵㍤ㄹ晣㤸换㝢戲〹㜹〱㤸攵㠵〰挶㐵〰㍤昳收昲敥挱㥤㠳㜲〷挹㍢〱㠴㜸挹㙦昰敥昱攴㍢㕦扣㘳搷攴㙤捦㝦攷㝢㜷摢晦㈴晢㜶㈱晢㕡摦㌸愶敢收〹㑣户搵㤹㥣ㅡ㑥昰敦搴㑢ㄸ㔶㌰㍢㙢㡦摡挹愴㤵㑤㤸㘹㌳㐲㝢㌹摤戹㐲敢改戳㡦㤴慡㔶敤㠴㥥㍣攷㑥㥡㡥㕡㥤㑢㐳㝥摥㘴㙤愹㙡㌹摢㍢㘷捥戹愶慢摥摥㥥户㕡挹㥡㘲㜳㔸㕡㤴愳摢㍢扦扤搸昵㘶㜹㐹㑤㉣㤷扣散昳摡戲戱戰搴ち敢攷敥慤慢㥢ㅡ戹㙢㝡㌴〱㠷㜴㕣搷扤㘶㤴㕥㤶搷慦挱愹㠵㥡愳慡扡㝢㐳㤵㐳愵攲㌱㔵㥦㔳㜴㘷捡搲㐳摤挶㉣㝦㜵ㅢ㍡㔸挵㐰戱㕥㔹ㄷ㌶㔳敤㤹㘵㔷㔵㉤㘵愱扦㡢慡敥慥捣㥢㠵戲㍡愷㠵挵㙢ㄳㄹ㙦㙢㈱敦慤ㄵ㤷㥣愹㕡搵慤搷捡慤㌹ㄳ搶㜱ㄳ㉢慡㜵㑤捤㔲㔸㄰扢昹㠴㐴愸慢㑢㠸搰扢㍡慤㑡慣搷ㄹ搶㡡㘸㔲㌱搷挷户戶㥡摤昰㘱㡣づ愳㈸㉢摡㘴㜸挷㈹㉡搳昵戲㥡㑢搶㘷㙣ㅡㄳ㝤㍦戹㉦㕥㥦㕢昷戱愱戹晦㕦收㜰㜸㡢㍦晡㤹攳昰㍡㔷㤹㔵慢慣敡ㅢ㐶㉥㠲㍤㤲ㄷ〳㐴扥㠵搹扣慥昴戸㔴㡡㘵戱ㄲ㌹㔱戲摣〵㘳㐱㤵㡥㉥戸愰㈱扡㠹㐶㈹摡㌵㡦㝣ㄷ㐸㜲㠸㘰㌷㐰㉣ㄶ㌲㉥㈵㤳ㄱ㤳挳㕥㍡挲愵晦捣晤ㄹ攳㈷愹晤㈷㠲ㅤ㈷㔲搹㕢慢㍢㕤㕤㥤㐶㜹㤵改㉣戸㌴捦つ㌳改戹攴㘵〴〹㠰〸㝤捦㈹摤㈵㤹扡ㄹㄵ昴㔷愶㤵㙤㈲ㄶ搳戳㕢㤸㤱㡡攷摥愷㤵㔳㤴㡣〳㘶㌱㔷㤶つ㘰㤸晣㝤ㄵ㕡扦㕡㜶愷㑤搷散愹㈰愲㠰㤶㈴㤸㠶㜴㈹て㘳挹㝥㑤ぢ㑡挷晣ㄴ㙡㠸㙢戴愹㤶㕥㑤昰㙡挲挴挱㝣〹㜵昹㜰攳㐱愰敦昴昹㐶扢愱户㐶〶〸㔸慣㝤慡㍡扦戲愸ㅣ戲㐷㡤つ㐵搹㍥扤㔸搹挱㘲攱㍡户㔴㜶㠶搱搳㝤昵摡搲攲ㅢ㔹て敢㤲㐹㠰攰㠹扣〸㉢㍥晤㌱㌱戲敦㌹㑥摤攴昳愱㈸㙢㈳㐵敡㜰㠴搶㡡捡㝥㡥ㅦ晤挸㉣㝥㘲ㅢ攵㐵攸㜴捥㈴㡡㘲㐸搰㔷㠱㠴收敢㑡挷㠵㔱㥤㠰戴晢㉢㐷㙡昵㘳㠵㕡敤ㄸ敤㘹㤳㑥㌹ぢ㑡戹㡣戵㝡晤搸㔲挷㤰㐲㜴㜵戵〴㐸㑤㐱ㄹ愳㌴㘳っ愰㝦愲㕣ㅥっ㙡㜴㡣换㐱敡㐲搴㘷㕣〱㈴㤳挸つㅥ㐱戰㍢㠸㠹愴㡡愶攳づ㕥㍡㌸㔳慣つ捥㐰㉥㠳ㄷ㈷㔳昹㙢捣㤵㕡㍥㤵㐸愵㉦ㄹ㜴㤵攳づ㉦㤷㥤㡡昸㌲㈴挳㌰攷㥣摣摦扣㔶㜸昵摣㜷㝦捣扡扦扣昹㠱愷㉦ㄲ捦晢ㄹ㙢愲㉤挶㑤㍡攲晢㐵㈰攲㔹戰㜱挵〱摥晡挸㜱愴攵〴挱㈴〰搶つ㐹㑤㘰搹㤸昶㤲㠲戱ㄷ㤷づ㌹㐳戰ㄷ㐰㌰晥搲㐱攳㍥㈰挱㈳扥㠸晡㘹て㕡愷っ搶㜴㑤㈰㌴㕡㤵㔷㠳ㅡ㤳ㅢ攴〹㐶㜵搴慢愴ㅣ㈵㈵㈷㈹㌵昱〴慡改㈸㠰㍦昰㌳搶〴㠰っ攴戴〰收㔹晥㌳㘰敢㉣㠰敢搹挶ㄱ㠲㕦〲㘸ㄲ挰㉦㝢㐹挱㘰㔰ぢ攰〶㌲扤ㄷ㐰㌰っ搴〲㜸ㅦ㤰攰ㄱ㡦愲㡤㠶〰ㄸ㍤慥ㄵ㠰〹㙡㑣㙥㤰㈷ㄸ㕣㜶ㄲ挰〳敢〹攰㝥㍦㘳㑤ㅣ㝡〱㙡搲〲戸ㄱ㠸昸攸扡〲㈸㈳㕢㔶〸慡〰㑤〲㔸昴㤲㠲㔱愹ㄶ挰㑤㘴慡〳〸㠶愵㕡〰づ㤰攰ㄱ昷㌴ぢ㠰㘱散㕡〱㥣〰㌵㈶㌷挸ㄳっ㜶㍢〹攰戶昵〴㜰慢㥦搱ㅥㄷ㐷攸㘷捦㈰㥥改㘵㠷敤敢㑢敡〴ㄷ攰㑤㌶㜶㤰㔳㑢㡥㕢搳摥愲摦㥥慥ㅤ愸戹搳㈵㘷戱㙣慥㙣戱㝤攴挸㠲慡㈲㤶慢㈳愴㙢愳搵ㄶㄷ㤵㈵敤戹摡㔲扤愸㘶愷摦っ戱ㅥ挶〷搵改㌰㉦㉣昰㥣㕤昸㠲㥤㠸㠰㤵攰〹㐵ㄸ㜴戴㝢㈱扤㡦㙤㡡ㄸ㌵㑡㠵づ慣㑡㜴扥攴㤶㔵慦慤愳㌵㡤㐷㙤㐸ㄱ〱戲搵㘳捦㉦㘰㜵㥥敥户昷搵㑢ㄶ㜷㕥㔴挶㔶㡦㜵扦㍡㡡㘰昸㔰捤㈹昱挸愰摦㥥慦㥢㔵㘷㤱㝥扤戸戲戹㈵愵〳㠰㠸㍤㔹慡㍡㘸㐶㙢㤱昸㠰㍤户㔰㍢㠱㐳愵愵㑡㜵㥦戹攸扣㈹戴挲昵搲㝢戴㙡㐴㔸㠴挳㈲ㅡ㡥㥥慤㝥㡣㕢㔰摢ㄶ㙦㝦㍤〸㍢㜵敢愵挲ㄲ〵愶ㅢ㐹〱㜶ㄳ㘸ㅤ㠶㈲っㄹ摢㍤㜸㤳ち摢挲㙦昶戵攵㔴愶㘳㈴搸㌸愹搳攱敥慤㉣㜳ㅢ挰扢昷㕤㌷扢扡㌱晤㍦㥤慦㐵㜶愳扥搳摥〷搰攱㙣昲㑣㠸㝢〳㕡ㄴ㘶㈶㉣㠱愹㜶戳㡣搹㥡㠷ㄶ扡㘹ㄵ摤㡢㔰戲捦摥㙦ㄶ㔴ㄹ㡥扢㘲扡㥢扣〴户㈲㌸㝦㜱晣扣愹㕡愵㘲搲攴㜸㡡㌴㔷㌴换㉡㙡㑦㉣戹㌵散昵愵つ愰敤搲㈷㤹换㈰㤹换㥡搴㘷ㅦ收捥㔸攳慣慢㜶搴慣㤷摣㠵㑡愹ㄸ㘵㠲扢搷㌷㠵慤㘲晤攰摥㈴㜸㠲戵愴㍤昸昵㐲㔰愸㝢ㄸ晢㐵㡡㡥敡㠷㐵㠷㠵㠱㍦㜱㤶ㅢ㈷慣㍣摡愱挸摢㔱㕢㈴っ挰愵㐸㍦慦〴挷挷慦摣っ㡡㕥㥣〴昷㍤捣㤶ㅦ昰ㄱ㈶扡㉦〳搸㌰慡收〶㈵戶扦㘶㕡㝢捤㈲㑥㠴㝢晣昳攰㈸㔴换愵愶ㅥ攷㍥㘷ち㕢㘷㙣挹㡦㤷㉣㔵㡦㤲㌰㠷㘳攸㙥敥㤰っ㑦㠷㠸昸扡㐲㤱㐸㙦戴㔳㕢戳㐱㕤㍢晣攸戱昹㤸㝢㜶㑤晤㍦扥㌶㜷㈵㐷ㅢ㡢昱㔸㐹㝥㤰攰づ〰㤱〰攰㜸摡ㄸ敥㈴挳㕤〰ㄱ挶敡敤扡㘹摤㜲昸ㅢ㤳㙥㝤㤲捡捤㔰ㄴㅢ〷扤㡢㡡攸㠱昴㌶敤㝥っ㙦攳ㄳつ㡥㘷㡤㌹㔸戹戲㘲摥晡捡㕤ㄶ搵ㄱづ㜷㐳搵㐶晢挹搱㥡㘶㔱㔹㘵㑥改㙤㤱攰㔶挰戸ㅢ㈰捥挹㠲晡昳㍣㥤㝣敥愹挱捣㥡〸㈲ㄶ㤳昷㠰㌱ㄴㄳ摣㈰〴愳㝦㉢㈹㌱扤户扣ㄷ愸晣㄰㠰㘰攴换ㄸ愰挹㘳㠹㜱㈴改戵㐲挶㠷〱㑥㜷㤵ㄴㄳ㘰收㑡㈹㝦〳㐰㑣〲㜰〱㙡ㄸ攴㐷㠰㥦摡㈰ㄹ㔱㙢㠳晣㉤ㅦ㘱㐲㌰慣づ㠶挱戹攵て攳户㠱捡㡦㤲㠱㈱㜷〷㠶晢挸㜰㍦ㄹㄸ㠵㔳搳挶〳〰摢〲〹攲攴㜲㜰づぢ搰扡㘲晣ㄸ戸㈱㐶挶攴㐱昵っ散晤昶ㅦ〴㉡㝦〷㐰㌰㝥㙥ㄷ㈳㠳㘶㑦㡣扦ぢ散戴挵挸㌰㕢㡢昱㈱㈰㠲昱㜶㡢ㄸㅦ〶攱搴㘲㘴㕣慥挵昸㠸㡦㘸㌱㌲㌸て㠶搱㌴㔹ㅥ〵㔹㝥㥣㡣っ摣㍢㌰㝣㠲っ扦㐷〶挶昲㕡㡣㥦〴搲㉣㐶敦〰㜸㍤㙢晣㝤㜰㐳㡣㈶㘰㔰晤㘶㔲㍣㙢晣㌴㔰昹ㄸ㠰戸ㄱ愰㕤㡣㘵搰㍣㌱㝥〶搸㔶晦慣昸㤴㑥㕢㌰㕡搷㜲㝣ㅣ㠸愰㘳㙦㤱攳ㄳ㈰㥣㕡㡥㡢㉣㡢㔷㝥搶㐷戴ㅣㄹ攳〷攳㘸㤲攳㤳㘴晣ㅣㄹ敢㥤ㄹ晥㤰っ㥦㈷〳户〴㕡㡥㝦〴㘴㑢㘰㡥晥㠱㌶愴㤸散㌴愷扦〰㕥㐸㤱摢㠳愰昵㉤愴㜸㔲㝣ち愸晣㈲㠰戸㤵㠰愹愷㝤㠴㑢㘲㠴づ愱㝤㥤㕢攳㠳昴攴戲改㡤收摣㤵㌲㈲〰愲㕣昷㍣㡣㉢㜸㑣搳戰ㅡ搷敡戸㠶散㙥㍦㥦㙢㤴摤㠵昶㝡户戶㥤㝤敡㘲捣戹㡤㕤摡㡢㕤挹扡攵㌹㠲搵㠳㄰㤶攱㘳晣〹挰搶㙢㑡挵㝡捤愹搹㉥㘶㙦ㄵ㔳ㄸ㘷摣㜶㈸㤴㤸㠸㑣愳挶㡥㙤㜲㘰摤㔵摥㜳ㅤ攷搹㑡散㔸戵㜶愲慡㝢ㄳ㜱㜸愴慥攵搵搳挳㘶㘲㜸昵㜳ㄱ愴ㄸ愷㘳㘴㘱昹愷〰晤㕤㜱㝡ㄶ敡摣㜸〶㘰攷搴攴搴攱㝣㌶㔷戴ㄲ昶㐸㈲㘹愵㡡㤹搴㔸㘲捣戶ち㈳㈳愳愳㈳戹㐲㜲㔴㈵戳挶㤷ㅡ慣㘶㍡㤵㈸㈶搳㘳㐵㑢愵㌳㈳挹㔴捥戴㤲㘳挵散㘸㉡㤳戱㤲㠵㑣㍡㝥㠷㕦扤㍣〹㐴㍥ぢ㄰扦㌳㈰㍤㐷搲昳㈴搱㜱戱ㄳ慢㕣㤱㝢㤰㍣㕤㝦挲昱㠸㠲㈸ち㑢愸敥㥥ㅥ戱戳敤戰㜸㡤ㅦ㙡㥣戶ㄹ〶摤㔰攴㜲㠸昹昴ち戵㙡㤱㠵㘹㡣昲㉦〸㕥〰㠸挵改㡢搸㈱攳㉦〱㌶㑦㑤收㜱ちㄴ㥣ぢ搱昲㡣慦㠰摥〷扡昶戵戸晦㜴㡣扦〲㘵ㄳ㈸㑤㠱户昱搷愰扤〵戴搶㍢捥㌸㥤㥣㔶摦ㄵ㐰昴捤㥥㜷挷昷㔵㈴㠵㜶㔴愴㝦㡤㈹扣散㥢愰愳扡㥤挸㌰㐶㐹ㄳ〵ㅥ㤲戴㍢㥡㤸搸つち捤慣搵㑣攸慥㜴㍢摦〰〲㌳愱㙢㘲㙤挶㌷〱㍣㌳挹㘵㙣㘵㡥㘵捣㜴搱ㅡ挹㘴戲改㕣ㄱ㜶㘳㘵散搱㐴慥㌰㌶愲㌲挶户ㅡ慣捡㑡搹戹㘴㍡㤷㌰㡢㔶㈶㤹ㅡ㌱㘱㉥愹挲愸㤵㔰㠹㐴㝡挴㑥ㅡ摦㙥戰㡥愴㤲ㄹ搸㤴捡收ㄴ敡ㅡ㐹攵㐶挶搲㜶搱㑥攰㠲摤㉡㡥㡥ㄵ攳昴㡦㕡收摦〱㈲㕦㈲昸㉥㐰晣扥㠰晥㍤㤲扥㑦昰㌲改昷〷㜴㜲㜹晣㉣㈹攸ち㘹㘴攲㝣っ㥥〶愰㉢晤〱㤹㝥〸㄰㡢㍦〸愸㐵㐰㐵㑡㙡㑤㔲㔱㤲㥡㠹搳㑢敡捣㉢㐸摡㑡挰戵㑢晥ㄸ㐰㘸㑦挷搴㍦㌳㠵㤷㔵㡢㠷〱㙥㈷戲ㄹ㡤〵㝡㌰㝥ち捡扡昳㕦挴挱扡㔶㌹㡦愰㡣㙥晣㘷㐰愰㥣㐷昱愳攷昰扦〰昱㤴㠳摢扣愴㘵㈶㜲㜶戶㤸捣㐰挶㘶㈲㘳㈵㐶㜲捡㑥愷戲㔹㌳㥤㌵晥戵挱㥡㐹慢㡣戲㐶愱ㄵ㤵捣㈴㌳愳戹㠲㘹㘶㐶戳㌹搳㔴挵㕣㌲㌹ㄶ晦戸㕦扤晣㌷㈰昲摦〱攲㥦〸㐸晦㐱搲㝦㤲㐴㝦慡攷㌰ㄹ㌴慢愰㥢搴㈲㌶㥡㐵晣㕦捣晦㙦㠰㔸晣搳㠰ㅣ㠸昱㍦〰㥤收捡敢愰户捥ㄵ㕡敦摡㜹㘱㔰捣㙤㔳㈸晥ㄸ㔸戵㤸戴㡥戶㈳㈵扢挰愶慦㝢挵攳㐸㔲㌵㌲〲㐸㐴敢㠸㕥昴㜶收扣昶晡慡㡥㈴㜵愴攷捡慢愰慥㔵挷㘷㤱愹摢㤱愸〷敡愰摦搴敡㠸㈱敤愹㐳㘵挷㐶㜳㤹搱搱㡣㍤㠶〹㤰㌰㜳搹㤴戲㡢改摣㔸㌶㘵㈵ㄳ愳㌹愳户挱㥡挰挲ぢ昲愸㙤㡤㐰㘷㘳㠵挲㘸㌱㤵㑡㘵㜲戹㠴㐲〵㠵㜴㥣ㅥ㔹ぢ扡て㘵㘴㍦㐰㥣㡥㔸㤳㌶㤱㌴㐰搲攷〳㔲㠳㑢搰摦㙡㜵晣〴挳愰挵㠳て㘶换㈲㕢〱㘲㜱扡㕣㍤㄰慡㐳㔲昶㤲攲㤶㤴㑦㥣慥㜸㔵㥡ㄷ㤲扥㥤㐵㉦〰ㄶ愷㘷搶㤹攷㠱搴摦ㄵ愱㜳戹愲㙤ㄵ敥㝣挲㌰搴㝥摢㌹㠳摢换ㄵづ愶ぢ㕢㉢㙦㐳搲ㅤ扥晣散敡攲㍡ㅦ㐵㔵㝣㈳晦挰㔱㥦㝤㍤ㄸ㔸㤳晦㘶㡤敦挰㉢摦〱㝡攴㈴戰㐴愷慡㌷晡㙣挴㐰愱㙤㤵㔹〷㉥〰㥦ㅦ捤搷㈶ㅡ摦慥扣㈵㜰つ㐳挱㈵摣捥㔵捡㐴〱㕦㈷㉣戹㉡㈸㜶戰摥㈸㠷㑢㉤挴〲挸ㄸ攲㤵摤戶搵㔴搳㠶㙥晢㉡㜵戶敡攰㝡㔹㔹㐱㡤づ昶㌶摤攱㉥搱昱㡣挵晦㑡㠵㍢㌸搶㠶ぢ收㔹㡢㉥㘳㝢㠷敤散㘴挹搵挷㐱㍤挸ㄷ昲ㄹ㐰攳〲㠸挹搸戳㘳㝡㐷㉡ㅢ㜹ㄹ㡡㌸敤㌶㕡挵捥ㄶ㘹ㅢ㌸㑥㐶㠶㜸ㄶ攸㐹扣㐲㝥〹搰搸改㌵㌲㠳㐶挴㑢㘸㠴つ㜱㕡挷攴㉥㜲㍦〷㤴㈴㔶㈰㥥昷ㄳ捣ㅦ愰晢㡥攰愵㑡㥡㥥㔷慥昴ㄳ攳摥㙦搴晦㡤㡦て扣〰㡡㉥昱㍥㜱挱㐷㈶㈲㝦㜷戳挷攱挳㤳㠵㜱㡤㡤ㅦ昶㝥㐳愱㜱㐱てㅤ挷摢㝥换昱つ昴愸攳㉤挷摦晡ㄹ敤搷㍣㜱㝡㜷㍤搹㉥挵愸晡扢〴㕤㌴㈷㥣昸㍡㑡搰捡戵㘱㕥挶㈱搳搳㥤㘴㤶愴摦㌶㤲㥥㠰㈶㜷愴搲㤱ㄷ挱搸昱愴摣搷㌴挲㤶挰㔴㘶慡㑢ㄵ㤴㙣㌲㝦敡㠱㑦㑣愶搹っ扤昰㐹扣㐲搲攷ㅢ㔹慦ㄹ㈸㍢㉤扥㠲㘶〲愱挷攴㈸戹扦摢攰愶摢㌷挶㍣㙥㘸㉤㉤晥摣攷昶戴㜶〵戹改捥〳㐵㡡敦晢〹慤挲㤷㤱攰㈸昰ㄳㅡ昸〱挰㤹愹昰㠷㐱㠹㡥㉡っ㘵挶㤱㡦攷摣㜱晤ㄳ㝡攵㑡㐱攷摥㐹㠵捦愲ㄳㅤ㔵㜸搲捦㘸扦愸㡡㌳㌰搰㉡㥣挰㄰愱㐲㍡㜲慤挲㘷㔰愲愱挲㈹㡥㥦㑥昷㈴㕥㈱改摤㡤㤹㠶戴㐶挴ㅦ㠳㌹㄰㑤㑣敥㈳㌷㥤慦挷㑤〷㙦捣㝡摣搰挴㠸昸㠲捦敤捤㥦慢挹㑤敦ㅤ㈸㐷搰㡢〷戵つ搰㐹㥦㤹㌸改搱搷㥦ㄱ愱搲㌸昲㌱て㠲ㄹ戱㜵㕣搰ㄹ㜷ㄲ攷攷㝣愹慤戹昸㝣搲捦㘸扦昶㡡搳㠷㙢㜱㕥ぢ〴攲愴㈳搶攲㝣〲㈵ㅡ攲㥣〳㔵搰ㅤ㥥㐴㐷㠴愴㜷㌶慥㈳攰扡㤴㑥㠸挷㕡〴㜴㠴摣昴慥ㅥ㌷ㅤ戴昱ㅥ㡦㝢㠶摣㥦昴戹搹㙥㑣摥㐰㙥㝡摦㠶㌸改㠵㤹㘰晥〰㥤散㤹㠹㤳ㅥ㜹〳㜱扥㘷ㅣ搵攲㤹ㅥ搷㍦愱搹㜱㐱㙦摣㐹㥣㡦愰ㄳㅤ慤昳㘱㍦㘳捤㈵ㅡ㥤㜸挷愵愱改㡡愷改㍢慣〱㜴㈱㘲㜳㙦搳㙢㝢㘴晡㕤散慢㑢攵戲摥㤲昶攱捣扢㡥㉦愱昶攳㙡〷㈷摤昸㉣搲摦搵攰捡㠷㐷㠸挱愹慡搴㈹ㄶ㌶散㠳㜵ㅣ戳昶搸戳づ慥攴慣㈸扥攴㜰㕤㝣㑡昹㘶㌸㄰挷㈱㐱㌷攷㄰㈲ㄴ㝥㍤ㄵ敥戸㍦摦㠵散㡥㍥捥ㄳ攱慡㍣㠲て㥣挲㍣㉡㍦扢摢㌹挳㠴扥㠲昳㌸慢改昲愷㕢㍣〴ㄵ㝢〱敢㉤㈱扤㑥搲㝤捡㈲昸つぢ㠰㕦㈸攸攰ㄷ㈰㈶ㄵ㈸摥㘱晢愵ㅣ㕤㠴愱㑤晢攰㜸㘲戲㤷愳㙦晢㑣愹户㤷㈳づ㥥㙥㝡攷㡤㈲〳慥敦㍤㤵扣挹捦扢愳㤵㝣㔹㔵㡦扡ぢ㡤㑦扡ㄱ㌷攰㥢㈷㜹ㄴ㤵戰㈹扥㠲ㅥ㥣戵捡㠵㘶㉡㍤㈰慤搵㈸〱㜴ㄶ挱㝤ㅤ㐵㜰っ晣㤲㈲㔸ㅤ㍥㕤㕣搳昰〵ㅤ㈸㐵㄰㍣㠲慥㑥㜷愱〶愴搱㌱扡㌴㑤㕤㙣愶搲㜵㘹敡㑤捤㔴慥昶扡扢㜵㈰㥤扢㝢㙦挷敥扡攰㌷㤶〰㕡㌵㜶ㅣ㤴收㉥㑦㈱摤搲㘵晡〴摤㡤㘵㈰㡤㉥㜳敤搷搴㤵㘶㉡搷㑥摤戹昷〳㘹㥣㑢戶摡搳〷㍡昶敥㔷㔰㐰戲㜷慢挲晣㔵㤲㘸㐶ㅡ㠴〴搷摥㤶㥥㜱㜹搵㝤戸〵㐸愳㘷㕣㐶㌵昵搶㈶㙡愴㠸挴㘹㑦㈶昰㠶戶㘰搹昱晦て挱㈴慥搱㠶捡晣ㅦ〴㥤㙥㘵㕡㙦㉤㙦㐳㔹挱㔹挰㍡攴慦昹〸ㄳ〳戴㐵㈲㔱㕡敥〰㙤戰㤱ㄲ戴㈵㜶㔱摥㑥㌲捤〸晦㜰〵攵㈳㑣っ搰㘴㠸㜸攵㘹㉡慢㈹㥡㐸㈳㈵愸㙡㕤摢〷㐹愶㠶㤹㈷敦昰ㄱ㈶〶愸㑤㈲㕥㙤搴㘲㈳㈵愸っ㕤晥㑥㤲愹〷收挹扢㝣㠴㠹㠱㕢晣㠴㔷㥥戲㈶㔹愷㠴ㄶ〲㑢摣㑤㥡晦挴㈹っ敤㘱㝦ㅤ〸㍣慣ㅥ㉡㌲㕢戹㌸㘴捤㜵慦挷愵㠷㐰慥て㈱ㅤ㍣㜱づ㐵㜳㝤搸攳搲ㅤ㕤挳挵づ㙢慥摦搴㕣昱愰㍢㠲㍤搰捥扤ち㘳愴㜳㥦㐴搹愸〸〹㌶慡㌳㉡慤ㄹ昱愰㜵挱〶㌵㐷戹㤵㐳戰つ㥤㜱慣㌵愳昷㝦〱㘵慦昳㔱</t>
  </si>
  <si>
    <t>㜸〱捤㝤〷㜸㕣挵昵晤㡥㉣慤昵㔶㤶戵戸〰愶ち戰㠳㐱㈰慢㕡ㄲ挴㌱戶㕣挱つ㔷㑡㐰慣㜶摦摡挲㉡㘶㜷攵㐲〹愶〷〸㈱昴挰㥦㔰㡣㌱愱昷摥っㄸっ愶㠴搰㙢㌰㈵戴㠰〳〹扤挴晦㜳敥捣散扥㙤戲挳㉦晡㍥搶昲搵捣戹㜷敥捣㥣㍢昳收扤㜹㙦㥦㝣捡攷昳㙤挴㠷扦昹㈹㘴㘲扢㔹换攲〹户愳戲戹慢扤摤つ㈷摡扡㍡攳㤵㘳㘲戱搰戲㈹㙤昱㐴ㅦㄸ昸㕢摡愰㡦ㄷ戵挴摢㡥㜴㡢㕢ㄶ扢戱㌸㡣㡡㝣扥攲㘲愷〰晡晥收㝦搰㘶ㅣ㤶㜲ち㈹㘰攵㜳晣ㄴ㝤㈹㡡㈹ㅣ㡡〰㐵〹㐵㍦㡡㔲ち㍡㜲捡㈸㠲㄰晤戶㠰㤸摤㍣㜶㝡敢攱㘸搶慣㐴㔷捣摤愳㝣慥慥㝣㔴㜵㜵㘵㜵㘵㕤㐳昵挸捡慡㍤捡㥢扢摢ㄳ摤㌱㜷㔴愷摢㥤㠸㠵摡昷㈸㥦搱摤摡摥ㄶ摥捦㕤㌶扢㙢愱摢㌹捡㙤慤慡㙤つ搵㌵㔶搷搵搷㐷㥢㥡ㅡ晢つ㠰攷㘹捤㘳㘷挴摣㘸晣㝦攵㜳㈰㝤㑥㙦ㅥ㕢㌹捤㑤晣慦㝣づ㠲㑦戸ㅣ搷搵ㄱ㙡敢晣ㅦ㌹㉤㘲㜰㙡挷戹攱㌶㐶搱㜵㘳㙤㥤昳㉢搱散㌴愲㤱㙢愸㥣〰挶挳愱㜸愲搹㙤㙦㥦改㐶ㄹ挰㝥ㅤ攴捣㡤戹㥤㘱㌷摥扦㘳晣搲戰摢㙥搴昱攲㡥戹愱搸戴㔰㠷㕢挸㐴㔹㠷㡥摢攴㠸摢㤹㘸㑢㉣㉢敤㤸ㄳ㜷㘷㠶㍡攷扢㌴㈹敡㤸搸摤ㄶ㈹㉣㔴㠵㠵扥㍥扢收㙡㡣挴愶㜲㐲㉣摣扣㈰ㄴ㑢㐸㡥㔱慢捥㘵敢ㄹ㈱搲昰戴㘶㜱ㄴ㤵㘷㤴㘲㤸㘶戵㜵散攷挶㍡摤㜶㔶挲攰㔵㘴ㄸ〹㈷㥡晡㈴㌹戶㌷っ㡣㉡㌱ㄳ㠷㕤㘱㉤捥㘰㡡㉤㈱晣㕢㐱〴㘷㜷㈵㐲敤攵㤳㍢ㄷ扢昱㐴〷㔸㜰戶愶㝥〸㠴㉡㝣ㅦ戳搰㕢㥥㌳愱愰㈵㔴搰搲㕡搰ㄲ㉥㘸㠹ㄴ戴戸〵㉤搱㠲㤶昹〵㉤ぢち㕡摡ち㕡づ㉦㘸㔹〸ㅢ晢㈹敥摢户挰㝣㙥摣晥㤸扡㤷㔶㙤㌱㘹攵摣摤捦〹㕣扡昵戳㡡ㄳ㑦㘶攰戶㐸㌸摢㐱昸户㠷搸㙤㐶慣㉢摡㤶㈸㑦㜴㜹摡㔴㍥㌳㠴ㄹ㕦㍥㝣挶攴㤹扢㤵㍦㝣㘷昹摣㔰㝢户敢散挰㠲㍢㐲㈸戵ㅥつ㘵㘳㈷摥戰摢㍢㙤㍦㜴㡥扤攱慡㐱㉢て晦㘶挳㈷㡡㌳㕢㙡搹㠹挶㍢㐳昸㜷㠱搸㜲㐲㥢摢ㅥ㐱つ㙤㠹㌶昴㝥㘲㈸捥㉡㕣㘷㈸慤㠶㐱㈸昵㥡㜱戹昸敡㔷昶㌹散捤愹㤳㔶ㅥ㝣搱㘷㕢戵敦戵㡤攲㜱㐲㕣敥㑡攳攱㄰晥摤㈰㑡㌴㤱昳㌰っ攳捥敥㔴㔵㐰㈸昵㠲昱搳戸㝡散戳㤷㥣㝢㘲昳戵㐳挶戶㝣摦㌰慡㔳㜱愴㡡㥦㍤㘹㕣〹攱ㅦ〱㌱㜴戶ㅢ敢㘸敢㐴慢㥡㐳昱〵攵戳扡㘳㡢摡扢攳攵挳㘷㌷捦昲昴扤㡡㘵慡㈱㤴㝡挶㔴㌰昰㤳㉤攷㤵㙥摤㌱攵〱摦㠶㕦っ戸晤㠷㜹㡡㠷㌱愹愰㤶挶㜵㄰晥㝡㠸攰㉥攵搲挸昲㐵㙥慣㝣㤹ㅢ㡡㌹㈳愹㙦㠰㔰敡㜱攳慣㜳攳扣㡦昶㝥㝥搷〹㤷㕣㜵搶㕤㉦扥㕢昱㘷挵挳愱㌸㙢愲昱㕥㄰晥扤㈱晡㑤つ㉤㑤搱昷㑢敡㐶㐱㈸昵戰㜱㜴挱㡡搶愷扥摡敥㥢挹㔷っ㥣昸散搶攷㍥摣愴㜸㐸ㄵ㐷愳㘹扣て㠴㝦っ挴㔶㌳㐲换㕡㐳攱㠵攵㌳㌰搷扢㈲愹㈸㡦愵㔹㌳㠴㔲昷ㄹ㥦㕢㡥㔸户昶晢㌳戶㤹㜴搵㌴昷戵㌷㑥摦㜰扣攲戸ㄴ㥦攳㘹㍣〱挲㍦ㄱ㘲㌰晢㤹ㅤ攴㐹㌴㥡っ愱搴ㅤ挶攳㌹㑦扦戴敡扢㘹搷敤㜷昹㙢慦慤㜴㤶㝥㝡愴攲攱㕥㍣敥㐷攳㈹㄰晥愹ㄴ愳㠶㡥ㅤ㕡㍤搲㤹㐶㜴㍡㠴㔲㌷ㄹㄷ〷戴晣㘳捤㙦㙥晤㘰晣挵ぢ㔷㌷㙦戸昶敤ㄳㄴㄷぢ㜱戱㍦㡤㘷㐲昸㘷㐱昴㥢㌶㘳㙥慡㜷戳愹㥢〳愱搴㌵挶㔱㙣攱搷搷摤㍦晤㠴㘹挷㔵慡㡦㙥晥摢㡥慢ㄵㄷㅣ㜱㌴㡦挶〷㐰昸て㘴㑡㝡㌷㝤㤱扢搴㌹㠸搹㠳㈱㤴㕡㘹扣㡣搹敤㠳ㄱ捤㔷摦㌶昱捥昵〷摥㝤㜸㘴㐱㠵攲㡡㈵㕥づ愱昱愱㄰晥ㄶ㠸㘱〸㘰㕢㐷㜷〷㐶摢愲㌶ㅥ〹愶㜷㈷摡㐳换捡㠷㑦㙤㥥敥ㄹ㙦㠷戱㔰〸㐲愹㑢㑣つㅦ㕣昲挵摡昳㉦晥㜸晡㜵搳㑥㝢㙥晥昸㉦㠷㈹㉥㠷㔲㐳㤸挶ㄱ〸扦ぢ戱ㄵ㍣扢㑢换㕢摤㈸㡥搴攵㡢㘲㕤㤱㙥㔹扦㥤㈸捤收㐳㈸昵㐷攳昳㠸敤㐳㔷ㅣ㜳挲㡡㝤㑦㥣㜷㝥晦改摢晤攱攳㝥㙤㔰敦㙦㡥㘰攳㘲愱㈵㔸〶㔲㉢㑣㑤㘵ㄵ晦㙤㝡㘹挵捡ㅡ慤㡦㌶㐴慢慢㈳昵㔵愱摡㔰ㄱ㡦㠱㥢㝢㐰攷㔱戴㕦㜴㕥㕢㘷愴㙢㠹ㅣ攱晢㐵㈷戴戵㈷摣㤸㘴捡愲昸愵㔷㈹挹㤷㐶挷㉦挵昲ㅥ搶㡢挱愰㘸戳ㅢ㑢㠴摡㍡ㄳ换㔲㉢挴㜶㘳㐳㜱㌷㤵慤㌰扥挷㜶㜵㜷㐶攲摢收㔶捥㑡攰昰戴㑤愶㉥攵㈴慢搸㉣㑣㈳㌷㉥㑤摡㈱戳㤸ㅣ㍥挷㉣㙤搳敡敤㌳搴㔸㍣扢㕡昳㙢㈷挴摣㈳㤲摡慣ㄶ㡤㐱㘸ㄷ扢搴㘷昵㔲慢㜴扢捡㥢ㄷ㜴挵摤㑥㘹㕥㐵挷㡣戶昰㐲㌷㌶换攵㠹㥤ㅢ㤱慥づ愶捡慣攰ㄵ搳㍢搱㔱慣挹㤱㥤扤㈸㠹㜶㍢㈳㙥〴敤挵愱㉣戱㙣㜶愸戵摤摤㌲捤㐴搷〹挵㤰㌴㜸㐲㔷戸㍢摥摣搵㤹㠸㜵戵愷㙢挶㐴ㄶ㠷㜰搶㄰㤹摡ㄵ㜱ぢ攵攳搳㔲昹晡昴㔱捡㌷㍣搷昲㑢摦㜱㉥搰㥥㐱挲搳㠰㥥㡤㍤㠳㠸挶㌹ㄷ昶愴㘷㈴㍣㠳㡣昶扢昵搸ㄲ敦㈰愴㜵㔵㡦搶㌹〶㈹ぢ㙤㥤㍥昱㉡㘷㈲㍥㠸㐳扢换㔹㔹㌰㌴扦换搴戸摣㐴㑢㍤㔱攱㜹㍣慤㝢㈰㑤摣㈶挷㕥敦ㅡㄷㄴっ㌴扤ㅦ扦ㄸ㘷㐵㤳㐲㥤㤱㜶㌷搶攳㔵㠸㘲㡢㥣挳㈹ㄶ㔲戴㔳㜴㔰㜴㐲ㄴ㥤㠵㘳㕣㕥㐶㜹㌶愴㤶慡㘵㐵㑢摡㈲㠹〵晥〵㙥摢晣〵〹㘰戸㝡㈹㉥㈶摤㕦挱攲ㅡ㕣扡㕣㡤㡢愱㐳昱摦攷㉣愲㌸㠲㈲〶ㄱ〸昸晣㜱晣昶昹〳づぢ晡扢〹ち㘳攵戳㤷㉤㜲〳慡㠸攷㝣晦晤㤹㈹㉦㤷ㅣ㌹ㄱ挶㤵㑡扣愸〳攷摢昱㍥㝤㜲ㄱ㌱〹攷㉢〹捥挱ㅥ㤵㜲づ扡㤸㑥㤷㐰昴㕢ち㌱㙤㤲摢㡥ㄹ晣扦扡挸㈹攲ㄹ散㈶㑦愶ㄹ慣㉤㍢㘶㉤敢っ㉦㠸㜵㜵攲㥡㜱㕣㈸ㄱㅡㄳ挶ㄵ㐳㕣㠵晣ㅤ㔳扡㥡扢ㄳ晥㡥㐹㙤昸搵慦㘳愶扢挸つ㈵㥡㜱㠴㑥㤴㜶㑣挱搵㠶ㅣ㐲㈷㐷㤶ㄶ㜵攸ぢ㠵㜱㙥㍣散昰㡡㘲㌲㡥㐸㑢晤㐸攱っ戵㕦〷㡦㌱敥搲〴㕤昷敤㤸ㄱ挲ㄵ㐹挲㠱㔱㠵㤴搲㈹㤶㉣ㄵ捣㤶づ㤸ㅣ㍣〴㈵改昱㔲㈲㠰昶攴攳愰挱攲㠹㔵户搰挸捣挹㌳㈷搱搶ㅥ慦㌴昴㔶㡥敢挲ㄵ愷㉢㔷捤愴摤敦挷搸昲昷ㄸ慣捣㌹捥㑢㤲改攱㔶敤ㄶ㑤㤹ㄸ敢敡㕥挴换㤲晦㤵ㅦ晡昲㌹换㈰㉥晤晣㥡扤㠷晤改挶㡤收昷戱㤸㍤昲㜱㜸搵攲㜰愸㌳㡢㕦昲㜱㡥挶慦㐰㑦扡㈲㕥搲攴㍣挸收戹㝡攲愵㐳扦づ昴㜶㜶捣㤵换挱㘲挹㘰㉥㤵㜶捣敢㡡㉤㙣敤敡㕡挸攰昷㤷㕣㝣㠱敢㈶㜸㡤㔵㘲㉥㈹㤹㔶㑡昵改㤳㜶〱攵戹ㄸ攳㜹㠵㝦㌹㐴改ㄸ㥣愵㕡㡦㜱晦㜱㠰晡㘰㌱昱ㅦ㡦㐴㕤㔵愳㥣慤㤷摢换摣昲㍤换挷㠷扢捡挷㉦挶愹摡昰敡㥡㤶愹愱㘵㕤㉤㌵㔵㌵戵扢㤵㈷㜰〵㔷戹戴㍤摥愱㡥〱㌳扣ㅣ扡昴敤㈳㍥ぢ㑤摦㘶散㥤㤳㠶扤昴㐴敢ㄵ户愹愳㡤㈲敢㙡㡣ㄷ㘱㍣㈹㜲㑥愲㌸㤹攲ㄴ㡡摦㔲㥣ち愱ㄶ愳㈸て㘱㜳㜱㡡昷ㄵ㠰搴㠱攸㜴摡晣㡥攲っ〸ㅣ㠸㈴㍡㌸づ㥤㠹慣晦て㄰㘵挹搶敢ㄵ㌲攰㔳扣攰攳〱挹㌹㡢攲㙣〸挵敢㌹㑥㕤㥦㜳づ㐴摥昸昳㉡㌱㍢晥攷〳つ㌸㍤攸ㄴ慦ㄴ㌹〶㥣攵ㄴ㘴搹㈱挳㉡㙣㌸挹㈲慢搵㈸戲㉥㉡㜷㐲㌱㈱敢㔲㍡戹㡣攲㜲㡡ㄵㄴ㔷㐰愸㕦ㅢ戲㜸㘱㌲㕢攱挸㡤晦晡愸㝤㈵㙤㔶㔱㕣〵攱㈱敢㙡㘴晤搷㐰昴ㅢ搳㡤㡢㕦戳㠰〷㤴摡ㄹ㤸㌰㜵㉤ㄲ捥㜵㄰㙡㈸㠴㘶敡㝡愴昲㌲戵ぢぢ㘴捤㤴㥢㠰〶㥣ㅥ㜴㙡ㄸ㉣㜲㌱㌵㌹ㅦ㔳㤳㡣㈲敢㕡㜹㔷㜸ㄲ愶敥㘶㔳敥愱戸㤷攲㍥㡡晢㈱搴㔸挳搴㡤㘰愸ㄵ晦㔳挳敡㐱摡慣愶㜸〸挲挳搴㈳挴挸ㄴ挸攱攵户㤰昳㈸挱挷㈰搴敥㄰㥡㥣戵㐸攵㈵㘷㌷ㄶ挸㈲㘷ㅤ搰㠰搳㠳㑥㔵挰㈲ㄷ㌹㈳昲㤱㔳㘹ㄴ㔹ㅢ〰㝢挲㤳㤰昳㍣㥢昲〲挵㡢ㄴ㉦㔱扣っ愱㠶ㅢ㜲摣㍥㍥摦昵〵㕥㜲㕥愵捤㙢ㄴ慦㐳㜸挸㜹㤳ㄸ攷ㅣ收ㄸ昷ㄴ㠴㥣户〸慥㠷㔰㔵㄰㥡㥣户㤱捡㑢捥〸㈸戳挹㜹て㘸挰改㐱愷慡㘱㤱㡢㥣挱昹挸ㄹ㘴ㄴ㔹㥢ㄷ戵昰㈴攴㝣捡愶㙣愰昸㈷挵㘷ㄴ㥦㐳愸晥㠶㥣㝢㌰㙡㉥㐸㈳攷摦戴昹㠲攲㑢〸て㌹㕦㈳敢晦〶㈲㜳㡥搵〱ㄳ愶扥㐵挲昹づ㐲㡤㠴搰㑣㝤㡦㔴㕥愶敡㔹㈰㙢ㄸ晤〷㘸挰改㐱愷ㅡ㘰㤱㡢愹敦晦㤳攷搰晤㥤㔱㘴敤捣㌴挱㤳㌰搵ㄷ㐴㌸挵ㄴづ㐵㠰愲〴㐲㝤㠱愲㍣㜴昳〰㝢㔱ㅡ㔳愵戴改㑦㔱〶攱㘱㙡ぢ㘲㘶㡥敤㠵㘲㐲捥㐰㠲㠳㈰ㄴ㌷㝡㌴㌹㠳㤱捤㑢捥摥㌰换㈶㘷㙢ㄴ〹㌸㍤攸搴㈸㤴换㐵捥摢昹挸㔹㙦ㄴ㔹扢㑤愳攱㐹挸搹㠹㙤摦㤹㘲ㄷ㡡愱ㄴ挳㈰搴㙢㠶㥣〷㡡㝣扥㌳搳挸搹㤵㌶挳㈹㜶㠳昰㤰㔳㐱捣捣戱㝤㔰㠱㤰戳㈷挱㑡〸㌵ㄶ㤰㈶㘷〴戲㜹挹ㄹ〳戳㙣㜲㙡㔰㈴攰昴愰㔳捤㈸㤷㡢㥣戵昹挸㜹捣㈸戲戶捤挶挳㤳㤰戳㌷㉡㜵㝥㐹㌱㡡攲㔷ㄴ愳㈱搴㙡㐳㑥㝦㔸昲㠴㌹㜵㜴ㅥ㐳㥢戱ㄴ捤㄰ㅥ㜲挶ㄳ㌳㈳㘷〲㡡〸㌹ㄳ〹㑥㠲㔰摣㝣搳攴㑣㐶㌶㉦㌹ㄳ㘱㤶㑤捥ㄴㄴ〹㌸㍤攸搴㘴㤴换㐵捥昵昹挸戹捥㈸戲㜶〰昷㠳㈷㈱㘷づ摢㍥㤷㘲ㅥ挵〱ㄴ〷㐲愸㔵㠶㥣ㅢ㤰㈹㠳㜵㡡㥣㠳㘹昳㙢㡡㐳㈰㍣攴戴㄰㌳攴㑣㐱ㄱ㈱㈷㐴㤰㙢㥦㥡〶㐸㤳ㄳ㐶㌶㉦㌹㔳㘱㤶㑤㑥ㄴ㐵〲㑥て㍡㌵ㅤ攵㜲㤱㜳㑥㍥㜲捥㌶㡡慣扤捤晤攱㐹挸改㘲摢ㄷ㔱ㅣ㐱ㄱ愳㠸㐳愸摦ㄹ㜲扥㤱㡢ㄴ㉦㌹摤戴㔹㑣戱〴挲㐳捥㌲㘲摦挰㌳搶昵㤹昸㈵攴ㅣ㐵昰㘸〸㌵ㅢ㤰㈶攷ㄸ㘴昳㤲㌳ぢ㘶搹攴㉣㐷㤱㠰搳㠳㑥捤㐱戹㕣攴㉣换㐷捥㔲愳挸摡慦㥤〷㑦㐲捥愹㙣晢㘹ㄴ愷㔳晣㡥攲っ〸ㄵ㌳攴㍣㠶㘳捥㕥〰㔲㈳攷㑣摡晣㠱攲㉣〸て㌹攷㈰敢㍦㤷㤸昷㥡㕥ㅤ㠰扡㠴愷昳㔸收㝣〸㜵㄰㈰捤搳〵挸收攵改㐰㤸㘵昳㜴ㄱ㙢㜰㝡搰愹㠳㔱㉥ㄷ㑦㉤昹㜸㍡搴㈸戲㜶愴て㠱㈷攱改ち戶㝤㈵挵㤵ㄴ慢㈸慥㠲㔰〷ㄸ㥥づ挵昹捦敢〰㔲㍣㌱攵昰慣摡戹ㄶ挲挳搳昵挴捣戱㤹㥢摣㐲捥㡤〴㙦㠲㔰㠷〱搲攴摣㡣㙣㕥㜲㕡㘰㤶㑤捥㙤㈸ㄲ㜰㝡搰愹㄰捡攵㈲㘷㝣㍥㜲挶ㄹ㐵搶㘶㝡ㄸ㥥㠴㥣晢㔱愹昳〰挵㠳ㄴ慢㈹ㅥ㠲㔰扦㌲攴㝣㡤ㄹ㌶ㅤ㐰㡡㥣㐷㘸戳㠶攲㔱〸て㌹㙢㠹㝤〳捦㤸㘱ㄱ晣ㄲ㜲㥥㈰戸づ㐲㐵〱㘹㜲㥥㐴㌶㉦㌹㉥捣戲挹㜹〶㐵〲㑥て㍡㌵ㅦ攵㜲㤱㔳㤱㡦㥣摤㡤㈲昳慥㐰搱攱昰㤴戹搵㈱㌷㐲㤳晢愵㥥㥤㔸慥㕤晥攸ㅣ摣敡㡢㤷㐴㜹㙤㌵愱㉤㌱㉥㥥攸ㄷ㠵㐰㔲㡡㙣㈳㤳捡㔳愸㈲㍡户捤㕤挲㡤戳ㅤ戳㔵戸㐷摣摣ㅤ㑦㜴挹㉥捥づ搹晡㜱㕤搳扡ㄲ攳摡攲㡢㜰㈳㘵㘸づ戵搶捣㕢攰㜶㘲慦㍢㠶㉤敦㑤ㄹ㜵㉤㕡攴㐶㜲戴㜱㔶㔷㜷㉣散㑥ㅥ昷㜳搸㉤㔷㝡㍢捡㠷ㅤて愵㝣㙡㔸晥摤㘱て敦㍣愷㈸挰㉥㠹晡㘹㥢慤晥㤷㌱攸晣㔳愷㤶捦㤹㌵捥攷扣㠲㡣て㔵㘳挴㍢慦㜲㌴〶㝣㐵ぢ㌷㌹㔲㍣摢昰㈵㌰づ㐴ㄱ㕤㡤㤵㥡晢㍣㤳㍢攳㙤ㄱ㌷㘰㜲㔳摢㍡晢㥢㈴㙥㤵愵㘹㐲㑢〷ㅡつ㜶㜴愶㜷㘲〴㠴㐳戱挸捦㈱㌸攸ㄸ㍥㍡㌲捡㡦㝦㍦㡤㙦敤挶攷晢捣㍥㥢昳搹戱㤸昳慦ㄹ慥摢愱捥戹挱㤶㥣㤵㐸㠴攵㠱づ㐱㜸捥㔴㑡扡㤳㜰㌱㜳㔳摤㔰愷㐴㘱㔶㈲㌲捥㕤摣㕦㉣㕣㡣㜳㍣愱搱敥づ㑣捦捡㍥慢ㄳㅤ搳ㅡ敦㙡敦㑥戸晤㤳㈹㤹敦㑥㜴愶摢㡥㐷〷ㄶ扢晤㤲愹ㄹ攱〴敥搹㈵晤昱㙥搳捦㈷㐲㘰愴搰㐴㐹㐹㥣晣㍤ㅣ收搲㍢挱愹昴ㄳ愳㡡昸㐵攵戳㘱戴扡攸㐲㝥慥ㅥ敤戳㠹〰㍦扥愲づ戸摦晣㕢㑥㥣㐹〳敤㥤㔰㝤愰㤳㘳㔸㍦㡢昱㙥㑦㘹㔴づ㝦戸愵换㠷㜳捡㌸㜵摡昱攴㔴愲㉤ㅣ㙡㙦㕦搶㍦㍡戹㌳摣摥ㅤ㜱愷㠴㕡摤㜶㝢攸敥㡡㜵晣㑣攲㔵挸愳㡤㡥㔵て扣㤸㙤扣挹㜸㌴捤摥攰晡挹㐷㍢散昵愰㑥㔹㜹㔱㜵挰㜹搳捣扢㑥攴晥敢晢㝢〱ㄴㅡ㤰扡㍢㉤捦㍣攱搰㤶〵昱㤸挶ㅢㅥ挹㕢㠴㌲攳㍣㘶㔳扡愶㜴攱昶㙤挴〳㑤㙡搳搰捦㘶㕥㐹㤸晣㝥晦㑦㕤㘷挰ㄵ㍥㥦㙤㌴扦㡦㌵扦㐷㜳㡤攱攴㔸〴㈰昳㔶㠹攷㝣㐴㑥〱攴㤰ㄷ㠴㘱ㄹ㡦㘰晡晣㘱㜶㕢愲摤㉤㠹㡡㕥搲挵㥣ㄲ㘴戳㙦㜴昶〲摣㜶ㄸ㔷ㅡ㥤ㄸ㙢㡢戴户㜵扡㍣ㄷ挱攳〴㝣捥㙣㡡㍢ㅦ㌷扥㘷㜴挵昱昴㔲㔷㘷㘹㜴㜶㉣搴ㄹ㕦挴扢㑢攱㘵〳搲㜲ㄲ慣愲攸搸戶㑥㑣㈰㕤㈷搳㘵搱㔹ぢ扡㤶攰㔱捡敥㡥捥㠹愱㐵昱㥦㐵愰㌸㥦昴㐷捦慡〲㔵㔰愰㡡ぢ㡡㝦敡㕡㈵㌷㠳攴㠴愰〶㙥ぢ㈸㑣戸㡥㐰慡㠷㌹换㐸㤹㐷て㌸㘷搹慥戴㈷ち㜳摥晣㑣㍥㡢捡攳戰昳ㄶち昵㕢て戱敦挴㌹㤳㔳て慣晣㥦㥥〷㉤㡡挱㜳て换㠱っ㡤攴摤㜱㕥㍢昴搷挳㠵ㄸ㐷㡦㈳㔱㘷㉥㜳〸〶愲㘲挳搱㠸ㄵ㤴收㑣㑥挰捤换㝥㤸晣㌸晣攲晥つ㡥扢晤㜵㠶㘷㜶ㅤ愱昶戸搱㌵㜷㜵㜴㠴㌸扣㌸㌴㘷攱搸敤ㄶ换㘹㌶㡥㈶㑥ㄴ㐲挶愰㠱㐲㑢〱㠵㤶ち㠴㈵㤹㑦扣㐸㥡扥扡收㠷㘲㙤㠹〵ㅤ㙤攱㘲㘶昸㔴捡捦㘲㕣㘲〸㤹㍤っ㔰㙡づ昹㌸㘷捤扣挱慣敦㠹㈲摣㤵戸㡣㈰㜵っ㍦㐶㙦㠱慣攳敡㈷㍥㑥㠰戳㔹㠷㈷戹捥㍢㄰㐵搸㥥挴晤㕥愴昸昱㥣㠴〱㤱〳㤱㑡〰愷摡㜹ㄷ㤲〹晥㉦㕣っ搱攳㙤摥扥㌰〸㑣改ち㐵㈶攰挱愵慥㔸㕦昳晣㜲㌱㐲换挳㑡㉣挸㕢晢捤㜸㈴〶㡦摡㉣挶戹㜰慣㤸挰㉣摣㌴㉦攴㐳〱㝥ㅤ㐳㜲攳㉢㉡㉡㈹捥㔵搷㘴敢㙢愸戹〵敡㝤㤰㝢㜲㤶晦㑦昶㙦ㅣ捤摥〶〲戸昴昷㌹敦愱ㅦ捥摦搹愷㈵挸戲㍦ㄹ〶敦搳攰〳㠸愲㘵㔰㘶捥㤲扣户挱改扣愸㠳户攷㡢㍢搸ㅤ㥣㜲昸㜱搳ㅥ户昹㐱㠹扦愴㜸㈹昴捥㠷㜰晢昴㔳㑦㜱㔳摡愷㜸㥦搹搶捦愳㜹㈰㐰昲㥣㡦㔸晦挷㄰敡㈴㘴㜹㝤慡搷㘹攷ㄳ㘰㠸㠲㕣㤴㝣㡡㌴㤶ぢ㜵㌲㈰㕥㤸搸㡦㈷㤲㔸搶㌷ㄸ慢㔳愰收㈹㌵㘳戸愹搳㌳挵晢戴㍣㐵挳㕤ㄲ㤸愷捥ㄱ㍥㌷捥㑥㠵㡡攷〹晡㤳㜷㈵㔳愷挳㠰慢㤹㑦㙥愵㑡摤ㄹ㐷㑦昵㍢㘸㜹〴㜵晥つ摦敡っ愴㜸㘰㐲㉢愵㔶攷㑢愰㥢ㅥ愸㘷㑡〹㌸昹㡡㑥㑣㐶㥤㠵㠴㈵ㄷ㐹ㅢ晤慦㘱攰㝣㐳挳戳㜳ㅢ㝣㑢㠳敦㘸㜰づっ㌸〲㥣敦㤱㑢〶敤㝣㑦㌱㑦搰㝥㘰戱ㅦ㔹散㔲ㄸ㌰㘸晥晦㈰搷ㄷㄷ㤴昱㜰㌴攲㜳攴㌲挷〴捦㠷攱挸攰㕤〶戳晣挱㔳挶敡㜲㔸㙤㜶昰㔶挰㔸〷慦〰挵㔳挱㉢㌴捥慥㠰㝥㜳㠲㜷㈵散㜴昰㜶㐱㡡扣慡捣攰慤〲㉣挱昳挳户扡ち㌹ㅢ㍣昶摣㈹〶扡改攰㕤㉤扥㘱捥㉦㔶愰㤸晥㝦㉤ㄲ㌶㜸㥣㔷㠱㐰〹愴ㄳ㠰㡤㔳㐲挳敢㜲ㅢ昴愳㐱㈹つ慥㠷㠱〴慦㍦㜲挹攰摤攴㈹挶㔵捤昸㉤㘳㌱㝥㤹㐳摤つ搰㌳攳〶〰㘳搷㘱攸っ㐴㥡㐱扢〷㔰晥愰つ㌲㔶昷挲㙡戳㠳挶㕢搸㍡㘸㠳㔱㍣ㄵ戴慤㡣戳晢愱摦㥣愰㍤〸㍢ㅤ㌴摥㜵㘶换㝤㤹㐱㕢つ㔸㠲㌶〴扥搵㐳挸搹愰昱挶愳戳㉤搰㑤〷敤ㄱ㤸㌲㔶捥㜶㜴㘲㌲敡㔱㈴㙣搰〸ㅡ㜲户㠷㡤戳〳つㅦ换㙤戰㈳つ捡㘹戰ㄶ〶ㄲ戴㥤㤰㑢〶㙤㥤愷搸㠰㤴摦㥤㔹㙣ㄷㄶ㝢ㅥ愰㈷㘸挳㠰愱㔵ㄲ戴㕦㈰捤愰扤〰㈸㝦搰㜶㌵㔶㉦挲㙡戳㠳昶ㄲ㡣㜵搰㠶愳㜸㉡㘸扢ㅢ㘷㉦㐳㥦ちㅡ㌲昲昹散搸扤〷㥥晡晢㜳捦㜹㘷㌴摢挷愶扤ち㕣〷㙤㠴㔸㠰扡捣愰扤〶㠵〴㙤て昸㔶慦㈳㤷ㄶ戴㑡愰㥢づ摡㥢㈸㈶㐱ㅢ㐱㈷㈶愳摥㐲挲〶つ㐹戴㠹昳捤愹㠲㡤㔳㑤挳昵挸收㌰愸愱㐱㉤つ摥㠶㠱〴慤づ戹㘴搰摥昳ㄴ攳收㡣㔹摢敡㔹㙣㈴㡢㝤ち㔰づ㤳つ捣敤攲㜳ㅡ昱摢㠶慤〹㘹㜲戳〱㔰晥戰敤㘵慣晥〹慢捤づ摢㘷㌰搶㘱摢ㅢ挵㔳㘱ㅢ㘵㥣㝤づ㝤㉡㙣昹㔷户㝦挳㑥㠷慤ㅥ㈹戶㍣㉢㙣㕦〰㤶戰昱昴㐳㝤㠹㥣つㅢ晢散㡣㠱搸㜴搸扥搶扥㜱㠳㤴㑥㑣㐶㝤㡢㠴㡤ち㐱㌳搷㥡改㜷ㅣつ扦换㙤㌰㥥〶ㄳ㘸昰㍤っ㈴㙣ㄳ㤱㑢㠶㡤てㅢ㔸扦〳㔳㝥㈷戱搸㘴ㄶ敢㡢摡㈴㙣晢㈲㤷㕡摤昶㐳捥〶㙦ち搲っㅥㅦㅦ挸ㅦ扣愹挶捡㠱搵㘶〷㉦〰㘳ㅤ扣㘹㈸㥥ち摥っ攳慣〴晡捤〹㕥㈹散㜴昰昶㐶扢愵攵㤹㜳慥㍦㑣㈴㜸㌳攱㕢㤵㈱㘷㠳挷㥥㍢戳㈱㌶ㅤ扣㉤㔰っ㍦昸㕡〶㥤㐸㐵昸捤㘷ㅦ㉣挹㥥搵㙤㉥晤捥愳㈱㥦㡢挸㘱㜰〰つづ愴挱㘰ㄸ㐸昰づ㐲㉥ㄹ㍣㍥っ㘱㡢㜹㔶户㠳㔹散搷㉣戶ㄳっ㍣〷捡㐳㠱搹愰戵㈰捤愰敤っ㤳晣㐱㍢捣㔸敤〲慢捤づ摡㔰ㄸ敢愰㠵㔰㍣ㄵ戴戰㜱㌶っ晡捤〹摡慥戰搳㐱ㅢ㠳㜶戳攵㔹㌳㡥㑦㔸㐸搰㕣昸㔶扢㈱㘷㠳㈶慢摢㝣愰㥢づ㕡〵㡡攱挷攷㉣愰ㄳ㕤㤱㑦敤㠹㤴㈵㤷戵㥢〳㘵ㅢ㙣㥣挳㘹㔸㤹摢㘰㈱つ摡㘹㌰〲〶ㄲ戴づ攴㤲㐱攳㐳ㅡ搶㙦㔰晣捡㐵㐰㈷㡢㜵戱搸摥㌰昰〴敤〸㘰㌶㘸㌱愴ㄹ㌴㍥㙥㤱㍦㘸㜱㘳㌵ち㔶㥢ㅤ㌴㍥户愱㠳㤶㐰昱㔴搰ㄶㅢ㘷㔸扥㌶㉢㘸㘳㘰愷㠳㌶㤱慣戱攵㤹㌳㙤㉣㑣㈴㘸㑢攱㕢㌵㈳㤷ㄶ戴㈳㠱㙥㍡㘸攳㔱っ㍦㍥攷㈸㍡㤱㡡昰㝢㈲㔲㤶㕣攰㌶㘸㐷㈳敤ㅣ㐳㐳㍥㐷㤲挳攰㌷㌴㌸㤶〶㤳㘱㈰㐱㕢㡥㕣㌲㘸㝣㜸挴ㄶ㉢ㄵ扦ㄲ戴攳㔸散㜸ㄶ㥢〳〳㌹㑣㥥㠰㕣㥦戱捤ㄳ㝣捥㠹㐸搹挰㥤㠴㌴〳挷㐷㐱昲〷敥㘴㘳㌵て㔶㥢ㅤ㌸㍥㔳愲〳㜷ち㡡愷〲㜷慡㜱挶挷㑤㌶㘷戶ㅤっ㍢〹㥣晦㌴㤴ㅣ愲扦攴搸摣摤搱慤㙦㠲挸ㄷ昵㘶㘱㠳㐶晡㌴〸㕤㉢㘰㕣搱㉢昶㡢捦慢㐸㐸㑦㐷㔹㜵〸㜲㌶愴攴挳㌹〳㘲搳㈱㙤㐱㌱晣昸㥣摦搳〹ㄲ昲㍦〴㘹愹攷㕥㡡㔹昹昸戸㤵昳〷ㅡ戶收㌶㌸㡢〶㘷搳㈰っ〳〹改㌹挸㈵㐳捡㐷㕥慣摦〱㈹扦攷戲搸㜹㉣搶〵〳〹改昹挸㈵㙦ㄴ㕥㠰㡣㡤敡ㅦ㤱㘶敦昹っ㑢晥愸㕥㘸慣㡥㠰搵㘶㐷㤵て挳攸愸昲愱扢㔴㔴㉦㌶捥昸㥣㑣㉡慡㘸㤲㝣㍥㍢戶攴扥㕢慥㥦㜱捣捤挹㤳捤㙥搸改改㌸㑢㉣㜲㑣㐷㍥㑥㈳戱扢〴扥搵ㄲ攴㙣散搸㜱攷㌲㠸㑤挷㡥捦摦攰〷て㌳搳〹ㄲ昲晦㈸㐸换㌱㜰㤰㈵㈷㥢㉢攸昷ちㅡ昲攱㥣ㅣ〶㉢㘹㜰㈵つ㡥㠱㠱挴㙥ㄵ㜲挹搸㉤昷ㄴ昳㥣㙣㕥挵㘲㝦㘶戱㔳㘱㈰戱扢ㅡ戹㘴散慥㐱〶つ㤳ぢ㠵㙢㤱㘶散㑥㠳㘵晥搸㕤㘷慣㑥㠷搵㘶挷㡥捦敡攸搸㕤㡦攲愹搸摤㘸㥣㥤〱㝤㉡㜶昹捦㌸捦㠴㥤㡥摤㠱㘸户戴㥣㔳捥㍢敦昸戴㡦挴敥㘶昸㔶㘷㈱㘷㘳挷㡥㍢户㐲㙣㍡㜶㝣㍣〸㍦㍥攷㌶㍡㤱㡡昰晢㍣愴㙣㘸㠰搹搸摤㑥扦㜷搰㤰てっ攵㌰戸㤳〶㜷搱攰〲ㄸ㐸散敥㐶㉥ㄹ㍢㍥㈵㘴㡢㜹づ愵昷戰搸扤㉣㜶〵っ㍣敢摦晤挰㙣搰ㅥ㐰㥡㐱㕢〹㤳晣㐱㝢搰㔸㕤〹慢捤づㅡㅦㅣ搲㐱㕢㡤攲愹愰㍤㙣㥣㕤〵㝤㉡㘸㈴㠴ㅦ摣挳㌶ㅦ㝢㜵㜷㌵散㜴搰㕡㐴㠳㙣㘶搰慥〱㈶㐱㕢〳摦敡㕡攴㙣搰攴愴攵㌱愰㥢づ摡昵㈸㠶ㅦ㥦戳㤶㑥㤰㤰晦㌷㐲㕡㜲㔹扤㤹㜰㡦挳挶㜹㠲㠶㝣㤰㈹㠷挱㍡ㅡ㍣㐹㠳㥢㘱㈰㐱㝢ち戹㘴搰昸昴㤲㉤ㄶㄴ扦戲晥㍤捤㘲捦戰搸晤㌰㤰〹昷ㄷ攴㤲ㄳ敥㔹㘴㙣散晥㡡㌴㘳挷挷㤱昲挷敥㌹㘳昵㈰慣㌶㍢㜶慢㘱慣㘳昷㍣㡡愷㘲昷愲㜱昶㄰昴愹搸攵㥦㜰㡦挰㑥挷づ慢㥣㙥㌹ㅦ㔶昶㑥戸㌵㌰㤱搸扤っ摦敡㔱攴㙣散搸㜱攷㔵㠸㑤挷㙥㉤㡡攱〷て攱搳㠹㔴㠴摦㑦㈰㘵㌹〶づ戲㑡㘸昳㍡晤扥㐱挳㜵戹つ摥愴挱摦㘸昰㈴っ㈴㜶㙦㈱㤷㡣ㅤㅦ慥戲㝥〷愴晣慥㘷戱户㈱㡡昸散换收㍤㜲挳愰〷㍤捦㐱昱捥㔰㝣㡢攸晥摤愱㜶扣〰㘳㍡敥挲㈷〸晤ㅣ㙥扤ㄴ敡㘷㈱㌲扦愸㥤晥㕥っ㍣㑤㈴㕤㌸昸㄰㕥晢㘶㜲㤰㙥㙢晡ㄶ愷攵㑦㝢㔶㈲㔰戴挳㡦ㅢ㌷㙥㕥㉤〸㠹慦敦㘲㝥ㄱ戰愵挵㔷捣㍡攵挲搱㜹ㄷ〱攳㉣攲㌳㑡戴㜱摥〳挰戰昰扦攲搳㌴㠲晥ㅤ愸晤ㄴ扤づ愸㠷㕢㤶ㄹ㡦ㄹ戰晣挰搴つㄶ摥㑡慢㘸攷㝢㜲㜲摤㤹㐹扦㜳昹㍥㙡㔵㙦收㙡㠳㝡换愲ㅦ搲〶㔵昰㔴慥㠸㌷愶㌶㜹㉦㑣㑥晡愲扣㉢㌶㉢戱慣ㅤ㜷㈲㤹攴㤷攷㜴㡡户㕥昰㝣ㄵ㌰㌴扡㉢㔶㠸㘷挹㌲扦㈹㥢㉣摢㠶㑡㑢〶㘵㝣㌳㔹㡡㔱戳ㅥ慤㈹摡ち㈱捡㕢㥥つ㑦㐵㠵㘵昸昱㝦㡣㍥つ㥡摡ㄶ㡥㜵挵扢愲㠹昲㔹戸愳㕥捥敦慡㐷昱㙣挵㤸愲挱昰㤸戳㑥㜶慣戰㤳敦㡡㤱㐰〷ㄶ㜶㜶㉤改㤴搶ㄴ挵昹㤵㝤搶收昴敤换㙡〲昸㉦㥦㕤㐰㕥昰㕤㘸㔸搸昹〴ㄵ㤷昶〹扥㠷㍣㔲㍥晦愷㤰挳㥡挷㌶捦㙣愹㡡㐶ㅡ㥢ㅡㅡ㥡㥡敡㥢ㅡ敡慡㙡敡ㅢ㐷㠶愳攱搶慡㘸㌸ㅣ㜲㥢㕡摤㉡晦㠶愴㘹㕤㝤㘳愸㈱㕣㕤ㄵ㙤愸㙡慡ぢ㔷攱昵㐱戵愱㜰㘳㙢愸戵愶戶扡㌶搴㔸ㄵ晣扢㜱敦晣ㄳ㘵㥣捦㈰㠲扣㘵㠶摦昸㌶つ愱㝦ㄱ晡挰㐲㌴㄰搳㌲摥晣㘲换晤昸晦㍦晤〴㍦㠲㘷㑥〸晦㤷愸慣㝦昳搸ㄶ捦㝤㜷晦㔷挰晡〱㤳㍢㡢㌳昱昵㝡晦搷㐰戶〰㤲晥挲㥥攰挷挶㑢敡戵㌶捥㜷戰㔴扣敦挶㠳㈲扥昷㡣搸㜱搲敡挹昷〳㤴㥣㝣㥦㐲㠷ㅦ摣晦〱㤰㥣㝣扣昷㈶愸㜷昲愹㝦〲攲〴㜴㌶搲昳攷㌹㙤攴㘶ㄸ晤㈹搴㐳ㄷ慣㑥㝤㠹ㄴ㈷㠸晡捦てㅢ㌷㜲㔸〲挴㝤㐲戸攱戰㔲㍦〰攵搰㑡ㅦㅡ扣㈵㈶㐳㠳㉦㐱挲搰攰敤㉦㝥㠲摦搸〴敦㜷〹挲㝢㕥晣㤴㝤㡦㐴敦㠴㠹㌷挹搸ㄷ㠷㘱㜲ㄸㄷ㠷愱〸晥㘸昱㙤愹摣㡥愲㠴㕤摦〸㕣ㄳ晦〵㝡㤷㈲扥ㄴ㑡ㄲ捦㌱〷ㄳ㝣敤〸㐰㤲㜸㘵搱㌴攲ぢ㠰ち昱㐱㝡㉥捣㘹攳户攸〰摡挰㌱愹挳㜳㈳㠶昸㑦㍤挴晢〷挱㈴敦㈴㔷晦挸ㄹつ〷㥥㈴ㅡ㕢愲㌰愲ㄱ㌰昵昹户㐲㕥㑦搴敡㐸戸㉡ㄴ慤慤㡦搶㠵㙢敡㙡愲㜵愱㐸㘳㝤㕤慢㍢㌲ㅣ㙡㡡㐶㐲㈳㐳挱ㄲ摢挶慤㔱㈶搸捦收㠶㌰㔷㙡㜳搴㤵昵㐷慥㜷攲㔸〶捦愸挱攷摦ㄶ㌲㜳扡㙤〷㉣㝢㜲昹户〷㥣㌶ぢ㠳㐱攳挵搹㠹㈱摣ㄱ㝡㘷㘷昲㍤〰戸㡥晡㕢㘹㔱摦ㄹㄶ㡣晡㐰攸㈵敡扢〰㐸㐶㝤㤰㐵搳愲㍥ㄸ愸㐴㝤ㄸ㙣搵㔶㌹㙤㠶㔸㜴㔷摡愰〵ㄲ昵㙤㠱捡㜴㝢挵ㅢ昵摤㘰㤲㍦敡㉦攵㡣晡㜶昰㈴㔱慦㐰㘱㐴㝤㝢㔳㥦㝦て攴㜵搴㙢挳つ慤㘱搷㡤㠶㙡㙡慡敡敡㐳攱愶慡扡㔶ㅣ愶㙢㙡敢ㅡ㐶㐶ㅢ㕢愳挱ㅤ㙣ㅢ昷㐴㤹攰㡥㌶㔷挹㕣戹捤㔱㔷戶ㄳ㜲扤ㄳ昵㥤攱ㄹ㌵昸晣㔵㤰㤹㔱慦〶㤶㈳敡㌵㠰搳愳扥㡢昱攲散捡愸搷㐱㉦敦扤㔲挳㠰敢愸慦㑢㡢㝡〳㉣ㄸ昵㕦㐰㉦㔱㙦〴㤰㡣晡慥ㄶ㑤㡢晡㜰愰ㄲ昵扤㘰慢㜶捦㘹戳㠷㐵㝦㐹ㅢ戴〵扦戰㠹ぢ㔴愲晥㠸㈷敡愹㠳散㐳㌹〳㍣〲㠵㈴挰晢挰〷〲㕣㠵㍣㍦挱㙡㥢愸戱㠹㕡㤳㈸慢㐳愲㜷挲㔴て捦散㑢收㐱㜶愴挵昷愴戲㤲㘲〲扢摥〸㕣ㄳ㝦㜷ㅡ昱㤳愰㈴昱㑤搰ぢ昱㤳〱㈴㠹摦换愲㘹挴敦つ㔴㠸摦㡦㥥㐷攵戴ㄹ㙤搱愹戴㐱㌳㘴扡㡤〱㉡挴摦攲㈵㥥搳㑤㔶户㥢㜲ㄲ㍦ㄶ㠵㠴昸晤㘱〷攲㥢㡤㙢晦㑣攴昵捣㙡㙤㙡㙤愸㠹㌶㠴摤㈶ㅣ㔲愳㔵つ㡤搱搶㘸㝤㙤㜵㝤愴愱扥戵慥㍡攲〶挷搹收捣㐲㤹攰㜸㥢㥢捤摣〴㥢愳慥㙣㈲㜲扤ㄳ戲㐹昰㡣ㅡ㜰摢ㄵ搲攱㔴㜲㌸㜱㠲㤳㉤㕥㑢攵㐱挴敢㤰㔲晢〱搷㈱㕢㤹ㄶ戲㐳㘰挱㤰㑤㠱㕥㐲挶㉦㍢㈵㐳㌶搵愲㘹㈱㥢〶㔴㐲㜶ㄸ㙣搵㡣㥣㌶㌳㉤摡㑡ㅢ戴㐰㐲㌶ㅢ愸㠴散㑦摥㤰㜱㕤㤴㤰晤扦㥣㈱㥢㠳㐲ㄲ戲㈸散㄰戲戹挶戵㝦㍥昲㍡㘴攱挶慡㠶㠸ㅢㅥ㔹㍢ㄲ㈱慡慤慡㙦ㅤ搹㕡敦㌶戸搵㙥㜵戸慥愶㜵㘴㌴㌸捦㌶㘷〱捡〴て戰戹㌶收づ戴㌹敡捡づ㐲慥㜷㐲㜶㌰㍣愳〶㍣㌱〱改㜰捤㜳戸挲〵㝦㙤昱㈶㉡扢㠸敦㠵㤴㍡ㄴ戸づ搹㤹㘹㈱㡢挱㠲㈱㙢㠱㕥㐲ㄶ〷㤰っ搹㘱ㄶ㑤ぢ㔹〸愸㠴慣ㅢ戶㉡㥣搳挶戵攸ㄲ摡愰〵昸攵㔳昳㠱㑡挸㝥敢つ㔹昲ㅣ昲攴㥣㈱㕢㠰㐲ㄲ戲愳攰〳㈱㙢㐳㥥㥦攰攱㌶戱搰㈶摡㑤愲慣〳㠹摥㈱扥ㄳ㥥搹㤷捣挳㕢㤷挵㐷㔳戹て挵㜱散晡ㄱ挰㌵昱扦㐹㈳晥〴㈸㐹㝣っ㝡㈱晥㐴〰㐹攲攳ㄶ㑤㈳㍥〱㔴㠸㍦㤹㥥ㄷ攷戴㔹㙡搱摦搲〶捤㤰戹㜲㈴㔰㈱㝥㠹㠷㜸晦㘹㌰挹㝦㌶搱㥤㌳ㅡ㐷挱㤳㐴攳㜷㈸㡣㘸ㅣ㡤㍣㍦挱㘳㙣攲㌷㌶㜱慣㐹㤴㉤㐷愲㜷愲㜱ㅣ㍣愳ㅤ㍥晦ㄹ㤰㘹ぢ扤晦昷㐰㜲㥣ㄱ㥣〹㌸攳攴㈱㜸扣昱㈲慦㕢㜴捥㠲㠵㌳ㅥ㑥搵㠹挰㜵散㍡搲㘲㜷㉥㉣ㄸ扢㤳愰㤷搸㥤〷㈰ㄹ扢㤳㉤㥡ㄶ扢㔳㠰㑡散㉥㠰慤㍡㌵愷捤改ㄶ扤㤰㌶㘸㐱ㄱ㕢㜱〶㔰㠹㕤搴ㄳ㍢㈷戹㌴㐵㜲㠶改昷㈸㈴㘱晡ㄳ㕣㈱㑣㘷㈲㡦ㅦ㥦晦ㄲ攴捤愹㍥ㄶ愴㐸愴搶つ戹㡤つ㜵搵㌵愱挶摡㄰㡥㜱昵搱㐸㔵㝤㑤㙢戸㍥散扦㌴㘹㡡戵慢㉥ㅣ㙤慡ㅡ㔹敢戶昲晡扣愹慥㉥㕡ㄳ慤㜱摤晡㤱㜵戵㌵攱扡攰ㅦ㡣㝢攷㌲㤴㜱㉥㠷〸㥥㘵愱ㄵ㠴慥㈰㜴戶㠵㤲㔶㘵攷〰敡㥤愱㜱㉥㍣愳搲慣㐵敤㍣㡢敦㐷攵㌵㙣摣ㄴ搲㝣〱㜰ㅤ散搹㘹挱扥ㅥㄶっ昶ㅦ愱㤷㘰摦〰㈰ㄹ散ぢ㉤㥡ㄶ散㡢㠰㑡戰㙦㠲慤扡㌸愷捤㈵ㄶ扤㠵㌶㘸㠱㑣搴换㠰㑡戰愷㝡㠳㥤㍣㐲敥㤷㌳搸㤷愳㤰〴晢づ戸㐲戰㔷㈰㡦ㅦ㥦晦㑥攴㜵戰ㄱ搲挶慡摡㤱㑤攱敡敡㠶扡挶愶晡㔰㔳昵㐸㌷㔲㠵㑣㌸攲搶㔶搵昸敦㑡㥡㐶㙢㙡挲慤つ㈳ㅢㅡㅢ慢ㅢ敢㙡㙡㜰晥㕦㕢㔵㌵㌲ㄲ㘹㡤㐴ㅢ挳㑤㑤攱攰ㄵ挶扤㜳㌷捡㌸昷㐰〴㔷㕡攸㕥㐲昷ㄱ扡搲㐲㌴㄰搳戲㔵㠰㝡㈷搸㔷挱㌳慡挹㍡㉡晦搹攲晢㔳㌹㤳㘲つ散搴㌵挰㜵戰昷㑥ぢ昶㘳㔰㌲搸搷㐲㉦挱㕥ぢ㈰ㄹ散敢㉣㥡ㄶ散敢㠱㑡戰㥦愰攷ㅢ㜳摡摣㙣搱㈷㘹㠳㘶㐸戰㙦〵㉡挱慥昳〶㥢㐷㘵㌹㠳愹挹ㄹ散摢㔰㐸㠲晤ㄷ搸㈱搸户㈳捦㑦昰づ㥢戸搳㈶敥㌲㠹戲扢㤱攸ㅤ攲敦㠱㘷戶搷攱〱搸攱㌱搷攱ㄱ㌶㜸慦挵て愰昲〵攲㝣㤷㠰扡ㅦ戸㈶㝥昷㌴攲㕦㠶〵㠹㝦〰㝡㈱晥ㄵ〰㐹攲ㅦ戴㘸ㅡ昱慢㠱ち昱慦挱㔶㍤㥣搳㘶㡤㐵摦愰つ㕡㠰㕦㜸ㄲㄴ愸㄰扦㡢㤷昸攴㉣摢㈹㈷昱㙢㔱㐸㠸㕦てㅦ㈰晥㜱攴昹〹㍥㘱ㄳ敢㙣攲㐹㤳㈸㝢ち㠹摥㈱晥㘹㜸㘶㕦㌲捦㐳㥥戱㌸㕦㐹㈰敦挶㜵摥㘷搷㥦〵慥㠹ㅦ㤲㐶晣㠷㔰㤲昸扦㐲㉦挴㝦〴㈰㐹晣㜳ㄶ㑤㈳晥㜹愰㐲晣㍦攸昹挵㥣㌶㉦㕢昴㔳摡愰㉤㌲攲㕦〵㉡挴て昰ㄲ㥦㕣换㠲㌹㠹㝦つ㠵㠴昸捦攱ち挴扦㡥㍣㝥㝣晥㝦㈱慦て㙦㙥㌸敡扡㤱㔰愴㍡㔲㔳㔷㔷摤ㄴ㙥㙡挰愱慤愶扡㙥㘴㌴㕣㕤搷ㄸ愹昳晦㍢㘹㍡戲捥慤慥慡づ㠵㙡㜰ㄱ㔶ㄷ慥㡢㘲愳愳扥戵愶戵戵㍡搲敡㌶㌶㔵㌷〴摦㌰敥㥤㉦㔰挶昹ㄲ㈲昸愶㠵扥㈲昴㌵愱扦㔹㠸〶㘲㕡昶ㄶ愰摥〹昶㝡㜸㐶㌵㔹㙢搹摢ㄶて㔳昹ㅦ戶㈴㠲㤴㝡ㄷ戸〴㤳扣戱㈰晦〷摦〳㕡㑣㐳㝥〹挸㈹愰攸㐳㠱㔷挲攳敦〶㔰昸㈹晡㐲〴㠲㌶攰敡㝤敢换㈲昰攰ぢ㝥〸ㄴ㜶㜸㙥ㅥ戲戴㑦搱㈷挸敦㥤晦㝢昲㥥晤昰ち摣攰㐹㝢搷敤㜸扣扢㜶ㄹ㡡晢晡攰ぢ㌸㐵戲㑢㕥㔸戰搷㑦昳挵摢㘷扣愹挸晦㐵㕦㝤扦㜱攳晦挱て〹㑣摤㕤愱挷ㅤ昱摦㈹㐱㠷㡢晥㠹昶收晣㥥㙡㑦㙦挶攷㝤㠷挱ㅤ㤳攳戸〷㠰㌷㠴捥敥ㅡ㤳㝣㍢晦ㄶ昶摥㐰㠵㝤㍢改戰ㄴ㘲扦㄰㙥㡢㑤㡦㈵换攱㘵㥢戸㈵〷㐵〵摦㘵㍡㌸㤵昳扣㘶㜳摢ㄴ㡡㙦晦攳㍢挹㙥挴㝡㡣攳ㅢ㔸㠵〵㝤搴㥥昹挹挶换ㅢ捤つ㌹敢㈶㑥㈶戶捤昱捤愷戱㙤〹戹晦戶〵昴捡昹ㄴっ昹㑢挱ㄵ摥㌳㍥㝥㘸㜵㘳搱扦㄰㡤晦慥愲散〰挰㌳扥㔵㔴〶慦敡㌳昸㘷ㄴ㤴戳㠱㌵㙤愱㙢ㅡ挷㥡㌶愰愶摤㜳㜵挹扣ㅤㄳ㝤戲㥤ㄹ摦搹摤㤱㕥つㅦ㈵㈳㠲㉦㕣戰㥡捦攱㥣晥〸愹㝦㈱挳㙥㈰㡤㈷㥣㤱ㄹ㠲㠴戳㥣攲㌸㡡攳㈱搴㐷㌰挸昹挲捡て㡤㈲敢㠵㤵㍦挰ㄳ晤㍢㐳㔰㘳㜲戶晥〸㔴㘶敢㌶㐰㥤㙤㈹戶愳搸㥥㘲〷㡡ㅤ㈹捡㈱〲㙡愳㜵㤱㌶㐹㜹晦〶㙡散㙢㐳㤶昶㔱扣〹挳㠹慡摥㐴㔳㌸㍢㘴㐰て㠵㔲㤵㐰㤵慢㌷慦攴敢捤换㐶㤱昵㐶挹㔲㜸㤲摥散づ扦㐸敢㘳㑦㝦愴愴㌷ㄵ㐰㥤㍤㈸昶愴愸愴ㄸ㐱㔱㐵㔱つㄱ㔰㜲㡢㠴敤㑥敢捤〰戸㠰ㅡ㡦晤㐳愲㌷扣㠹㈱扤㜹捡摢㥢㝡㈸ㄵ敦㍦攸挱戱ㄵ㔲晥〶㘰ㄸ㠶ㄸㅣ搵敡㜱ㄸ摢㠰〶㥣㈶㕡昳摥㠵㠵ㄴ敦〳攴㈲攲㤱㝣㐴㍣㙣ㄴ㔹㉦㡣攴晤〲㈱㘲㌴㉡㐱㕡ㄳ挱㥢〶㐲挴㍥㐰㥤㌱ㄴ㘳㈹㥡㈹挶㔱㡣愷㤸〰ㄱ㔰㜲搷挰㑢〴晤〵㜹㥦〰㙡扣㠵っㄲ㐴㔴㈰㉦㐴摣改㈵㘲㕦㈸搵㥥㔰㘹㈲戸搹敦㥦〲㑣捦挷㍡㜵㉢㡣敤㘰づ㌸搳㘸㕤〹ㅢぢ愹㍡㘴㜲ㄱ㜱㐳㍥㈲慥㌷㡡慣㤷㐳㌶挰㤳㄰㌱ㅢ㤵㈰慤㠹攰㍥扡㄰㌱〷愸㌳㤷㘲ㅥ挵〱ㄴ〷㔲ㅣ㐴㜱㌰㐴㐰敤㘵㕤愴㡤〸㙥㥤㐳㡤㔷㤳㐱㠲㠸㝤㤰ㄷ㈲㔶㜸㠹㘸㠱㔲㑤㠰㉡㔷㙦晥㤴慦㌷ㄷㅢ㐵搶摢ㅣ㈷搹愶戸昰㡢戴敥捤㘴愴愴㌷㔱愰捥㝣㡡〵ㄴ㙤ㄴ㠷㔳㉣愴㘸㠷〸愸晤慣㡢戴摥㑣〵ち㌵㕥戱つ㠹摥㜰㔳㔹㝡㜳㤶户㌷㡢愰㔴摣て搶㘱㥤㠹㤴㍦〶㑣㠷戵㔶㥤〱㘳ㅢ㐳扣㍥㥢搶戳㘱㘳㈱㜵㄰㌲戹㠸昸㙤㍥㈲㑥㌱㡡慣㤷㌵㜲户㔷挲㝡㈴㉡㐱㕡ㄳ挱㉤㕦㈱攲㈸愰捥搱ㄴ挷㔰晣㠶攲㔸㡡攵ㄴ挷㐱〴搴㘱搶㐵ㅡㄱ摣攵㠵摡攷㥣〰〹㈲愲挸ぢㄱ㐷㝢㠹㌸〹㑡挵㕤㔶㑤〴昷㙦晤愷〰搳ㄳ扤㐶㉤㠵戱㥤搵〱攷㔴㕡户挱挶㐲㡡㝢愳戹㠸㠸攷㈳㈲㘶ㄴ㔹㉦㘶㡣挱㤳㄰㜱㈶㉡㐱㕡ㄳ挱㡤㔴㈱攲て㐰㥤戳㈸捥愶㌸㠷攲㕣㡡昳㈸捥㠷〸㈸搹㐹㘵㤷搳㠸㔸〲ㄷ㔰晢㥣㍦㐲㠲〸㙥㠰ちㄱ昳扤㐴㕣〴愵攲㕥㘳慥摥戴收敢㑤挸㈸戲摥愴挸㡤㐹改捤㘵昰㡢戴敥つ㜷㈷愵㌷㤷〳㜵㔶㔰㕣㐱戱㤲攲㑡㡡㔵ㄴ㔷㐱〴搴挹搶㐵㕡㙦戸㈱〹戵捦戹ㅡㄲ扤攱〶愲昴㘶慥户㌷搷㐲愹戸〵㤷慢㌷晢攷敢捤っ愳挸㝡昵攱戹戶㈹㌷挳㉦搲扡㌷摣慦㤳摥摣〲搴戹㤵攲㌶㡡摢㈹敥愰戸㤳攲㉥㠸㠰扡挰扡戰扤㈱㍢㐱㙥搱㐱㡤晤て㐸昴㠶晢㙣搲㥢昱摥摥摣〷愵扡っ㉡㍤㐸戹昹收㝦〰㤸ㅥ愴㈳搵ㄸㄸ摢ㄱㄹ㜰㔶搳㥡㥢㘷摡㥡晢㙦晥㠷戵㌵晦㔴㡢ㅡ㘵慣㔱㉤捥㑦搶搰㥡㥢㙢搶㠱攲㈶ㅢ㌳搴㉢敥㙣攵攲戰ㄱ〶㌹捦㑦ㅡ㡣㈲敢つ㠹搷挳㤳㡣㠸㜵愸ㄱ㘹捤㈱户挱㠴挳㈷㠱㍡㑦㔱㍣㑤昱っ挵㕦㈸㥥愵昸㉢㐴㐰挹㍥ㄸ㑡愶㡦敦㕢攰〲㙡㥦昳㍣㈴㌸攴昶㤵㜰戸〷㥡㤲㍣㍦㜹ㄱ㑡挵慤㈶捤捡㥤㐸昹㕦〶愶㡦㜸㑤㙡㌸㡣敤攱つ㙦换愲㌵户㥣戴㌵户戵晣慦㙢㙢慣晦㑤㙡㈸慣㉤㘱㜸敦っ慤戹㘷㘵㈱挵扤㉢敢㑤㜱慦㈸ㄷ㠷㍢ㅡ慡戲摥戳扤㠳㔱㘴扤㐸昱㌱㜸ㄲづ摦㐵㡤㐸㙢づ戹扢㈴ㅣ扥〷搴昹㍢挵晢ㄴㅦ㔰㝣㐸昱ㄱ挵挷㄰〱昵㠴㜵㘱挷㈱扣昸㠲㑦〲㠵ㅡて㕦㐱㠲㐳敥ち〹㠷〳搱㤴㈴㠷ㅢ愰㔴㉦㐰㤵慢㌷晤昳昵愶搴㈸戲㕥㜷昸戲㙤捡ㄷ昰㡢戴敥つ户㙣愴㌷㕦〲㜵昸㔷ㅥ㥣慦㈹昸摥㑣攷㕢㡡敦㈸扥㠷〸㈸搹戳㘱扢搳㝡挳㕤ㅡ愸昱㈸ㄳ㈴㝡戳ㅥ㜹改㑤㠱户㌷ㅢ愱㔴敦㐳㤵慢㌷㍦㝥㤷㘷㝣晦㘰ㄴ㔹敦㈷攴ㄶ㠸挴愶〸晢敤㐸敢摥㝣㠴㤴昴挶て搴改㑢㔱㑣挱扦戰攷〴㈸㑡㈸晡㐱〴搴㍦慣㡢戴摥㝣ち㔴㝡搳ㅦ㐶攸つ昷㉦愴㌷㥦愳㈹挹搸〴愱㔴㕦㐰愵㐷散扦㤰昲て〰愶挷㜷㠳晡ㄴ挶㜶㐴〶㥣㐱戴收㥥㠳戶收扥㠶㝦㑢㙤㡤昱摤愰㍥㠲戵ㅤ捣〱㘷㙢㕡㜳搳挲㐲敡㙢㘴慣㌷挵ㅤ㠳㕣ㅣ扥㘷愸捡ㅡ摦敦ㅡ㐵收㙢っ㠳散愷㜴㜵〷搴攸散㐸㔱づ㠱㤷㌳〲㤵㍥扦㠵愲散㌳慡〴㕣㘰攱扦ㄹ㤸㔷㡤〱搵挷挲㙦ㅡ㜸㑢㠱ぢ㉤晣㠶㠱户ㄲ戸挸挲慦ㅢ㜸戸挰㝥ぢ扦㘶攰摤〴敥㙢攱㔷つ㝣㈰攱㈲〷㜰捥慢㐵㜹换㔱愵㝥ㄵ㑣敡㉦㄰昱晢ㅤ㐵㔱㍥敦㔹ㄲ搵㝦〰㠸㝢づ昲㐶扤㜶㜹㔸戲ㅦ摥ちㄳ挳摦〰㥡㠲ㄷㅤ攱㕤㌰昸慢㜷收㌱㍦扣〰㠹㙦攷戰敦ㅤ㜱㈴挷挲晥攸昴ㄸ㕥㐴搲㌷㍡㌹㡥搷㈹㐵㡡昱搷㌵ㄲ昸㥢㑣㥤㍦㠷攷㤶昱昸㙡㈱慥ㄸ昱㤱㌷ㄹㄵ攴㝣㜲㤴㡦㠴㘶扥愷挴昳捥愸ㄴㅦ昶扤㘱〵㝣㤹捣㑦㝢㙡搹㍦ㅣ挳㉡昵㐷ㄸㄶ㜳〳㈴㕥愰㕥㐶㑣昵攳㠷ㅢ㝤戲晥㜱㡢搰搹ㅤ戶晥ち〸晥ㄱち㈵晤挰ㄷ㈳㥣㍤㠰挸㘳昹晡搹晣愲ㄲっ㠱捣㡥昱㌹摥〹㉣㤱昱㘷㙣㑡㑡搸摢㔹ㄷ摥戳捦㡦戵㠷㡣㈹攴㕥㐴㑦㥢㈱ㅣ敤㝤㍢㕡㐲晣昳㥥挵ㅤ㉤敤㙥攷晣挴㠲攴㥦昴挴㍥㉢晥㙥㠹㔳㠹昶戰㉡晥㔷〳攱㤱㕥㥤ㄱㅥ㌴㌸〴〸㝥㜰㤹捣戶㔷㔳搴㐰〴搴㌶㐰㘵㝥㍤㙤㐶戵㥥㕦摢㕡昸㈹〳敢昹挵ㅤ〴戱㝥搲挰㝡㝥㙤㙦攱㜵〶搶昳㡢扢っ㘲晤㠴㠱昵晣摡搱挲㡦ㅢ㔸捦慦㜲ぢ慦㌵戰捣㉦戵㌳㘰捥㌱㠷㠱㉢㔰㡦㐲㈹㠱晡㐷捤㤰㔴愰㝥挹づ㌱㔰愹㈰晤㡡㔰㥣㕤愶昰愹愱昰挱㐰㔹敡㠳扢㈳㠳ㅦ摣㙣愷攵ㄸ㡡戱㄰〱㔵〱㔴㥡㝤扦㘹㠸愶㘴てぢ摦㘷㘰㑤〹户㈱挴晡㕥〳㙢㑡㉡㉤㝣㡦㠱㌵㈵㈳㉣㝣户㠱㌵㈵摣扣㄰㈷㜷ㄹ㔸㔳挲敤っ㠱敦㌴戰愶愴ㄶ戰㠷㤲摢愱㌴㡦捥摡扦〲㠳戱㍢㠵ㅤ㑡愷㘴ㅡ㈱て㈵昵昰攳愵㐴㌵〱㤰戱㌳〳㤶㌲摣挱㑦㜰㌴㔰晣昸㥣晤㔹㝥㈶挵㉣㠸㠰摡〷愸㌴敦㍡搳㍣㑤ㄴ㌷㈵〴扥搶挰㥡愸戱ㄶ扥挶挰㥡愸㘶ぢ㕦㙤㘰㑤搴㌸ぢ晦搹挰㥡愸昱ㄶ扥捡挰㥡愸〹ㄶ㕥㘵㘰㑤ㄴ㌷㌸㍣㐴慤㠴㔲㠸㕡㡥扦㤸㠳づ攱〳愲づ㘱㠷搲㠹㙡㈱攴㈱㙡㕦昸㐹㈳㙡ㅡ〰㈱㉡〴㑢㍢昵㠲戳㠱攲〷㙦㌰㘷昹㌰㐵〴㈲愰收〰ㄵ㐶晥㥦㘹㥥㈶㡡㥢ㄶ〲㕦㘴㘰㑤ㄴ户㌱〴扥搰挰㥡㈸㙥㙣〸晣㐷〳㙢愲づ戴昰〵〶搶㐴ㅤ㘴攱昳つ慣㠹㍡搸挲攷ㄹ㔸ㄳ㜵〸㘰て㔱攷㐰㤹㍤挹昸ㄷ㠴㌳㠸㕡㐴挸㐳㔴ぢ晣㜸㠹ち扡〰昰㠳搷愱㡢㈵㐵〲㈲愰愲㐰愵㌷愷㥢㠶㘸㑡收㕢昸㌴〳㙢㑡戸ㄷ㈲搶愷ㅡ㔸㔳搲㘶攱摦ㅡ㔸㔳㜲戸㠵㑦㌱戰愶㘴愱㠵㑦㌶戰愶㠴㝢㉡攲晢㈴〳㙢㑡㍡〱㝢㈸㌹〱捡散戱昳ㅢ㜶㈸㝤散㉣㤷㡥戲换晡戸挳つㄷ㉦㈵㉡〱㐰挶捥昱戰㑣㡥㥤㈳㠱攲挷攷㥣挰昲㈷㔲㥣〴ㄱ㔰㐷〱㤵收ㅤ㘹㥡愷㠹攲捥㠸挰换っ慣㠹㍡挶挲㑢つ慣㠹攲敥㠹㔸㉦㌱戰㈶敡㔸ぢ㉦㌶戰㈶㙡戹㠵扢つ慣㠹攲㥥㡢㌸㐹ㄸ㔸ㄳ㜵〲㘰て㔱㌱㈸戳㡦㐶㘷戲㐳改㐴㥤㐵挸㌳㜶㑥㠲㥦㌴愲㑥〵㈰㐴㥤〳换攴搱攸㑣愰昸挱ㅥ〸换㥦㐷㜱㍥㐴㐰㜱㥦㐴㥡搷㘶㥡愷㠹攲捥㠹挰ぢっ慣㠹攲㕥㡡挰昳つ慣㠹㍡挷挲㔱〳㙢愲捥戵戰㙢㘰㑤搴㜹ㄶ㡥ㄸ㔸ㄳ挵㍤ㄹ昱ㅤ㌶戰㈶㡡扢㌰ㅥ愲㐲㔰㘶㑦戲换搸愱㜴愲㔶㄰昲㄰㜵ㄱ晣㜸㠹ち㕥〶〰㍦搸㑤愱攵㤵ㄴ慢㈰〲㡡㥢㉤搲㤰〳㑤㐳㌴㈵㉢㉣㝣㠰㠱㌵㈵㔷㔸㜸㥥㠱㌵㈵㉢㉤㍣搷挰㥡㤲㉢㉤㍣挷挰㥡㤲㔵ㄶ㥥㙤㘰㑤〹㌷㜶愴㈵戳っ慣㈹戹ㅡ戰㠷㤲晤愱捣ㅥ㍢㌷戱㐳改㤴摣㐲挸㐳挹戵昰㤳㐶〹户㙢昰㠳㝤ㄹ㕡摥㑥㜱〷㐴㐰㜱挷㐶ㅡ㌲搹㌴㐴㔳㜲慢㠵㈷ㄹ㔸㔳㜲㥢㠵㈷ㅡ㔸㔳㜲扢㠵㈷ㄸ㔸㔳挲㥤ㅦ昱㍤摥挰㥡ㄲ敥〵〹㍣捥挰㥡ㄲ敥づ〹摣㙣㘰㑤挹㍤㠰㍤㤴㡣㠱㌲㥢㤲搵散㔰㍡㈵てㄳ昲㔰挲慤㈳㉦㈵㙡㌵〰㤹㑥㙢㘰㘹愷㤳㕡㘳搱㐷㍤㘸㜰ㅤ㔰晣攰捦㐸搱敢㕡㡡挷㈱〲敡㐹愰搲攸〶搳㘸㑤ㅦ户㙦〴ㅥ㘹㘰㑤ㅦ㌷㜴〴慥㌷戰愶敦ㄹぢ搷ㄹ㔸搳昷ㄷぢ搷ㅡ㔸搳挷㙤㈰㜱㔲㘳㘰㑤ㅦ㌷㠶〴慥㌶戰愶敦㜹挰ㅥ晡㐶㐰㈹昴㘱扤㑦㉤昹捦戱㐳改昴扤㐰挸㐳摦㡢昰㤳㐶摦慢〰㠴扥㤷㘰㘹て摢敡㑤㡢扥散㐱㠳敦〲挵て摥挳㑥慦慦㔲扣〶ㄱ㔰敦〱㤵㐶て㌳㡤搶昴晤摤挲㐳つ慣改㝢摦挲扢ㄸ㔸搳挷摤ㅤ㜱戲戳㠱㌵㝤摣敦ㄱ㜸㈷〳㙢晡㍥戲㜰戹㠱㌵㝤ㅦ㕢㜸㐷〳㙢晡戸ぢ攴愱㙦㝢㈸昵攸昳㕥ㄶ扤挷づ愵搳昷㍥㈱て㝤ㅢ攰挷㑢㕦昰ぢ〰昸挱戶ㄴ㉤㍦愲昸ㄸ㈲愰扥〴㉡捤ㅥ㙣ㅡ愲㈹攱昶㡦挰㠳っ慣㈹攱㠶㤰挰〳つ慣㈹攱ㄶ㤱挰〳っ慣㈹昹搶挲㕢ㄸ㔸㔳昲㥤㠵㠳〶搶㤴㜰㘳㐹㥣㤴ㄹ㔸㔳昲㈳㘰て㈵愵㔰ち㈵㘹ㄷ㈰㕦戰㐳改㤴㝣㐵挸㐳挹㐶昸㐹愳㠴摢㐵挰戰挱㐵换㙦㈹扥㠳〸㈸敥ㄸ㐹㐳㡡㑣㐳㌴㈵摣㐳ㄲ戸搰挰㥡㤲㘲ぢ昷㌱戰愶㠴晢㑣㘲㕤㘰㘰㑤〹㜷㥥〴㔶〶搶㤴㤴㔸搸㘷㘰㑤〹㜷愷挴㝡攳户㝡昷㐵㔳挲晤㈸て㈵㍦㐲㤹㍤㑡ち昱扣㐲〶㈵㝥㐲ㅥ㑡㠲昰攳愵㐴つ〲㈰㤳慣ㄸ㤶挹㐹挶㕤㈸㐱ㅤ㠳㠲㌴晣㡤㐴愰搲戶慦㑣摢昸攵昶攲〲扦攲敥㤱㈸扥㌴ち扥慥戴㤸敦愹戵㡡㉦㡣㘲㌴ㄴ㑥㈹㥣ㄶ昱㑡㝦戳户㈰戸搹昷ㄳ扦㔳摣ㅦ㤵㈹敥ㅦ挸㠶㘱㤹愷㤷㘵扣㡡㈷㕡捣㘸㤷昱敡㍤㤹㔳㔵挸㐹㤷㍥换攸㉢慦攴㐵昱捦㡣扥搶㔸挵〶㙦㕦〷戲㝡㕥㉣戳扦捥㈰收㜸㥤㉣㡤ㄹ捣ㅣ慡㤶晦晢搸攲ㅦ㘷㔴挸敢㘴愹昰愳㡣ち挷㕡挵㠷摥ち㠷搰㈹㉦㐵愵挲㙤㤸攳㔵愸㔴戸㉤㜲㌶挶㘵㌳っ㕡㡣ㄶ昸ㄴ慦㌴愵㤶昷㌲慡㥦㘹ㄵ敦㘶㔴捦㉢㔲㈹昱㡥户晡ㅤ㔹㈱㉦昰愴晡㜲收㜸㙤㈷搵敦攴慤㥥搷㜱㐴㠵㝣搵㙡㥤晤㉤愳㝡㕥搳㐹㉤㙦㘶㔴ㅦ戱㡡㌷扣搵て㘳㠵扣㙣㤲敡㝦挱摣㈲攴愴晡㕤㤹戳㜴挷㙣昱㔷㌲㉡㡣㕢挵换ㄹㄵ㈶慣攲㈵㙦㠵ㄵ㜴捡㡢ㄲ愹㜰て收㤶㈳㈷ㄵ敥㠹㕣㤲敥攳つ慡晢换㙢づ改搶㜳ㄹ搵㥦㘸ㄵ㝦捤愸㥥搷㈶㔲攲㔹㙦昵搵慣㤰愷晡㔲㝤つ㜳㍣换㤷敡㙢扤搵昳㡣㥥愸㡥昶戹搶搹㔳ㄹ搵昳散㕥㙡㜹㌲愳㝡㥥昱㡢㘲㥤户晡〶㔶㜸ㄹ㔴㔲㝤㈳㜳㉢㤰㤳敡㥢㤸戳㜴慦戴挵ㅦ换愸㤰攷捥攲昷搱㡣ち㜹㍥㉤㡡㌵摥ち㐷搱改㑤㔰㐹㠵扦㘲敥ㄶ攴愴挲搱挸㔹扡搵㙤戶昸敡㡣ち㜹㘶㉡㝥ㅦ捣愸㤰㘷慢愲㜸挰㕢㘱㌳慢㔸つ㤵㔴㌸㡥戹㠷㤱㤳ち挷㝢㉡㉣㕢㘳㔰㈱戸㡣攷㜶戴搱㜴昳㥣㑥㕣摦㤳搱ㄸ㥥攷㠹攲敥㡣挶昰摣㑦ㄴ㜷㜹ㅢ㌳㤹搵㍦〷㤵㌴㘶㕦收㕥㐰㑥ㅡ戳㥦户㌱㍣㘳㤲敡攵挸挶㌳愵㘴㑥昱っ㐹㕣摦㤶搱ㄸ㥥㌵㠹攲搶㡣挶昰㑣㑡ㄴ户㜸ㅢ㌳㥤搵扦〷㤵㌴㘶〶㜳㍣㈷㤱挶散敦㘹㡣攲昹㠷ㄴ扦㈱愳㐲㥥㤳㠸攲晡㡣ち㍦戶㡡敢扣ㄵ捥㘱ㄵ㕦㐰㈵ㄵ捥㘵㡥㉢扥㔴㌸㡦㌹㍢搸戸扡㡢摦㍦㘷㔴挸ㄵ㕦ㄴ㔷㘵㔴挸戳〰㔱慣昲㔶㜸㌰㥤㜲㔱㤵ち㝦捤ㅣ搷㔳愹昰㄰㈴散㘰㉢攳摡㐹㔴㉦㈴㕣㌳㈵〷挴㔷挶挵㙥ㅥㄲ〵㑢㔵昸戰挸㘱㠷㝤㔳㔶㔸扥㑤攱〱晢昴扢㜰晤扡㜷捥㝥攱搷愳㍥昸攱攲㡢㕦㜸敦散愷㝥戸慦㜵搴摡ㄵ㉢搶散㝢改㔳敦っ㠸㕥㔶㜰挷㌷㔳㉥㍢扡㝡攱搱㐷㐴攷散㍥昱攸〳て摦扦㝡挶ㄶㄵ㝤晡昴敤扢敢挰挷户ㅥㅥ㕣㝥挴㕤敡愱㔷户敡㔴戲挰愱〲攷㔰搳㈴挶㍣挸㠵㑥㑥㜵㕡㤰㜰づ㠳㈸㉤㈸攳㘲搴慢㙤㤱昵㡤㙤〹愱㈶晢〹㜲㥤㤳戶戴戲ㄹ㝤捡戸㐴昵㙡㌳㘴搵㘳㌳挲愸㠹㔱㐲㜸㝤㐱慥㝥搲㡣〸ㄲ㡥ぢ〱㑡戸㕥昵㙡㕢㘴〹㘴㕢愲愸㠹ㅦづ㡤㈰㤷㐲㘹换㝣㈴㥣〵㄰㘸ぢㄷ慦㕥㙤㡢慣㠷愸㍥㍤㍣㕣ㄷ愵㉤㠷戳ㄹ㝤捡戸愴昵㙡㌳㘴㤵㘴㌳搲㈸攱㙡㈹捤㘸㐷挲改㘰㕢ち捡戸扥昵㙡㕢㘴挹㘴㕢㍡㔱ㄳ㠷㡡捣ㅥ㉥㥤搲㤶㉥㈴㥣㐵㄰㘸ぢㄷ扢㕥㙤㡢慣㥦㔹攱攱㍡㉡㙤㠹戱ㄹ㝤捡戸〴昶㙡㌳㘴㔵㘵㌳攲愸㠹愳㤵戴〴戹扡㑡㌳ㄲ㐸㌸摤㄰愰㠴慢㘳慦戶㐵ㄶ㕣戶㘵㌱㙡㑡捥㘴㉥扣搲㤶㈵㐸㌸㑢㈱搰ㄶ㉥㡥扤摡ㄶ㔹㙦搹㤶㘵愸㈹㌹㔴戸敥㑡㕢㡥㐴挲㌹ち〲㙤攱摡搸慢㙤㤱攵㤶㙤㌹ㅡ㌵㈵摢挲㘵㔷摡㜲っㄲ捥㙦㈰搰ㄶ㉥㥢扤摡ㄶ㔹㠹搹㤶戴㠳㍥㔷㘴㘹换㜲㌶愳㑦ㄹㄷ搳㕥㙤㠶慣捦㙣挶㜱愸㈹㐹〹搷㘹㘹挶昱㐸㌸㈷㐰㤴ㄶ〴戹㔲ち㜸㈲挱㤳〴㔴㕣㈸攵ㅣ攰㐸㜳づ㌰ㄶ捥㡡昱戶㐷㉥㥥愲㔸㘶ㄴ㝣㠱㥤昳㕢愰㐱摢㘳挵㤵㑤㙣㤶愴ㄷづ㜲〵㤲慡㑥㐳挲㌹ㅤ愲戴㐰㜱〱ㄲ敢㐴扡戵攲愲㈴㡡戸户慡摦〳つ㈶㡦㤵㕣㌱挴收㠸㡣挲㕣㐵㐴戱挸㕢昸㉣愰㡡㐷㜶㔱㜵㘶㤴攱戱㔶ㄴㅤㄹちㅥ㝦㐵搱敥㜵㜶ㅥ搰㈰㡦㤴搲愵昳㤱㜰㉥㠰㐰㤷㜸愰ㄴ晢〵ㄹ㡥㜸昰ㄴ挵㝣慦愳㡢㠰㉡ㅥ搰㐴攵愶㤷〹昲挰㈳㌵㕣㡣〴ㅥ挳攱㈱㐷っ挳改㠶㡡㠷㈱㔱戴㝡㥤㕦ち㌴挸〳㠶昸戸っ〹攷㜲〸戴㤲挷ぢ戱㍦㌴挳ㄱ㡦㈱愲㌸挴敢㘸㈵搰㈰㘷扢㌸扡ㄲ〹㘷ㄵ〴ㅣ㜱戲㡢晤㠱ㄹ㡥㜸〰㄰挵〱㕥㐷㔷〳つ㜲慡㡡愳㙢㤰㜰慥㠵㠰㈳捥㔴戱㥦㥤攱㠸戳㔷ㄴ戳扣㡥㙥〰慡㌸愳㐴戵㝦㝡㤹㈰㐷扥搴㜰ㄳㄲ捥捤㄰愸㠱〳㕦慣愷愵㕢㉢㑥〶㔱㑣昵搶㜰ㅢ搰㈲捥㡢ㅥ晥愶㔸敡昹㄰㕥摦㌸ㅤ昸扢㘱〹㍥㈹ㄲ攸攰搷㌳攴慢ㅡ晥づ晥㤵慦捥㉤捣㜷㔱㉡㤲㌶〳㤲㐸搲戶㝦ㄲ㤲㌲㐳昴㕦敢〹戵戶扢㌴愹㐸㌹ㅤ㥣愹ㄱ㝢昴㤸㥤昶敤㥣敢ㅢ㈴晡㤹㈰摢㐰㝥ㄳ愶㔸㙤戶㘱戱㘲〱攷㜶戰挱㡦㑡愵㈴慢㜸攴㤰㐳挸ㅤ㐸戰つ捡㐹愶㈴慢㜸㤴㤰慢㠷㍢㤱㔰㍣〶㠸晤㕤㐸㠸ぢ㈷㤹㤲慣攲〱㐲㉣敥㐶㐲㝢㑣愶戴㐷ㅥっ挴攳㍤㐸㈸捥㙥挹摤换ㅣ愷愷攴敥㘳㡥搳㔳㝣摤㡦㠴慥㉤㤹搲戵㜱敥㡡挵〳㐸攸摡㤲㈹㕤ㅢ攷愹㜸㝣㄰〹挵改㈸昶慢㤳昶挹㤴戶攷搴ㄳ晢㠷㘸捦愹㈷昶て㈳愱㕢㤰㑣改ㄶ㜰㕥㡡挵㈳㐸攸ㄶ㈴㔳摡攳㑡㈸挴攳ㅡ㈴ㄴ攷愰搸㍦㡡㠴昶㤸㑣㘹㡦㥣愰㘲昱ㄸㄲ摡㘳㌲愵㍤㜲㌲㡡挷戵㐸㈸㑥㐶戱㝦ㅣ〹敤㌱㤹搲ㅥ㌹㔳挵攲〹㈴戴挷㘴㑡㝢攴慣ㄴ㡦敢㤰㔰㥣㝣㘲晦㈴ㄲ摡㘳㌲愵㍤㜲㘶㡡挵㔳㐸㘸㡦挹㤴昶挸㔹㈸ㅥ㥦㐶愲㠸〳㜰㌳〶㉤捦搵㝥攲㉥改㌳愸㐱㜱散戲㉡攷㉦捣挹㠸㠵挷攴戲㑥昷㡡攳㔵㙣晥㑡ㅢ㡥㑤挹㍤挷㥣㡣㐸㤶㠸㈲挷㡦㤴㤰㤱㠹㑣㍡㉡㈳㌴ぢ攵昸ㄴ㝦㉦搰ㅦ挷愲攴㕥㘴㑥㐶㘰㔶〹㡥㍦戱㜹㤹㌶㌲敡㘸昳ち㜲晣㐸ぢ㌸收挴收㔵摡㜰㝣㐹敥㌵收搶㔰挰㌰搹㍡㥥㌹㈸㡥㈹戱㜹㠳㙡㡥ㅦ挹扤挹㥣㡣ㅡ㤶〸㈱挷㡦搴挱㌱㈳㌶㙦搱㠶攳㐳㜲敢㤹㤳㔱〱挳攴㤳戳㔲㠲㘳㐲㙣摥愱つ攳㉦戹㜷㤹㘳搴愵㔵㘹㜵㐸㤰攸挷愲㔲扢〴㑢扣㥢㐲攲㕤挲㐳搴挶㐲㙣㈵㑣㐴㍦昰摡ち搹㔹戶㉦摡㌶㝣攴戵ㄵ㥡㘹晢戱〷つ㈶改ㄶ㠶戳㕣〹搳㐴㍦昱ㄴ㔲挲㉤搱戴敥〸挷㐴㌷㜸㙤㠵㔵愲摥挷㜵㤵戰㑢昴㌳慦慤昰㤹攵㔷㜸㈵晡㉦㡦㙤昰敦挸㜰挶㌹晦㐶〲摦㔴㈶㉦㤲晦㐲攷搹㜷挹㝦愹昳散戵攴扦搲㜹㜶㐸昲㕦敢㍣ㅢ㉤昹㙦㜴㥥つ㤳晣户㍡捦捡㈵晦㥤攴㡢㔸㙤て㜷㐱搲晦捡㉥扦慡㕣摡愱晦㤲愶㉣戲昱㈲㔹㔶戳㤷摤〱㕣昰㉡搲㑣〳ㅡ愲㉣搳挹攴晡㕢㘲㔴㕣戰晦摢挵㤷捦攸昲㍦ㅥ摢摣愱攷昵㔷慦扤㥢㘷㘵ㄶ摥敦挱㑥〰晦戱慥愶㤲㤲㔷㡣て挹㜳㝥㠰㌰㌶愹愴戶㘱捣挴收挷㤴㑤㉡愹㙤ㄸ㐷戱昹㑦捡㈶㤵搴㌶㡣慤搸㙣㑣搹愴㤲摡㠶昱ㄶㅢ㝥ㄵ摦戴㈷㤵搴㌶ㅣ〳㘲愳㔲㌶愹愴戶攱戸㄰㥢㠲㤴㑤㉡㈹㌶㘵攴㠲摢ㄴ㝥晤㘷㤲敦收㑤㌵㝣搶㡦挶㉢㥢昱昹㘴㜴ㄹ㤹㄰ぢ㡢㔸ぢ㕢愲㡣㍣昴㙣㐱ㄶ㝡慥㠵ㅣ昴散㠳っ昴散㠳晤敦搹〷㝢摦愳㡦㤲晦て㑤〸慥〵</t>
  </si>
  <si>
    <t>㜸〱捤㕢〹㜸㕢挵戵搶挸㤶慣㤱敤㔸㈱㘱ぢ㔰㕣戶㈴ㄸ摣㌸ぢ〹㑢㥡㌸㜶ㄶ㠳戳㄰㘷㈱愵慤㤱愵慢㔸㐴㑢㤰慥ㄳ㥢搲ㄶ㑡㕢攰㔱攰㤵〲㙤ㅡ搶昴戵㤴㔲攰㔱㕡㤶〲㘵㘹摦敢挲㔲㤶㙥㐰愱㐰㜹㡦搷搲㠶㔰㘸愱㝤㉣敦晦捦ㅤ㐹㔷搲㤵攳㤷㤲敦换戵㜵㜴收捣㤹戹㌳晦㤹㌹㜳㘶敥㤵㑦昹㝣扥昷㜰昱㥢㔷㍤㤹〳晢㐶昲戶㤵㙥敦捡愶㔲㔶捣㑥㘶㌳昹昶捥㕣㉥㍡搲㥢捣摢㜵㔰〸昶㈷㤱㥦て昴攷㤳㘷㕡愱晥㑤㔶㉥て愵㠰捦ㄷち㘹㍦昳捤㈷㔲㐸㘸㤶搲昵㈴搰昲㘹㉡攸〶㤲㄰㐸㤳〶㔹搵戵㘰昹挰改戸㕤㥦㥤捤㔹㐷戵慥㜱㉡㥤摢搱搱摥搱㍥㜳㜶挷㌱敤搳㡥㙡敤ㅡ㑡搹㐳㌹㙢㙥挶ㅡ戲㜳搱搴㔱慤㉢㠶〶㔲挹搸㐹搶挸慡散〶㉢㌳搷ㅡ㤸㌶㘳㈰㍡㜳㑥挷捣㔹戳ㄲ挷ㅥ㍢愷㈹㡣㥡㤷㜵㉤㔸㤱戳ㄲ昹昷慢捥㐶搶戹扣㙢㐱晢㌲换㝥扦敡㙣㐲㥤愸戲㍢㥢㡥㈶㌳敦㔳愵〱㠲㍥愳摢㡡㈵㘹ㅤ换捡㈵㌳敢摢搱散㌲愰㤱㥡摤扥〸㠸挷愲㜹扢换㑡愵㔶㕡〹ㅡ愶㈹㑤捣慣㥣㤵㠹㔹昹㜱改㠵挳㌱㉢㘵戲昳愱昴㥡㘸㙥㔹㌴㙤搵㤳㘹㐹㍢㜶敢㠹㕢ㄹ㍢㘹㡦㌴愷㔷攷慤㤵搱捣㝡㡢㉡㠱昴攲愱㘴扣扥㕥搵搷晢敡㈶㝢㌵㐶㙣搳扥㈸ㄷ敢ㅡ㡣收㙣㐹搱㙡ㅤ㕥扡慥ㄱ㈲つ㉦㙢ㄶ㐷㔱㙢㐵㈹㥡愹㉦㤹㍥挹捡㘵慣ㄴ㙦㐲攳戵㔵㈸〹㈶づ昴㐵㜰ち扤愱㘱㔴愳㤹㄰散ち敦愲㥢㐹挶㠱〴㕢㐰晣㡢㘷敢〸㈵攳㐱㔴晤㜶捣㈷㜷〹摥搲摦ㅦ昵昷て昸晢㘳晥晥戸扦摦昲昷㈷晣晤敢晤晤㠳晥晥愴扦晦㜴㝦晦〶攸ㄴ慥㔰㐳㠳摦㕣㑢慥㝣㈳㜴敤扤㔷㉤㍥㝦搵㉤㌷㕥㜱挹㈱户㈹㑥㈱㤹㑢ㄳ挰攸㠹㈰挱扤㐱晣敢㘶敢㝤㈸搹ㄷ㐴愹晦㐱ぢ搸㡡㙦㙣㝣昰扡慦㍦ㄱ攸晤捥挱㈷っ晤㙤挱㝢㉢ㄵ㈷㥦ㄴ摦㥦捡㤳㐰㠲〷㠰昸搷捥搶〷㔲㜲㄰㠸㔲㉦㥡攲攷㥥㜵晥㘵户敤昸摢昲㙤㠷扥㜱改〹攷摤㝦戹攲戴㤵攲〷㔳戹ㄵ㈴昸㐱㄰㝦捦㙣㝤〸㈵㠷㠲㈸昵㕢㔳㝣捡㍢㕦晣昱㔷㉥㤸搶昹摤㐳晥㘳收扣㑤㙤摢ㄵ挷㤵ㄴ㍦㥣捡㐷㠰〴㈷㠳昸ㄷ捤搶㔳㈸㤹ち愲搴慦㑣昱戶㥢㍥昹换㔷愷㝦愵攷愶㙤敢慥㜸敡搷戹〳ㄴ㕤㠵ㄴ㙦愳昲㔱㈰挱愳㐱晣慢㘷敢㜶㑡㍥〴愲搴㘳愶昸愳㝢㜵扤戹昱㔵㕦捦慤愷㥥㜵敢昸扤㈷晤愹愹〳搹㈷ㅢ㐳㜶攷愲㥢㌱ㅢ㑡ㄳ㙤㝡晢㌴晥敤摣挳挰挱㈴㘶㈵㘶㈷㍡㍡攲戳愶㐵㘷㐴〳ㅣち㘳ㅤ搷戴㔷㔳㘲㙤㌲ㄳ捦㙥㤶㠱摥㤴㔸㤴㑣搹㔶㑥ㄲ㉤〹㝣㌹㤳㔵搲捤㠹㠵挳昰㜲㌱㘷㑥㑣㑣㜴㔹㌹ㅢ摥挱ㅥ㈹㑤㤴〳ㄷ㐴昳㔶㈹搹㘶敡㕥㤰ㅤ捡挴昳〷㜸㘷昶搹㔱摢㥡㔴㤹㔷慡愴慡㔸ㅦ㍣㠷㤵㤷㈶㝤愰戲搸㥡㘸㙡挸敡ㅣ㑥㍡搹〷㔵㘴挳㠷㘴〷㙡攷㉥捡㔹㘷ㄴ㜳慢㕡搴㠹㤵㘷㤳搴㕤搵㑢㈷换㘹㔷㙢搷㘰㌶㙦㘵愴㜹㙤改ㄵ挹搸〶㉢搷㘷㜱摤戲攲搲搵扤㤹㘵ㅣ㔹摢昲っ㍡ち搷ㄴ㍦挴㉤㈵搰㔶㈶㙥挵搱摥㡤㐰㜹㘴㔵㜴㈰㘵敤㔳愶攲摣ㄳㄹ晢㤷㠹ㄷ㘵㘳㐳昹慥㙣挶捥㘵㔳攵㌹㥤昱㑤㔱㌸捦昸搲㙣摣慡㤷换攷㔰攵慢慢㔳捡㌷挵换ぢ戱敥㍣晤㤴㙢㤰搰ㅢ㡥慥散ㅡ㐴㔴昶昴㙦挵㥡挱戸〶ㄹ昵愷㡥摡ㄲ昷㈰愴昶戴㔱戵㍤〶㈹ぢ敤㔷㍥昱摡㔷挲㍥戰㐳捡攲慣昴ㅦ㔶扢捡搲戸摣㐹㑢㕤㔶㘱㤸㐲敤㔱㐰㤳㙡㡢㘳㙦昷㉡晢晤ㄳ㑣敦ㄷ㙥挲ㄲ戹㈴㥡㠹愷慣摣愸㐱㤶㘲㡢昴㜴㤲ㄹ㈴㌳㐹㘶㤱ㅣ〳ㄲ昸㈹㝣㕣㑤㐴戹㐴愸㘱㌵ㄲ搸㥣㡣摢㠳挱㐱㉢戹㝥搰㠶っ挱㔹㈸㐴戸晦㘸㍥㍦㐲㜴昶ㄲ攳㍤㍤㠷攴㔸㤲攳㐰挲㘱㕦昰㜸㝣晢㠲㘱㝤〲扦收㠲戴ㄴ㘲㠴㔶㘷㘴㠶㔵㠰敢摦晦㝦㤵㘶㐸愸㈵㈸㐰搴㤶て愴㔱㙦扥慥捥ぢ㡤㈵搱晣愰捤㠹㌸㙡愶慣挷ㅦ㘶愵昳㐰㥡收㠳㉣㕢㘲愵㌰㡤摦慦㠰㉦挰戵㝤愷㠱挵㕥㔰摡㈷摤㌷㤲㠹つ收戲ㄹ挴挵摤㔱㍢摡ㄹ㐳昴㤴㔷搱㘰扡㌷摢㌵㘴〷搳㑢㤲昸㙡㑡慦戴㌶㕡㔱扢ぢ㙥摡㙥㑥昷㈲昲ㄲ㍦摡ㄳㅦづ愴㥤愰愹摢捡挷㌴愳慢ㅥ戸愵攱㈰㌸昸搹愶㌴ㅤ㡤㌵㙣戳敡㠶昴㡡㈸愲㌳㕢㐳愹㑤㑡㌹ㅣ㑢㌶㡢慣㔰㍡㙣㔲愸㈱㈲慣慢㤶㐶ㄱ㌸㌵昹㌸㜲戰㠲㘲㤵慤㌷戴㜲〶慤戶㤳愹㝣扢㠱户扤㍢㡢攸摢㤲㥤挱㝣㤴っ〶㌱挰㠲愳ㅡ慢㜲愲㌳㍣㕢ㅥㅢ㜰慡㐵㔳ㄶ攷戲㐳ㅢㄹ㉦扤㕦昵戰㉥㥦敥〴戹收戵㙦ㅤ㝦昸㔵户扣㘷扥㍦㡤㈹㈴㤷㘶〴愷㌹摥㤹挴㤷㕣扡ㅢ㕦攱搱昲〲っ昶㍣㍤㙤㡤㐸㤲戱㔷㔳ㅡ扤㕤㤵戳㈴㌴づ㐹㘲㘴愳搵㥣㕥㥢捤㙤ㄸ挸㘶㌷搰昸攳㈴㤵ㅦ戴㉣㥢昱㘶愳〹慦挹㉢愵敡敡捡㐲㑢㔷㘰捡㐸㌵戸〴愴戹㌳㤵㙡㉤搴㤸て昶㐰㔴㠷ㄵ㈵㜸㈲㤸㤹搳收戴慥㐵㤴摦㕡㥣捥㐷户㉥㡣㘵㕢ㄷ㙥㡡愶㕡愷㜴㑣敦㕦ㅡㅤ挹昶㑦㥦㌶㝤挶搴㔶摢捡摢敤挳愹㝣㕡㝤て挸㌰㥥㥣昸挰㤶㠳㝦㍦昱㐷摤㘷㍦㙡搹㕢户て㕥愶扥㙢㌲慡攲㔴㠶愷ㄲ㈴㉦〵愳㤷㤱㉣㈷㔹㐱㜲㌲㠸扡ㄹ㐵改挷慡扤㔱ㅦ㜵㔶㤱慣〶㠱㌷ㄲ敢挰ㄹ慤愵㡣捥㈸慣ㄴ㐳㈹㍡㈰扤㡥攴㈳㈰㡡〱㌰愷慡㑦㥦ち㔲搳摥㡣㤷慢敤晤㜱㐸挳㝡㤴㍣挵搰㥡㌶搷挴㔸ㄳ㔵㑤㐴搵㔶㠳㐱ㄵ㌸㕦㌵ㄹ㔵㔱㌸㠳㙦〱㘷㍤㉢ㄹ㈴㐹㤲㥣㑥挲㥤㠰扡捣㠰㜳㍢ㄲ晣㤴㕣㜵㥡㍡ㄹ㤲㉣㠸ぢ㥣㌳㈸㌳攰㌰戰ㄷ㜰昲ㄴ搲昹㉢㠶昷づ㌸㐳攰㙡㠲挳摤㐰㌵㌸挳㤰㠶昵㈸㜹㡡ㅢ〷㉦㜰捥愹〵捥搹㈶愳㙡㡦挱慤㠵㠰㜳づ㥢昲ㄹ㤲㜳㐹㍥㑢昲㌹㄰㜵愶〱㘷㈶ㄲ晣㤴挰㌹㡦㍡攷㤳㕣〰攲〲攷㐲捡っ㌸慤攰〵㥣㡢㈸扣ㄸ㐴㜱昳攲㠰㜳〹戸㥡攰㝣㤰〵慡㍣挵愵㤰㠶昵㈸㜹㡡摢㈲㉦㜰搶搷〲㈷㘱㌲慡㜶㔰摣㌸〹㌸㕢搹㤴㉢㐹慥㈲戹㥡攴ㅡ㄰㜵㥡〱〷㝣昹愵慦㐳㕡㙦㈳昹ㅡ㠸ぢ㥣慦㔳㘶挰攱愶㑣挰戹㥥挲㙦㠲愸㈹㈰づ㌸㌷㠰慢〹づ㜷㜲搵攰㝣ㅢ搲戰ㅥ㈵㑦㑤㠵㠶ㄷ㌸㑢㙢㠱搳㙢㌲慡昶㠷㙤愸㐹挰昹ㅥ㥢挲㘹愳敦㈰戹㤳攴㉥㄰戵挸㠰挳㔱挵㑦㘹攴摣㑤㥤㝢㐸敥〵㜱㠱㜳ㅦ㘵〶ㅣ㙥㌹〵㥣〷㈸㝣㄰㐴戵㠳㌸攰晣㄰㕣㑤㜰㡥㘶㠱慡㤱昳㥦㤰㠶昵㈸㜹敡㐳搰昰〲㘷㐶㉤㜰愶㥢㡣捡摤㙦㠰戱㘴攵㙡㉥攷ㅥ挵㝤㠱㙢挷挱㑥〶ㄳ慢㌳㐹㍢摦㤸攸ㅣ戲戳㡢㤲㜶㜷摥㙥㑡㠰㠰㤵㈲㤳㈴㠴㜶ㄵ㙡㑢慣㐹㕡㥢㔷㘱㍤㍢戸㍡ぢ㐷㐲㕤㐳㜹㍢㉢㠱捡〷慡昳扢戳换戲㜶㜷㌲扦㌱ㄵㅤ㌹捣㈳摢挹㔹㍢㘸㘵戰愷换㘱㙢户㌳愵散挶㡤㔶摣愳㡤㝤搹愱㕣捣敡改摥ㄳ㜶㠵捡㠹戸㝣㔸搴ㄱ㙦愹挳㙢敦㠲㕣戸㠷㘱ㅢ㍦〲〱戵㡢㥢ち㡥㐲㥦㝥㡣㤴戱㕥㌸慣ㅦ〷㠷ㄱㅦ攰㑥㘳昴㈱攲摡㘷㌲戰ち㈷㘰㔶㐷搶㙣づ㌲㝡㌲昹㘴摣ち㥢搴搲㘴㘶㥣㘱㤷て搹㘵㌹搱攱〹㈶〷搱捡昲っ㑣ㅦ㡢收攲㝢㠲㔵搰㌱㕣㡥㐹㔴㄰㝦扢〶戴㔳㡤捦户愳㜰戶扥攳搳㤸散㑦㐰㑣慣戹㙥㜹〶㡦挵改〸挶戵㑤㙦㠱㝥㌳攱㉥㡡㐳㑣㉤戵愲ㄹ戱㐲㥦ㅤ敦戶㌶㡤ㄳつぢ〳ㅣ㈷戱㈹㙢㐲㜹㔲昶㄰㍡搱㌹㤰捦愶㠶㙣㙢㕣㤱㤳㠹慥ㄳ㉢慤㔴㤴㐷㉥㑤㐵㙥㐵捣挶愱㔴戱㍥ㅥ愷散㌹ㄶ〲㈲昵挶㑡㑡散ㄴㅣ㘵昰㤶㜷㠲㜳㘸ㄷ慤慡㝣扥㠴㕣摢攷愹慦㙥攱㜵挳㍣㕦㠱〹昳昲〵㘶愱晡戱㥦愹㜰㈶㑤㈸ㅣ昵㌹ㅥ㑥㥣㔷㔳㐱挶攳㡣收㠴昸㍤㥣㔹昲㄰扥㠵㔳㈷㠵㈷㈴㜶㌲ㄶ㑤愵㐶挶㈵㝡㌲戱搴㔰摣敡㡤づ㔸愹㠲捦捥收搲㝢㠸扤攴愹㤲㘳慢㔱㜰㌱〷㑤㍤㜸戴㔴㌸挱搹㘵㌷攷搳㑦〲㔶㔹㜲㔱㐷㔸晦ㄲ㈹㥡收ㄸ㝣敦搲〱搶㕥愵攳㔷㜹戶〱搷㔶㈵愲㑦攳㘶扥㜸〶㈶㌳捥愵搶㥢敤捤攲㝣㌲敥ㄲ㉤㐹㍡愲㍤㘶㕥㠹㤹㠲挱攰慥㉥㌰〰ㄸ搷づ戳㤳㠶搳㜳搲昳㠸㍦㉤挰戳愶捡㘳〰㔷㈰㈲㙢扦㌸㐱㠶㔵㉤昴㘰㑥攰戰㉡㘹愷慣挶㠴攴ぢㅦ攲㤴㈰㥡つ㠹㔵㠳搸㔲㜷㌷㈷ㄶ攷㤲昱㔴㌲㘳㌱〸挱㜹㌹㥦㈷昵㕡敢㜱戲扢㈲㥢㑦昲㌹㘶㜳㘲㔵㉥㥡挹㙦攴挹㐹㙣㘴慦戲㤴ㄸ㉢㤰㔸㤰捣㘰〲㌹昷㈴摦㤲攸ㅢ捣㙥挶愳搰愱㜴㘶㜱㜴㘳㝥㡦㌰ㄴ扣㤰戹㥣㔹攵㔷㝥扦ち昹㐳扢扡㔶〵㝦㠵敡ㅡ㈷昷昱搰㘱挶攴て㉥㥥㡤搸挰攷㘳捣攸㈷㌱愶攳〹攱㈸昳㤷㔶㌳攷散㥣扦㙣㘳搹㔳㐴捦㐳扥攲㜳㘵晡㘴晤㙢㤶昹つ挸㠹㡢㔷昷㤴㥥捥晣㔳捦㠰〳㍣搳ㅣ㘵㘹㤰㘱㔲㍣ち摥ㅢ捡攳㥣愱㐳ㄹ㐷㤲㤶ㄱ挰㔴攵㜰っ㈷㐴㠷㈳ㄳ慢㈹搵挹㉥挲㈱㕤ㄳㅣ〱㕣㌱㑥㔹攰㠳挷㌹〹㠶㜷改㘸㉡㙦昲扡戲改㜴㤴㐳㡤挳戴て㝥摣ち㐹慣つ捦愲ㄳ㈰㌲ㅥ㡤㈸㍡っ㔱㜴㔸㐴㔸㥥昹㜸㐷㜸搶㤵㕤ㅦ捤㈵敤挱㜴㌲ㄶ㘲㠲㡦㘰昶㠸㌱㡡㈱㈴〷㡡〰㤴㤷っ㔴〴慥㤵〷愹捥搹ㅦ捣摤㡥扤〴愱愳昹㌱㤲晤戲愶慢㕤㍣㍢挷昰ㄵ攷慦㥦㐶㙤〱㍦〸㤶〱㔰㕣慥㠰っㄲ㜱㑡㡡挷摣捣搶捦ㄸ㠶㠹㝡㥥㉡㡦㝡㥣搹〰㠵㜰㙦㌶ㅡ㕦㠴愷㜴搹㕣㠳㜹㘷㈱〴搳搲挵攴㈲㍣挲敥挲昳ㅦ㍣㔷摡㠴戸㌸ㄷ愲愰て㠷挳昵㍣晣づ㍡㌶㈴㌶扥㐰愰㌱攴㜵慦㥥㐲㕤㠷㤹愳㍥昷㑢ㄹ㍤㔵昵晦改攴㌹昰戴散㔶ㅤ愸晥㉤挹戳㈰㡡㔲昶愷㐲攱㌹㉡晣づ㈴搰〹㔲㌹㑢㙡ㅥ昷戲昲㐰㥡挷搰愱㌴扢㠳昰㈳㠸挳㘹ㅣ㘷〳㤲㘰㘳㘸㍥昲昵昳㈰㡦㍣晣㌰㌷捦㍥挵昳搴挲晤㌵昸㜰㤸攰改ㄷ㐸㕥〴㔱㑢㐱攸㙢挴㙣㍥晤ㄲ㔸㐸㘵㠳昲㕦攰戰㜴愸㘵昸收㈶愵㜰戹㉣㠹搰晡扦㈱愶搶㜲㝣㌳扣愶㐱㜷ㄶ慡愹ㄵ搰㘳戸收搳㉦㤳㜰㜳㈴昱挲ㅦ挰戰戲㤳昱捤㤸挱戹㙡慥㙡慡てち㕣搹㝣挱㍦㠲㤴㍣改㍡㑦㑦慡㔶㐱㠹摥㔴扦〲愲㔶㠳搰㐹ㄵ〷敤㥦挱敦㝣搰慥㤵ㄲ愸㘴扢㘱㌸㘸搵㍡㤰〲搰㘰搱ぢㄹ〹慦㠲搵㍢㐰搴㐷㐰㍣ㄴ㕥愳挲㕦愸㜰㉡〸㐷㠳㝥ㅤ愴㘸挰㡦㈳㔱㈸收㌲攰ㅢ㔴晣㉢㠸㕡て攲㌲攰㥢㐸㐲㉡〶㝣ぢㅣ搱攴㔱㘷㙤〳晥摤㘸㈵昱㍤㘶〳㥥づ㘵挷㠰晦〰㔷㌲攰摢愶戲つ昸ㅥ㡢〱搳搰㜳っ昸づ戸㤲〱搷㝡ㅢ㌰〳㈵㌱攰扢㘰㔴ㄶ愴捣㠰ㅣ㝢㍢㌷攰ㄹ㉣㡢㡦愶㙢㈲㈳㥦㍣㤸〲搰㘰ぢ〶昴㈳㔳搷㔱搱昶㔶㘰㤰慤〳㔴ㄸ㠲㐲㈷㍥㍡㠸㔴搱㠰挳慥㘲㉥〳㌶戰㔸㠸挵捥㠱㠲换㠰㘱挸㈰ㄵ〳㌶㠲愷〱㜹㘸㔶摢㠰㑤㐶敢㕣㘸㡤搹㠰㍣搷㜵っ搸㡣攲㈵〳戶㤸捡㜸攴㍢ㄶ〳㥥〷㍤挷㠰ㄱ㤴㉣ㄹ戰挷摢㠰㍣㈵ㄶ〳㡥㠷戶扡〰愹㌲〳㑥㠰㜴攷〶扣㄰挵愰㠸ㄷ㜱㔸㠹㐹愸㡢挰㜸ㄸ㜰㙦㈸攸㝤愸㜸戱户挲扥㔴搸㡦ち㤷㐰愱ㄳㅦ扤㍦㔲㐵〳㕥敡㉡收㌲攰㈴ㄶ㍢㠰挵戶㐲挱㘵挰㠳㈰㠳㔴っ昸〱昰㌴攰㤵㤰搴㌶攰挱㐶敢㉡㘸㡤搹㠰㔷㐳搹㌱㘰㉢㡡㤷っ㜸㠸愹散ㅡ攴㡦挵㠰搷㐱㑦っ㠸㐸㄰㐵搹ㄱ㔷昰愹戶㈱㉤〶㍢ㄴ㤹敡㙢㐸㤵ㄹ散㜰㐸㜷㙥㌰ㅥ㜵㐳ㄱ㉦ㅦ㤱㥡㑢㕤て挶挳㘰㤳愱愳愷㠰㈸㥥㠳㝢㈸㑣愵挲㤱㔴戸〱ち㥤昸攸㌶愴㡡〶攳攱㜷愱㤸换㘰㐷戱搸搱㉣昶㍤㈸戸っ昶㈱挸㈰ㄵ㠳㑤〳㑦㠳摤づ㐹㙤㠳㜵ㄸ慤㍢愰㌵㘶㠳摤〹㘵挷㘰搳㔱扣㘴戰㤹愶戲扢㤰㍦ㄶ㠳摤つ㍤㘷挶捤㐲挹搲㡣㕢敤㍤攳敥㠱扡ㄸ昰ㄸ㘸慢㝢㤱㉡㌳攰ㅣ㐸㜷㙥挰晢㔰っ㡡㜸㕢㠱㤵㤸㠴㝡〰㑣〱㘸戰〵㤷㜹ㅣㄴ昴昱㔴㝣搰㕢攱〴㉡捣愵挲て愱搰㠹㡦晥㌰㔲㐵〳昲㠰扥㔰慦换㠰昳㔸㙣㍥㐸㠰挷愸㘳㍢戶㙤㠰㘶挴㜵㤶捥㡤㐵㝥㝣攲攴愱㘸ち敦㑣㉥挷㠱㡥㑤搱㥥㄰戹搷㍢挷㙡㤵㉦戵㤵扦㑡㠹ㄳ㘹改挲愹ㅦ攳昹㔵㈵〶攵扡愶㙦㜹㙡敥摡戱㕢㌸㜰摦扢敦扤㌷戶扢挰㉥扥㠶㑤㝣㕦愲扦摦ㄷ攲㍤ㄹ〰㠵昵〲㘴㜰㐶昱戸㥢㍡扡ぢ㤴㘶攱㐷㍤㔱㤰扡㍤㐳攰㐹㐸㐷搹昱㔶㥣㔸戱搶〹愵昸㥣㍢戱戶ㄴ㕦㤹昶ち散换㌷扥ぢ㔱㔶晤搲慢つ敡搷〵改㘲敡㈰挱敥〴㥥〶搹改㔶㡡晢㉦㥣挵㘳㔳搵㘷㡦愴戰㤱㈵换㜷っㅣ㡥㤱扢㤳㡤㐶㘷㜳〸㈰敡㉢摦㉡㉡㤶敤㐰㔵㡤ㄳ㉢摥攲㤲㘲捣昹つ㍥㠱㍢㘱愲㥡攵搹昰㤲㔵㔸㠶㔷戰〷昲㠹㑢㤳戱㕣㌶㥦㑤搸慤㝤㌸㥣㘹攵㝢㝤〹ㅣ搳㜵〶㙥㐷㡤㥥昷㘴挷敡㌳㝣扤㔸っㅤ摥㤰挹㙥捥㐸㙢〲㜹扥摥挸扢改㠶〶摥〶慢㠹㜳ㅤち昰㈲捦㠰㘷㘱㝤ㄲ㔴㥡敢㈲摣㈰昱㡡㍣敢㝣晢㈲捦ㄵㄸ敥㡡㜸戵㍣て挲㕡㠲昸扣慦㔷攴〵㔴㐷㙢〶㝢搱㥡愶慥〵晤戲㈱㕣㠹㔷〰㠳㑢㈱ㄹて㐹昹扢搵挱㘵㄰㡦㠳搸㜵搶ㄲ攱昶㠹戵挸ぢ挹㝡〵㌴攴晤㘴昵ㄲ㘴㜴㔰㘱㜵㌳㜰攴〴㜲㈶㐲ㅦ㌴㌸ㄱ戸慤〲㡢㜷㉤㐰㡢ㄳ㠱摢㈸㤱扡㈷㠲㝡ㄹ㔲㑥〶扤〶㜹敡て㥥㍡慦ㄴ愴愷㔰〷〹摥㑥㜱㉦挳挱慡慥㐷〳㌸㐴挰攳昵〹收挳挴敡敢㤰搰捣攵㘶攲㡥㐶捣昴㔱攸挱㑣摣扤昰㡡㜰〷挳㉢昲㥡昳敤㡢晣挵㌰㉤慦㠳搹㍤㘶㝡〳㌵ぢ挰㌴㤳愶㘵㌴敤㄰昹㙢㐱㍥ㄱ㡣㡥㔲㍥〱㥣㝡ㄳ挴〱晥㉡昴慣〴㝣ㅣㅡ〴晥㉤㉡戱〸挷㘹ㄱ昸扦ㄷ愴㘵挰晦〳㔲〱㝥㍤㜴ㄵ㜷㌵㔲戲㑣攷摤㠲㌴㐹ㅤ㈴〴㜸㜲〲晣ㄵ㘸㐴㌵昰㤷㜹〲㡦攰挳〱㍥つ〶挰晢㔹ㅤ慥〸㜷ㅥ挲挸㔹㍥㈵〱㈳㘹〹㠲搹㍤挰㌷愰㘶㉦攰戹㕤ㄱ昹㈴㌴㐴攷㤰搲晢㠳㔳摣戲㌸挰㝦愱っ昸㈱挸〹㍣户㌱昸昷改㑤愰㐵攰戹㙤ㄱ㘹ㄹ愸捤㄰〹昰挳捣收㙥愴㕡㐷昶づ慣敦㑣㤳㉤挰㜳敦㈰挰㝦捥ㄳ昸㜳㍤㠱攷づ㐲㐶晣愷挰〰㜸敥ㄶ㜸㐵戸㘳㄰㠶摢〳㘱戸㐵攰搵挲摤挱敥〱㥥㝢ち㉦攰戹捤㄰㜹㉢敥慦捦㐵㑡ㅦっ㑥㜱慢攱〰晦㠹㌲攰㍦て㌹㠱攷昶〳晦㍥㝤ㅥ㘸ㄱ㜸㙥㌷㐴㕡〶㝣㉢㐴〲晣〵捣㍥挴㔳㐷昶〰慣敦㐲㤳㉤挰ㅦ㡥㠴〰㙦㝢〲㥦昳〴扥㜰敦挸㘴㤴收ㄵ㘱挸㉦捣搴〲挳ㄸ㥦㔷ぢ挳晢摤㠳㌸㌷〵㕥㠸ㅦ㕤㤰ㅦ㠱晢敢㉦㈱愵て〷愷戸㔷㜰㄰摦㔰㠶昸ㄵ㤰ㄳ㜱敥ㅦ昰敦搳㕦〶㉤㈲捥晤㠲㐸ぢ扤㠶㠶㑦㜱ㅢ㈰㠸㙦㘱㌶户〱搵㍡挷ㄴ愴㕢つ㈳㠸㌳㘸ㄷ挴攳㥥㠸て㜸㈲捥搰㕤㠶晡㌵㘰㌰搴ㄹ愶昳㡡㌰㔴ㄷ㠶㜱戹㌰㡣捤㜹戵㌰㉣摦㍤挰㌳㤸昷〲㝥㝥㐱捥户㝥昴扦㈱愵摢挰㈹㠶㤱昸昷改㙦ㄸ〵ㄶ㡥㌰㤶っ㔱㝡㍤ㄸ晤㑤㤲ㅢ㐸扥㐵㜲㈳挹户㐹㙥〲〹慢㠵愰昸㉦敤㐲㤹㠸㉣〶ㄵ㔸㙥〱搳㕣ㄷ㌸〹㕦挷搷㝥㈵挴ㄵ〱戴㈱づ㉤晢昹挲㐲晣ㅣ㘱挴㡦㑡敢㜰捣ㅣ㤰愰愲摥㝦摣慥搵挵㈸㥦挸昳ㄳ㔸〱㠳晥ㄳ昵戰㥦愵㈰㤰㌵搲㝢攸㕢㈱㔷㡣㕢挶㌳戵㠴愴㠷攴㐴㄰㜵ㄲ㙥改昹敥改㠹㈶愳敡摤㔳挶㌷扣㤳扥〳㤴搶ㄱぢ㌱挸ㄱぢ摤〹㐶摦㐵昲㝤㤲扢㐹敥㈱戹㤷攴〷㈰㘱戵〶ㄴ晦ㄵㄶ㍡〵㈲戱搰晤㘰㥡敢ㄴ㠳ㄳ㕡㐹捤㐳㔳〸㡤昴收㐱㑡ㄸっ㜸昵收戸㕡扤㌹搶㘴㔴扤㉣捡愰〱晦㍥晤ㄳ搰㘲㙦ㄸ㌹㐸㙦㝥ち㐶晦㡣攴㈱㤲㠷㐹ㅥ㈱㜹㤴攴攷㈰㘱戵ㅥㄴ晦ㄵ扤㐹㐲㈴扤㜹ㅣっ㝡㤳挶㤷昴愶摤摤㥢㈷㈱㔵㕣㘱扤㝡㌳戵㔶㙦愶㤸㡣慡户㍢戹ㄲ攳摦愷㥦〲㉤昶㘶ㄳㄲ搲㥢愷挱攸㘷㐸㝥㑢昲㉣挹㜳㈴扦㈳㜹ㅥ㈴㡣㥦㌶㜸昵收㑣㐸愵㌷㉦㠲㐱㙦㍥㠵㉦改捤㐱敥摥扣挴戲㕣戶扣㝡戳㕦慤摥散㙢㌲慡㕥挷晣㍣慢㘳㙦晥〸㕡散捤㜹㐸㐸㙦㕥〱愳晦㐴昲㘷㤲敤㈴慦㤲散㈰㜹つ㈴慣㉥〰挵㝦㠵㙤㉥㠴㐸㝡昳㍡ㄸ昴㠶㝥摦慢挹扡㔶㤳㐳㈶愳敡㈵㐹慥て昸昷改扦㠳ㄶ㥢捣㐵㐲㥡晣て㌰晡㝦㐹摥㈶㜹㠷攴㕤㤲昷㐸㝣昰㈹㘱戵〵㉣晥㉢㥡扣ㄵ㈲㘹戲ㅦ㑡㘸㌲㥤扢ㄸ攰㥤㜷㕣㤳愳ㅥ㤹㡡捥搴慢㌷㙦㐱搳㜳慡扦㘹㌲㉡摦㙡㡣搰〷换㑤挳愸㔷㌷㤲㌴㠱㠴ㄵ摤戰摣晤㜵㜳㜷㜶㌵慣攸㤸㐵晣ㄷ㈳㘶㌳挲㡡慥㕡挴慦ㄹ昱㍥㈲愶昳ㄶ昱づ㈳摥㔷挴㌷ㄶ挴慦ㅡ昱ㄴㄱ搳挱㡢昶㜶㈳㥥㉡㘲扡㝣ㄱ晦搹㠸搷㔱ㅣ愰㤳㍦戲戶㐷㜶ㅥち㤷㝥㜸搷㠲㐲㠱〴户敥㡤〹攷㜷㙦攲㤷攵㍤㈰搹昷㌶攱昹㜰づ㍦㝤敢挵敢て㜸㉡㡣摦扣㥡㥤㈳㕥㡢攰㜳扡挲ㄳ㐸㉤㈹ㄶづ㈶㤶攷昰㐸戲㈱搱㤳挷㑢ㄶ昱㄰㝥㑦㘲攳愷㠸㤹㍤攱〸ち㈷ㄱㅣ㈹戸㥣挷挶㥥㠷〰ㅤ挸慥㝣㘲改㝡㤳愴㠴㐷攱㙤㈲㍦ㅦ㉢敦摡〱㔴㜰㈲㥡㔳晡つ㤴㥣㍡攴晤敡ㄵ搸㔴㜶慦慦㑣摦㕦㌶戶㌸戳挶㈱㍦㜴㠳晢㠲昰㘷ㄷ㑡晡㠱㌳㕤扤ㅦ㌸㌹㙤ㄵ攲ぢ㜰搹慢散ㄸ㡦㘴ㄶ戱㐴挵慦户ㅡㅢ搹摢扥㉤摦㥦晦捥㡣㡦㜵㐶戸戲挹戸㥦挴㍡て㈰㌹㄰㈴慣戸戸挹㘸晢扤ㄹ㙤捥戸攷㜲㈷攲ㄷ㡤搸ㄹ昷㕣〰㐵晣㠲ㄱ㍢攳㥥㑢愲㠸㥦㌷㘲㘷摣㜳㤱ㄴ昱敦㡣搸ㄹ昷㕣㌶㐵晣㥣ㄱ㍢攳㥥ぢ愹㠸㥦㌵㘲ㄹ昷敡㝥㠸㌹昶㌵〱昵慢㘷㤰㔹つ攰ㄱ散㄰〱㉣㠱㌷㠵愲攳㠱㠱〳㥥攲㉡㑢〰㡢㤰㜰㜹ㄴ㐸㡥愴㘶ㅢ挹㔱㈰㘱挵ㄵ㔲ㅡ昲愴㘹㠸〳〹搷㑣ㄱ㍦㘱挴づ㈴てㄵ挴㡦ㅢ戱〳〹搷㔵搱㝥捣㠸ㅤ㐸戸搲㡡昸攷㐶散㐰挲戵㔷挴㡦ㅡ戱〳〹㔷㘳ㄱ㍦㘲挴づ㈴㕣㝦㕤㤰㍣㠴捣㙡㐸㡥㘱㠷捡㈱㤹㐳㤱ぢㄲ㉥搵㘵㤰㜰㡤ㄵ㐸㡥ㄳ㑤㤲ㄳ㐰挲㡡换慣㌴攴㠷愶㈱づ㈴㕣㜸㐵晣愰ㄱ㍢㤰㜰㈹ㄶ昱〳㐶散㐰挲挵㔹挴昷ㅢ戱〳〹㤷㙢ㄱ摦㘷挴づ㈴㕣挰㐵晣〳㈳㜶㈰㜹扥㈰扥搷㠸ㅤ㐸戸㠸扢㈰戹ㅢ㤹搵㤰㜰㥥㔴㐰戲㐴㍡㕡ㅡ㈵㕣敦换㈰攱㐲㉤㤰㥣㐸捤㤳㐸㝡㐱挲敡㤵㐲㐳㙥㌳つ㜱㈰攱敡㉤捤晥㡥ㄱ㍢㤰㜰㍤ㄷ昱慤㐶散㐰挲ㄵ㕥挴晦㙥挴づ㈴慦ㄶ挴户ㄸ戱〳〹愳〰搱扥搹㠸ㅤ㐸㕥㉢㠸㙦㌲㘲〷ㄲ㐶〲㉥㐸㙥㐴㘶㌵㈴㙢搸愱搲㈸㐱挷昴㈹ㄴ㤵㐶㐹㠴敢扥㈰昰ㄱ㘶㥣㑡昲㔱㤰戰攲搲㉦捤昹㥡戹慦㠳〰㠳〱ㄱ㙦㌳㘲〷〱㠶〷㈲扥捥㠸ㅤ〴ㄸ㌰㠸昸㕡㈳㜶㄰㘰〸㈱攲㙢㡣搸㐱㠰㐱㠵㠸慦㌶㘲〷〱㠶ㄹ㈲扥捡㠸ㅤ〴ㄸ㔸戸㄰搸㡡捣㙡〴ㄲ散㔰〹〱晡摤㐱㡡㑡〸㈸慥㉣敥㐱愱ㄸ㍣挸晤慥㌰昷㍢〱㈳㈸攴て㉡〶ㄴ㤲㜱戹挹㤸㉢ㄹ㑡㌱挸㤰㡣换㑣挶㍣㡥戹㌴愴〱㍡晦㌱慦㑡攸晦慥㍥㌱挸攰㍥㡡㑢ち敢搰㔹挳㌰愱戸㈸㐸敢晥戵愲㍦㕣㈸㈴攳㤲㡡晥㜰昱㤰㡣㡢摤晤挹戳㔲晡㘲昶㐹摢㑣搱つ换つ㠷っ㈳㌷愴换㤵攲晦㔲㜱㐳扡㘱挹戸愰攲㠶㜴捤㤲㜱扥晢㠶摣戳㉡㝡㍡戹攱㤹㑣搱挹挹つ㍦㘱ㄸ戹㈱ㅤ㥡ㄴ晦㙣挵つ㡦㉦㘴㥣㕢㜱㐳㍡㍥㈹昱ㄹ昷つ㍦捤㑡改㐷攴㠶㘷㌳㐵ㄷ㈲㌷㍣挷㌰㜲㐳扡ぢ㈹晥愹㡡ㅢ搲㠵㐸挶㈷㉢㙥㐸户㈲ㄹ㘷戹㙦昸㌹㔶扡〶㐴㙥昸㜹愶㌸㐱攵㠶攷ㄹ㐶㙥挸搹㈹挵㠷㉢㙥挸ㄹ㉢ㄹ㥢㉢㙥挸㔹㉣ㄹ㥢摣㌷扣㤰㤵㜲㔲挸つ扦挰ㄴ攷㠳摣昰㈲挳㌰搱挲挱扢ㄶ㡣㝦㔸挵㑥㡢㥦㜶摡㕢㉤昵慤㤳敡㑦㤹摦戴攵昹㥦扤㜸改㉦㍥㍡昷攵户慦扣昲ㄷ㉦㕤晡昰摢昷っ捣晤昱戶㙤㍦㍡昱㥡㠷㕦摣㉢㜱慤晦昶户㝡慦㍤慢㘳挳㔹㘷㈴㔶ㅦ戹昸慣㜵愷㥦摣戱㘲㝣㕢㕤㕤㐳挳攴〹㍦搹㙦㑡攴散㌳敥㔴て㍣戵㙦㐶挹㠰攵㔸㜵㥦㍤㐵㌸㜰挵ㅤ㕤〲愶戹慥㠵㘳㙥户㌶㐳㠶㜱㔵㌳㌸㥣愵ㄹ㕦㜴㥡挱㤱戸㕢㥢㈱㠳扢慡ㄹㅣ攴搲㡣㉦㌹捤攰昸摣慤捤㤰㈱㕦搵っづ㝤㘹挶攵㑥㌳㌸㙡㜷㙢㌳㘴㈲㔴㌵㠳ㄳ㐲㥡昱㘵愷ㄹㅣ换扢戵ㄹ㌲㍤慡㥡挱㘹㈲捤搸㈲捤㔰ㅣ愹㌲搱ㄲ㘶愲㉤㐰㤱㄰㝥挰挵戱㈳ㄹ㔶㐵〶慤㈹ㄹ昱㡡っ攲㉢ㄹ戱㡡っ昶㔸㌲〶㉡㌲搸〶挹㠸㤶㘷㌴晥ㅦ〱敥㑥㠵</t>
  </si>
  <si>
    <t>㜸〱捤㔸㑤㡣㈳挵ㄵ㜶户摤敤㙥晦散㍡晢〷戳㉣扢ㄶ摡㈴扢捣搲㡣㘷㜶搸㠵㘴〵㘳㝢晥挸敥捣㠰捤っㄷ搴㤴摤搵攳㘶扡扢㑣㔵㝢㘶㑣㑥㔱㈲㌸攴㥡ぢ攲挰㠱㉢㐲㐲㐲㐲㐲㈰㈵㕣㐸愲㜰㡤㈲㈵㐲散ㄱ㠹〳㤷㈴〸㈹ち敦㔵摢戳戶挷ぢ扢挳㈰㙤敤㑥戹慡㕥搵慢㝡慦摥晢摥慢㑥㈸㠹㐴攲晦㔰昰ㄷ㑢ちㅢ㘷㙡㕤ㄱ搱挰慡㌰摦愷捤挸㘳愱戰收㌸㈷摤敢㥥㠸㤲㌰㐱户㍤愰ぢ捤ㄶ摥㉢搴戰户㈹ㄷ㌰㐹㑢㈴っ挳㔴㠱㡥㑣昰慦搰敦㤸戸㉡㤷㠲慡㕥㈹慦㌶㕥〲慥戵㠸㜱㝡愹戸ㅥ慦扤㔶㉡㔹㈵敢昲㤵搲㘳搶搴愵㘲愵攳㐷ㅤ㑥慦㠵戴ㄳ㜱攲㕦㉡慥㜵ㅡ扥搷晣ㄵ敤搶搹ㄶつ慦搱挶搴㑣㠳㕣扥㕡扡㍣㍢敢㍥晥昸搵ㅣ㙣㥤㔸慢㤴㤷愸摦〶㝥㠷挵㔵〷慥㉢㤵昲ㅡ愷敥㘱昱搴㔰ㄱ愵㉡㙤㝡愸㌱㑡戹ㄷ㙥㕡㤵㌲晣ㅦ搰ち昴慥㔸慢戵ㅡつ㠵ㄷ㜹摢㕥搴㐵昹捣㘰戵搹㔸㈷㝥㠷敡㠱㍣㤲ㄱ慣ㄳ扥㐲〲㥡て㥥ㄳ昴㔹ㄲ㙥㔲散㘹挱㘲挷㜳㔲㜰㤳挹㡢攳㌶敡㈹挹㕡慤㤴㉢㉤挲㈳挹ㄲ㌷㜸㜴摣㙣戹㤳㌵㜰ㄴ戹㐶㡥愲㝡㤴㙣捦㔶攴㥥㜸捡㌴㔶〶㔴扡〹搵昱㠱㤵㐵戹戴㌸慤愴晥〳ㄶ㌷戸㌰ぢ㌳㔵㥢愸㜶㐳戵㥢慡敤愸㌶㔵㙤㔷戵㌷㔵扢愵摡㥥㙡扦愴摡㕢㌰愷㕦㡣㜴㕡敤㤵ㄷ扤搷摥昸收て搹愷摦㕤㥣㤸㉤收㝦昹敦ㅣ昲㕡〱搹慣ㄵㅡㅤ㤲㈱㘸㈸搳㥤敢㌲〷戳戵㈰扥㡡㉡ㄵ㑤ㄳ敦㘹㌹㜴攸慥づ㉤戸扦㕣㔰㘱㘱㐴㜷愳㉡㠹㐸㍡㔸㈳㥣㠶㤱〹㤳㈶攵慡戸㠵㉢昳㜲慣扦㍡搳敢〱㠷㠲㙣づ㜰挹捡㠱㤸㤳〲慥㤷㑣挵戵愱㡦㜳收㈵㈲㕡ㄱ㘹昸昴晣挸㤵愳摥挰捡㥥㡢㍣㕦㔸挰㜲㤱戳㑥ㅢ㌵㝡㔸㝣愴㈱愳㘱攸㜹愸㈴昴攰㉦㙣昰㤴㜹〴㝥㌲㈶ㄲ㑤㈴㈲㉣挱て㤴㍥㉤㜷っ㍡㜰挴㉡ぢ㠸ㄷㅥ搲攵收㡥〳搳㘷㝡㔶㕣攵㘴〷㍣昲ㄶ敢㘹㙢ち晦㝤㍦㈴〱㈲戹戳敥ㄵ户㔴㜲㘶愷挸っ搱搰〵敥搶愳㑥挰㥡㕣戰攱㠵づ摢㤱㉥㜶㉣〰晦㤱㙥㔳敦戶愹ㅣ捡戹㜵挲㌷㈹戸㉤㕦慥㥥㜰㉢㡣㜳敡㤳㠸㍡㜲〰ㄱ晡扥攱㐱戱挰㔹㠰攳㘷捡㐴搰㕢敥㍢改挶ㅢ㤵㔹㈷㜴挴〳攳㠹戵〸㔸㥦ㅥ愵摤㘲戲㙦㔹つ㈰㡤ち㜹搲戳愳换愴昱捦敤㝡㌱昹挱ㄱ㌲㠰ㅡ㙢摣㥥扡挰改换㝢搴㝤㈷㥡㠳㌰戵㑤㤱扥㑦捡㤸ㄴ㥦ぢ㈰㠸〹ㅡ捡攳㑤〶㙢㕥㜳㡢昲ㅡ挵㈰㐷ㅤ㈹敡㐹㈴㔱昰挷㈶ㄵ㤳慢愸㝡㐰㔵攷愱挱㔱㜷㝥㌷愲攰捤づ㥣ㄷ愲㑤搴慤愳㈷㥤ㅡ㥡ㄲ敦〹㠴㠹愱攱〵搶散〸昴㕡捥晣㘱捡㥣戳㑤㘰㑦攷〶㜳㘸㉡愵㈶ㄳ愹㐴ちぢ㠴搱㘴ㄲ㕣㜹㙡挴㔱㘵挸㐰摥㘲㄰㥢〷㉣〷挱㜹收㡥ㄶつ㥢ㄷ慥ㅢ〷ㄹ㝢昱㕦戹㝦搸㔷慣㘷㐱㝢愰㈵㥦愲㈳愹愳㠸㌲㜰搰㕢㔶㠳㥢㡣挵搳㔸愲〱㥤愱摤攲散ぢ户ㄷ㐵戲摤戳㡣ㅦ㜷戲慡ㅥ敦㐹㍦扦つ㤸扤㐴㐲挷愷晣扢昵㠵㈷㌲搱戳捤㤳㔸㥤㠲㉡㤳搰扥〰㜴扢慤㈶㌱㔱㔲㜶㤵慥戶攳㌹㔱㑢㙦㔱㙦戳ㄵ挱ㄸ攴㔷㠶㠱㙡晥ㅡ㜰㜴〳㘰晥㔵昸㝢〱㤳㉣昳㝥慣㈶愰捡㘴㌲㌱㝥敡ㄹ昳〱搹㑦愴㄰㔹挷ㅤ㜲㉦づ㘰㠰换㕣㘷挴㔹㈰㑤挸换搲扤慣捣愸戰愰つ搱㠹ㄷ㜰㘶〵㙣ㄳ㙣㝥摢㜳㈸㌷㜰愰〶搹㕦ち㤲㌲愱㑢捦ㄶ㄰㜶㤲〹㑤换ㅡ攳昶㕡敥昳㍡摦搳攰㘰㜶戹扣㡦晦㤷捦㕣㝤ㄲ〵换㘴㌰㘳㌲捦㘰昵㈰㔴ㅡ㙡昲慥扤攱㈸㉣㍡ㄵ搴㕡㙣㘷〹㔴㐹㐵㥣昴㠸ち昷愲晢昶て㐳ㄸ㈵挱㠴ㅣ㕦攴ㄴ〰㤰搷〱〷愴㡣戸攲昴㔸㡡㕣㜴㕡ㅡ攳㠰ㅢ㑥扡敢ㅥ摤㐱昰㍥户㥦〴㔹㕢愵㈳㈲㈶愳晥搹晤昴㉡㕢㘱㔱搵ㄳ㙤㥦㜴捦㡦㈱挷㤴㡤ㄶつ〱扢㌸㐰搸昷㑤㘲敤㌶㜵挶㥣戱挶㍡扣㐹㤷慢昷〲晡挱㑤挵㐵㤱挰愷ㄸ㡡慥㉡㔰づ收㜸ち扡㐴攲搷㈷摥㔹扣昹捡敦㥥㐴㔷㔴㌲ㄹ昳㉣晣㠲㥢㘸攸㤰〷〱㐹捣㔱昲㐳愱昹㈴愶攰㌷攰搹攲戵㝤㕡㈶ㅣ㡣㥢㜱㘱〶晤㘶㙣㝣〳挹㜰散㌱昷㠲挲㈱搲挴㌱挶扡㍤挶づㅣ㕣摡㈱ㅡ戴㔴收㠹㤱㘰㈰攵㐶㠴㍡攰㝤㘹㌷〱ㄷ敦昲㈰昸搲㑣㙦㘳㘲㙤摢㤰愸㐲て㡢愲㝤づ慣挶㥥て攱㌵ㄵ攲㔳㐹慥捡㙣㠵㙣㈷㤴㈷搷〴收㍢挸搰㑣愷㔱㡣っ晣挹㌲ぢ㤱ㄸ㑣〷慤〶ㄱ㝣㜲㥣慥攲扣㜴敦㉤户散㐰㠸攸㍤摥㜲昸㜸慢㜳㉡㕦㘸㠶散㠰ち昳挱〶攳㕢つ挶戶昰戵㜰㐴昶㐴㡢搲〸㕦㔳搹㈰㝥ㄲ㘲ㅢ散㍦㤹ㅣ㝡㌱昵昴㡥㐴捣㡡㘵挶慣㍦〴慤攴〲㙦捡㥥昲㉦㤰ㅦ㕦㕡㙦摥㝣昹㉢戲㝡扡晣晥搲㑦晦晥㤷挶㕢敦㈹晦散ㄱ昸搶㝦摦晥㘸昵户㉢扦戱㤴㉦摥晤散摣ㅦ㌵っ㈲㜷ㄴ挰ぢ㌰昱愸扢㠷㕦㜵㉦昲㘹搶㡤㑤〳摢㠶ぢ㠸〴挹㤵㤳㜶敢㉤㤰扡㥡㜷ㄷ戹攷昸㕥㐸搱㜴㈰㙤挵㤷攷㜵扡〹㠹搴ㅡ挳㔷㉥ぢ昳㙥㥤㤳㔰㘰扣〹㥢摤㘳㐳㍤改㉤㥡㕢昶㐲〱摢㐸捣挴昶㔱ㄷ㈱ㅤ㙥慥ㄳ㠴㡢愴㉤敥〵㜷㤲ㅦ㍥㐰㍤㔰㘲〰㔳ㄵ㔵㔵っ搵㌸愰㐷㈴昴㥦〱慢㠹〱て㝣愲戸戲戶㕥晣昸晤愲搴ち攴㕣慡㐴㌹㜵ㅡ昷㡣㑤ㄴ㔱敦捥ㄳ㉣戴昷㥣晣愶搰换㝣㤳攳〲昸㕥〶㠸ㅥ㘶晥ㅣ㉡〵昳ぢ改㉣ㄷ㝡つ散ㄴ㌰㔶㘳攸搶㉦㐲昵㤳㑡搹㡥敤戸敦づ晡挳㌰㝣〴㠶〷搲扣〲㠶㜶㤹挷㑣㐲㐳㝥㍥㔰㄰愴㈵昳㐷㝡つ散㈸㜲㕦㥣㘳㐱搵㉦〵摣ㅦ扤摡㝣ㄴ慡㝣㔲㐱㉥攸愶晡ㄴ昶攷㝣扦搸㜷㌴愱㤷㜰㘸攸攳㠷㡥㥡扢㍣㜵戵戸㐱㘱收〲㝣㤷㙡ㄲㄱㄵㅦ㈹捥㌷㔹㜱ㅥ㌰愲㜸愱㌴㙤摦㈰㕤㘶㑦㑦㑤捦㕣㉣㐶㤰㐱㔸扢扥〸㤴㑦㝢慥㜴㈴晤挹㥦㡣て㍦㝡晡昷ㅦ晣攳搲愷戵搵㤲昲户ㅥ㘱昴晢㐴〱愵㤱㐷㥤挵㜳㈴ぢ㝤㌹㌴㍣晡㉦挶挱捡扥愴㜸㜲昴〵㌲て㉦㡡㉥慡㉦〹搹㤸㈶捤㈲愵㍥㜱㌰㕥㝤㘸挷㕢搶晥ち㔲晣〰㍥㜸㘳挳挸㝣づ㐶捣㉢㔰㈹㈸㍥㡡慣晣ㄹ昶挰㝤㥥㠷㡥愱㉡ㅡ㔲㐷㘱ㅢ㌳捤〵ㄴ㜰㈴㈳捥㘶ㄱ愴㙢慦㝦昰搴晦㘶㕥㤸换㝥ぢ慢㘳㡡ㅣ</t>
  </si>
  <si>
    <t>CB_Block_7.3.0.0:3</t>
  </si>
  <si>
    <t>㜸〱捤㔸捤㜳ㅢ㐹ㄵ㥦ㄹ㘹愴ㄹ㐹㜶捣㈶搹㠲㈴㘴挵ㄲ搸㑤搹ㄱ㤶㤳㤰散㈱戵搸㔲散㜸昱搷㕡㑡㜲㐹㤵慡愵改㤱㘶㍤㌳㙤㝡㐶戶挵㠵ㅢ㐵ㄵ㝦〰㝦〰晦〰㔷㈸㌸㜰愲愸㠲㠲〳〵ㅣ戹戱㔰㕢㔴㑥㕣攱昷㝡㐶戲㉣换昹挲㔴愵ㄳ㍦㜵昷敢㝥晤昱摥晢扤㌷慤改㥡愶晤〷㠵㝥愹㘴愹㜲慤㌱㠸㘲ㅥ㔴㙡挲昷㜹㈷昶㐴ㄸ㔵㤶愵㘴㠳つ㉦㡡㌳ㄸ㤰㙢㜹攰㐷㘶㉢昲扥捦慤搶〱㤷ㄱ〶㤹㥡㘶㔹戶〱㍥〹愱扦戹㘱挳愶㔹愵㉣㐸戳戶戲摤晥っ㔲ㅢ戱㤰㝣愱晣㈴㤹晢愰㕡慤㔴㉢㜷敥㔵扦㕤㔹㕣㈸搷晡㝥摣㤷晣㐱挸晢戱㘴晥㐲㜹愷摦昶扤捥㜷昹愰㈹昶㜸昸㠰户ㄷ㙦户搹㥤晢搵㍢㜷敦扡ㅦ㝤㜴扦㠴愵戵㥤摡捡㈳敥敦㐳摥㜹㐹捤㐱敡㔶㙤㘵㐷㜲昷扣㘴㥡㜴ㄱ户敡扣攳搱㡤㜱㉥扤戰㕢愹慤攰晦搸慤愰㜵慦戲摤㘸㜴㔸ㅣ㜳㐹㘷戳㠳敤㑥晢〹昳晢㍣ㄷ愸敤㔸挱ㄳ㈶户㔸挰㘷㠲挷ㄱ摦㘵㘱㤷㔳换っ搶晡㥥㤳㠵ㄶ㌳㌷愷㉤㤲㕥㔰㘵扢戶㔲敢㌱ㄹ㉢㤱戴挰晣戴搱㙡愵㑡扡つ㌵㕥昵搰戵攸挵搴㐶搴㝡戴挳㍣ㄱぢ㈴㘷㠳㕣㐸㘷㤵搵戴㜲㔵捦晥ㅢ㔶㌶㍥愹㠸㔱㐶㡢ㄹ慤戶搱敡ㄸ㉤挷㘸㜱愳攵ㅡ慤慥搱敡ㄹ㉤捦㘸㝤㘶戴昶㌰㘶㔸慣㝣摥㐸㑢昹㕦㍦㝢扥晢搳㥦搷㝥㈲㝦晢扢扦㝣晣愳ㅦ㤶㐸搶ㄶ捥㔴搹攲昱㌹㈹摦愴昳扣晡ㅤ㤶㌰摡っㄲㄵ搴㜹搴戱㐹㍦敢愱挳㡦㜲愸㐱㙦愵愰㈶挲㤸ㅦ挵㜵ㄶ戳㝣戰挳㈴て㘳ㅢ㠳收搵慣愴㐶㌳㘷㔴摦㜰㜶㈱㙤㐱挲㥣慡㡥㐹㈹慡㡥㐴㤲づ㜷换㘴ㄳ㙡攵愶㌹昰㈳ㄶ昵㘲搶昶昹㡤〹㔵搳扤挱扡ㅥ挷㥥ㅦ㔵㈰㜲㑤㡡晥㍥摤攸㜹挹㔱〶㑣㐶㤱㥢〱㔱㜰㐳扦㈸摦戱㘷㐱ぢ㌶㌱㙤㘲ㄲㄴ攱㠷㑡捡㉢扤㠳晡愷愹戱搵㈵㍢㠴挳ㅣ慢㜸愹戲㐸晦㕥㡥ㄸ〰っ昷慥㝢捦慤㔶㥤扢㡢散㌶㌳挹㔲㕦挷攸摦挳昸㔲昰搴ぢㅤ㜱愸扣㘰㈶㘸㜸㑡挹㜵㐲挵㔲搰㘴戲换攱㔰㜲扤㕥〸㤴搵㌷〷晢扣ㄸ搰㥥㜷㠴ㄷ挶㔱㈹㔰扦㡤㐱搰ㄶ㝥㌱㘹〰㘲㠵㉣愴っ㠰愹慤挶㙦㜸㈱㙡㐴ㅢ攸㉢愸㥡ㅡ㤹㜴㤲㘰㉣摦ㄳ㠷慢㥥て㠴攰捥㔵㌵慤㈶愴攴㍥㈳挰慥〹敥扡㕥挷㠳㤱捤〶慢㔲〴つㅥ㐶㙡㔷敦慡愱扢扣㉢㜹㐴ㄸ㔴攷㌱㠳收慦慤戰㠸ㅦ晢昸扣㥢ㅣ㜵㐵昴㐳㈷扡㍡㥤搹㠸㔹捣慦㑣昲㡥㠵㥣㥡搶〰摥昱㐸㕤摦昵挹㘹捡㑢㤶㡦扣㠴晤搵〹㌶㔰㑦戴捦收慥㑡晥扤ㄱ昷搴㡥㤶ㄱ挳づ㌸昱㑦㥤㌲㘱㈵晢〲㔶㠹㠸㠷㙡㝢昳挱㡥搷搹攳戲挱㈹〲㜲㐷ㅤ昵㌲戱㜰摤㘱㠷㐷昳摢㈱づち搸㜵摥ㅦ敦㜵ㅦㅥ挵ㅣ㙥敦㘰扦〸㐵昱愰㐹㉥昷敥㠹㈱挹㥡㘰㝣攵㐴昷慡攸昴㈳㜲㙦㈹晣㤳㥣㘵攷㠰㘱㑤㘷㔳㌸㍣㥢㌱戲㥡㑥㤱㌴㑢㐴换攲ㄷ〵攱㌶㤳㠱晢㉦㑣㌸户ち㉤戴㑣㌴挴昱㌱ㄳ㈶㈰㥦〶ㄵ愳㔸晦挱搹搲㤴㤶挹㄰改㑦㐵㠴㑢㈷㥤㤴戲〷㈱挹㝢昳㝡晥㑣摥㔴㠴㍤戱㕦昲㠲搱ㅡ扡慥㝦㜹㘲㤹㕤攸〷㝡昰㌹㉤㘵㑣㠲摢搸昹㡦敤㤲戶晢㠲㠵挷戴㐲慥㑤愳㍦㝣挹㐵㡣㙣敦晦㍢搸㌰㉥愶愷㝦㜸〰捦㝥挴㐲挷攷昲㠵㉡搴㘹㐷昶㐵㤰㐲挱晣〲昰晡慡㍡愵晣㉤㝦㐰愱慢搵㐲㈸㐰㡢散㑤捦㕤〶捤㙤㌲〹戳㌶晦〹㜹㔳㔵慢散㌳愴㠴㐴㐹㈸散㠵攲㄰㤸〴㠳㌰㈳〲つㄲ㙥攷昳愴戲〲晥搲㘲㘸㠶愶攳晦㍦㈰㤶㐴ㄷ㥥㍤㝢㤶㠶〳㐳㌳㍦㐷捦ぢ戴㤶㈶ㅣ㐳㜳㌹扤㝤㕡㠴〲愴昹㜷〸㍡搳㡡搴㈱㡦昴㠱㜹攸㌹㜱㉦搷攳㕥户ㄷ搳㔴ぢ㠵昶㝢慡搸㔷搰㘵㕦㈵㜲つ愴㔰㐸㐲㔹慥㠰愲㘵㈹挰㑤㔳搰㈸ㅣ㔳㥥㔱搸㄰捣㔹㘵ㅤ愴挴昹㌴㈱戶㙡㈲搸㐷㤲㈰攷㘸㘴つ㥥て㐴㌹昰ㅣ㉥㉤敡愰戸㤰㐵㍥ㅣ攵ㄴ㙥㐶㠸晥ㄹ捤㌴㡢搶戴戵搶㠷戲㙥愴搶〳㑤㡣ㄲ晢昵㔳昲扦昸昴晥挷㤴戸ㄷち㤴慣摡搷㠹㔰昸㌳挹㡡㕥ぢ㘰㉥搰搴㘰挷ㄷ㌱敤㜷㌶愸㐹㝣㌷㐸㡦㙤㜸㠱ㄷ㕦ㅥ㌵户晡㐱㥢换㈶ㄸ㝥㜴㜱搴扢挳㘵〷㐶捥扡晣㡡㜲摤㌱攰㥡㜷㥦㜸晣㤰㔰攱扤搳㉣攴挳戵㝥ㄴぢ㤵㔷㕤㍦捤慦㡢㉤ㄱ搷扤㘸摦㘷㠳ㅢ㔳搸〹攷㘹㡦㠷〰㝤〹散㝦搹㈰戱扦捦㥤㈹㝢㙣㠸㍥㑥戰㕥㝦ㅢ挲㠶㜲㕥㘸㐳搳㔵㤸戰㉡㘷〳摡㌰摦ㅦ搷ㄵ戹扦㘵ㄹ㠰㕦晤捤㄰㠸散挹晣ㅢㅣ敦㌵ㄷ㥥敥挶㥦挳㌰〹㌷挸扥㜴昲戳㠲㘶㤲ㄷ扥ㄲ晡捦搱㐴㜷㘴㈵㑤㉦昶㜹搱㔵㠶愰敡㤶ぢ扤㈳昶㍢㜹户搹㤳㥣搷㘷摣㌵改㌹㝥ㅡ㠷㉥㈵㐳㌷㜸ㄷ㜱㝥㐷㐴ㅥ愵㕢㌳㙥㔳戲㌰㈲㠷つ㍢㠳㜷㑥戴㤴㠳㥡敥㡡ㄷ㐶㔸㐶㔹㈶搵㉦戸㤴挰挱ㄳ晢㐱戸挶昶愳户挲㑡攸扡㤳愲捣㐴㌷㜴挳搰㉤挳㝡㐳慤㉢㈵ㄹ摡ㄲ㐴ㅡ㐴〰㈹愴㉡挲捡ㄷ㈰昹㐴晣愵㍤㈱㜵㍥㑥扤㌲搳㌰㙥㤴戳愸㜸昷㌵㥡昳㍥挸㈷㙢㡦搷㡦㍦ㄷ晥愷㐷〶㤳搰晤㤵ㄳ〱ち㤳戳㠹愹㔰㜲㐰㔸㘵㉢㡤㔳㙢搲晣ち慥ㅡ㐳㤶㌸㝢㕣㕤㐵㉥㔸㜲㌷㔸㥢晢慢㐲〶㉣㥥㑤ㅡ攴扡〱愰㌲攵〱摣〳㐶愶㐵ㅦ昴㜰㕥㥦㕢敥㜲㍦ㄶ㥢㕥㘸扢㈰捡晥搲㉥㜶㠴㉥㜶愴扡㑡敥㉥㈵昷㐹晣㠰㉣搱㘵㜰昹㕥攰㜵㉣㙡㔰〲晥㔶搸㈴㕣㕣㘵扡戸㔰㉡捡㌰㠱㐴攵〹〴㑢扥㕦愱敥ち〲〵㕤ㅤ愹ㅦ㤶㙢攸㌹晣搳摦㌰㜳㐲挶愰㍥㑣敤ㅢ㤰㘶ㄲ㡡〱〲㐱㔱㥥てㅦ捤㥥晦〰㍤捡戲攷㈸㔶搲愰摣㌷㐰扥㔴㕢㘹㈵慦㍡敢づ〲㤹ㄷて㜲摦㐴昷㉣扡挷慣㜹㡥㐲㉢捤戱㍦㈰㐲摦愵㍡㤹㉦慤㘲摦〴ㄹㄶ㤳戶昰搲㔳搳㔵ㄵ㕣㍡㝦㈳ㅥ昸戰㌹慡搲扢㐴㔲㔳摦㤳慡㑦㘵㘳㜸㈸捡㑥愶㐲愳戹㤴敤ㄴ愷愶㜷挴愱敢㌵晦㍣㈵㤵ㅡ捤愷ㄳㅣ㘷㤰㌴㠷㑡㙥ㅥ攴搲愶搷㤱㈲ㄲ㙥㕣㙥〰㌷换昴〱收㙡摡攲戲晥㈷㐸㔴戹㥦ㅡっ昲㜵摣㐴改ㄶ㉡㜸愷愸㡢㠰㜹攱㜹昹㌳摤昷搴㈷㠰㘴㤹搱㥢摣㔰㝢昴㡥㔱愲㠷戸㈶愲〲㕤愹愵ㅡ昰散㤹攰愹㤰㝢㙤㈱昶愸㝢㔶戵愲ㅥ攷㌱扤㡥ㄵ㠳挴〸愸づ攳挹㘴㑥扣㠲愵ㄹㄹ㌱改㤰戹ち挸捣戲敦㤷㠷ㄲ㈳㥢扡㜲摦〲戹戳㜸扦晣㤴㠳〷㌸攰ㅤㄶ挵攵㕢攵㠷ㅤ㔱㝥㜸挰晣昲㠷搵愵搶㈶ㅢ㠸搶搲攲搲敤㥢攵㤸㐷㜱攵挸㡦〲晤㡦戸㔱㝡㝣㥢捤晦收搷搶㉦㝦昵挹㡦㝦昱搷㠵摦㌷戶慢晡ㅦ㔲挶攴㜳摡摣搰敡㡡晦〵戰㤳昰㉦</t>
  </si>
  <si>
    <t>Decisioneering:7.3.0.0</t>
  </si>
  <si>
    <t>㜸〱捤㝤〹㜸ㄴ挵昶㝤㉡㤰㈱㍤㈴㘴挰つ〵㌱㈸㑦挳㈲扢攲挶ㄲ〸挸㈶晢愲㠸㐰㐸㈶ㄲ挹〲挹㠴㑤㔰摣ㄵ〱ㄵㄴㄱ摣ㄷ〴ㄴ㌷㝣㈲㉡ㅡ挵ㄵ㜱㜹敥㈰攲晡㕣㔱搱挷㜳㐱搴晦㌹户慡㘶扡㘷㝡㐲㝥晥㕦扥捦㈱㜳愹㍡昷摥慡扡攷㜶昷㜴㜷㔵捦愴愸㤴㤴㤴㍦昱攲晦㝣搵㘷愱昹挸搹㤵㤱㜰㘹晢㍥攵㈵㈵攱㠲㐸㜱㜹㔹㘵晢摣㡡㡡晣搹㠳㡢㉢㈳昵㘰㄰㤸㔸っ㝤㘵摡挴捡攲㌹攱昴㠹㌳挲ㄵ㤵㌰㑡㑢㐹㐹㑦㜷㔲愱㍦搴扣㐳戶攲搰换愹㑦〱慢ㄴ㈷㐰搱㠰㈲㥤挲愱〸㔲㌴愴挸愰挸愴㘸㐴㤱㐵ㄱ愲㘸㑣搱㠴攲〰㡡〳㈹づ愲㌸㤸攲㄰㡡愶ㄴ散摦㌹㡣愲ㄹ㐴㐶㜳㠸㔱㝤㝡て㥤㝣づ愲ㄹㄹ㈹慦〸户换ㅥ愳挷摣扤㔳愷昶㥤摡㜷敤搶改昸昶ㅤ摢㘵昷愹㉡㠹㔴㔵㠴扢㤷㠵慢㈲ㄵ昹㈵敤戲㠷㔵㑤㉥㈹㉥ㄸㄴ㥥㍤慡㝣㙡戸慣㝢㜸㜲挷㉥㤳昳扢㥥搰愹敢㜱挷ㄵ㥤㜸攲〹ㄹ㠷愳攵㈱㝤㝡て慢〸ㄷ㔵晥慦摡㙣挱㌶㠷昶改摤㝥㐸㌸昲扦㙡昳〸戴㠹㈶昳捡㑢昳㡢换晥㐷㡤愶㌱愷㕤昲挲〵挵㑣㝥㌸㕣㔱㕣㜶㜶㝢っ摢㐳㌴㙡摤摡昷〳攳〵昹㤵㤱㍥攱㤲㤲ㄱ攱㈲收㍤愳㤴㥣㠵㉢挲㘵〵攱捡㐶愵㝤㘷ㄵ㠴㑢㡣扡㌲扤㜴㑣㝥挵㤰晣搲㜰㝤ㄶ戲㑡㜵摥〶ㄴ㠶换㈲挵㤱搹㤹愵愳㉢挳㈳昲换捥づ搳㈴慤昴搴慡攲挲晡昵㔵晤晡㈹昵㡥昱ㅢ㡣攴愶㝤扦㡡㠲㍥㔳昲㉢㈲㔲㘳搶㍡昹搹扡戶㄰ㄹ戸㘷㔸摣㡡戲攳扣㤸愶㤱挵愵㠳挲ㄵ㘵攱ㄲ㜶挲攴戵㡤㌳ㄲ㑥㌴昵㔱㜲㙣㌴㑣㡣㙡㘸昶㌷㠶挲㕥㥣㙣㡡㤶㄰㠱㈳㈱敡攵昶敢收ㅣ㐵愸ㄵ㠴慡晦㍥昶㔷户ぢ昷㤹搴㠹昹愹ㄳ㈷愷㑥㉣㐸㥤㔸㤸㍡㌱㥣㍡戱㈸㜵攲搹愹ㄳ愷愴㑥㉣㑥㥤㜸㑥敡挴愹戰戱慦昴〶つ㔲捤敢搱〹搳摥晤㙥敦摡摥㑦㉣㕤㜹搵ㄷ捦㥣搳㔲㜱ㄷ㤵㝤昵㘸ㄴ㥣㘳㈰〲㌹㄰愹㐳扡㌹慤㠹戴㠱㔰敡㙤㡣㠰愳戸散搰戳㍦㍦摤㌹扦搷㠳戳㙥晦㘳摡晡昲昷ㄴ㜷㙥㜱㙦㐷攳㘳㈱〲敤㈱㔲㠷㜷㜳㍡㄰改〸愱搴㙢挶㝤敦晢㘷搵摢扥慡㝣挰㔳改搳㜶ㅦ扥收捡晡㡡㠷〵㜱敦㑣攳㉥㄰㠱慥ㄴ㘷㠴昳㉢戲㍢㌹挷ㄱ㍤ㅥ㐲愹㤷㑣ㄳ㙢㌷捦慡㝦搳敢㘹㠳搷㜷㔹㌷㘸搷㥥㔶㑤ㄴ㌷㉥㘹攲〴ㅡ㥦〸ㄱ㌸㠹㔰㙥㥦㙥捥挹㠴㑥㠱㔰㙡戳昱て昴ㄹ扤扢昹戶㌷晢慤摢㍡散捤愶ㅦづ扥㐴昱㜸㈴晥㍤㘸摣ㄳ㈲搰ぢ㈲㜵㕣㌷㈷㤷㐸㙦〸愵㌶ㄹ昷て攷扣昸攰挳敦捣敢晢搰㘵㕢晢㥤㜴戰㔳㑦昱㐸㈶敥㜹㌴敥ぢㄱ攸〷㤱㍡戸㥢㜳㉡㤱晥㄰㑡㙤㌰敥晤挷㉤晦慤摤㠳搷㥣戶昴㕦慦㡤㜶捡ㄷ㙦㔱㍣〶㡡晢㐰ㅡて㠲〸っ㠶㐸ㅤ搱捤㌹㡤挸㄰〸愵ㅥ㌴敥㡢昶㌶㑤昹㜷敥〳㝤㤶收愶ㄵて㝥昷戰㥢ㄴ户〴㜱ㅦ㐶攳攱㄰㠱ㄱ㄰愹㈳扢㌹㈳㠹㡣㠲㔰敡ㅥ攳晥㜲挶摣慤㥦慥ㄹ㌷㘴晥攴ㄳ敥㙡搴㘲㘱㔳挵攳慥戸㡦愱昱㔸㠸挰改㠴㜲㝢㜷㜳捥㈰㌴づ㐲愹扢㡣晦搰慥㙦攴㌷㑢扤戵敦愲㥥㐵敦㍥搳㙤搴㜳㡡㠷㙣昱ㅦ㑦攳戳㈰〲ㄳ㈰㔲㠷㜶㜳㈶ㄲ㤹〴愱搴㉤挶晤搱〹㕦㙥晤昸昵㈷〶㍦㜲搳捡敢敥㑢改戹㔲昱㘰㉦敥㤳㘹㕣〰ㄱ㈸愴㤰散㜷㜱挲㐴㡢㈰㤴扡挱㌴昱晤㠰ㄶ搳ㅥ㌹扢㙢扦ㄵ㕦摥ㄹ㘹摤㘱摦㜲挵㡦ち㘹㘲ち㡤㡢㈱〲攷㄰捡捤敤收㜰ㄷ㜰㑡㈰㤴㕡㙡晣搷愵慣㝣扥敦㤱㥦攷摤㤹㤳搲昴摤散ぢ㌶㉢㝥捡㠸㝦ㄹ㡤换㈱〲搳㈰㔲㑦敦收㑣㈷㔲〱愱搴㈲攳摥㙡摥挱㐳㘷㠴㘷て㝡㘴攱攷戳搷㍦昵攸㘰挵捦㈷㜱㡦搰戸ち㈲㌰㠳㔰㙥㕥㌷㘷㈶愱㔹㄰㑡㕤㘶晣㝦㙥搴㝣改散㤷昷づ㝤㘸昷㈵㜷晦昴搶戳扤ㄴ㍦摡挴㝦づ㡤捦㠵〸捣㠵㐸敤摦捤㤹㐷攴㍣〸愵㉥㌰敥㑦晤戳晢戲㡥㡦昷ㅤ戲㜱搳ぢ㑤挶摦㜹昱㜳㡡ㅦ㡡攲㍥㥦挶ㄷ㐰〴㉥㠴㐸ㅤ搳捤戹㠸挸挵㄰㑡㥤㙢摣㝢㝣戸慤昱昲㠳戶攴㕤ㅣ敥昹敡户戳㍦㝤㐴昱攳㔴摣㉦愵昱㘵㄰㠱换㈱㔲㠷㜵㜳慥㈰戲〰㐲愹㉡攳㝥搶㕢换㔷收ㅦ㥡搱攷愶㕤搳㉦捤㕡户㘹扥攲〷戱戸㉦愴昱㈲㠸挰㘲㠸搴㔱摤㥣慢㠸㕣つ愱㔴戹㜱㝦攷愲㈵ぢ㙥㘹㜹挰搰扢㥡攷㔴㥥晥㐷收㍣挵㡦㜰㜱㕦㐲攳愵㄰㠱㙢㈹㈴晢㕤㥤敢㠸㉥㠳㔰慡搸㌴昱搵㠶㙦㑥扣㘹敢挳扤㉥㝢昳㡢㈹敢㉥挹搹愳㜸〲㈰㑤㉣愷昱つ㄰㠱ㄵ㄰愹㠳扡㌹㉢㠹摣〸愱㔴㠱㜱扦㘶换搶慦ㅢ㕥搵收戴敢㜶㥣昲昹㠲つ扢晦慢㥡㐲㉤敥㌷搳昸ㄶ㠸挰慤㠴㜲晢㜶㜳㙥㈳㜴㍢㠴㔲㘷ㄹ晦㌳㈳ぢ㝥扢戲昷挴㔳㙦㘸㌷攱敡〵扢㡥扣㕦昱慣㐳晣敦愴昱㕤㄰㠱㔵㄰愹愷㜵㜳敥㈶戲ㅡ㐲愹戱挶㝤敤㠱愱㌳㥡㝣摦慣昷戲㈱敢搷㍥扣戸搹㉥㜵ㄸ搴攲扥㤶挶昷㐰〴敥㠵㐸ㅤ搸捤㔹㐷攴㍥〸愵㠶ㅢ昷昹㡦扣ㅢ㍡攱捤捡摥㌷扤昳㑡搵㜷㔳晡㍤慥㜸愶㈳敥て搰昸㐱㠸挰㐳ㄴ挲㕦㘷㘷㍤搱㠷㈱㤴ㅡ㘴㥡戸扤戲搱㤹昵捡户㥥㝡敦て扤㠲㉢扡㕣搰㌹攳ㄱ愸㠷㥢捦愲扣㡡晣㤹昸㐰㡦㥤㉢㜴㙥摦㤱晦昶㝦㤲㠴㜳愴愲攳㡡扡ㄵ㜵敡㔴㜸㕣挷晣㉥昹㘹搹㘸戶戶ㅦ捤摣〶㌳㡡挶ㄶ㤷ㄵ㤶捦㤴捦敡㡣愲㝥挵㈵㤱㜰㠵㔴戲㡡昰㥦㍥摦㤰㝡㘶㔱摦㔹㌸㔱㉢搰ㅦ敢〷ㄶ昵〹㔷㐴㜰㠲ㄳ㤹ㅤ晢慣㙦摥㍢扦㌲ㅣ慢戶㌵㙤昷㉥慦㉡㉢慣㙣收慦ㅣㄹ挹㡦㠴て㡢搷挵ㅡ㐹㜰ㅢ㠹㤳㥦㜰愵っ愹㐵扣摢㤸晣㤲慡㜰敥慣㘲慤㍥㍣㑥㡤搳愰昲挹挹戵晤㉡挲搳愳摡㠴ㄱ攵攲摣㝣㠶戴㥤㄰愵㔶改㜱㘵昷㤹㔲㕥ㄹ㉥㤳攱戵㉤ㅤ㔶㕣㌰㌵㕣㌱㌲捣㌳晢㜰愱㠴㝡㄰㔵收㕣慣敤搰㌲〴㡡戳慢挲㈳摤㈸㠹づ㤷ㄵ㠶ぢ㌱摥㘹㘰㜹昶愸晣挹㈵攱㠳㍤㈶扡㑦㈸づ昵挰晤捡ぢ慡㉡晢㤴㤷㐵㉡捡㑢扣㥡摣挲ㄹ昹㌸晦㉢㍣慤扣㌰㕣㕦㕥㈹㕡慡㤴㝡昵㤴㑡挹昱㍢㤱㘲摢㤵㍣搵㜲㙤㈴㍣愱慢搹搸戵ㄱ搱搸昷ㄴ㉤摡㌲ち慥㡤㡣昶慤㙢ㅣ㠹㝢㈳愴㜵挷ㅡ慤㝤㌶㔲㍡㌵昵敥㜸敤㐷㈰㍦挸㐳㐹㤸㝢㘵㙡慢攴㑤挶戶换晤㡣搴㤵ㄵ㕥挸搱扡〶搲愴搹攸戶㔷户挶愹愹〷㤸攸晢捥挰㔹㝥晦晣戲挲㤲㜰㐵㡤㤷愱㡡㈳㜲㌶㔰㍣㑡戱㤱攲㌱㡡挷㈱搲昲㜰㡣㑢捡㘸㝤㔸愸㔹㙡㜶摡捣攲挲挸㤴挰㤴㜰昱搹㔳㈲挰㜰昹㥡㥥㑥扡敤晢搹搴㤴㤴捦ㄴ〰㘷ㄳ挵㤳ㄴ㑦㐱〴㠳㈹㠱㙡晣㥦ㄲ〸㍡㑦昳扦㘷㈰戲散㘵㑥戶摥㌲㠳㉡慤㈵攰晦晢㠵〶㍡㑤㜱攴扡〶ㄷ㥥㤵㘹愵㘸户戲㕥㍤㍦㌶晡攷㔷㑥㠹㜰㐷慣㔹挹昶㌶㔳㍣ぢ㤱昱ㅣ挴㤰晥攱ㄲ散挶晦慢㙢搶戴愳搰收㝥慦㡤㜸㜶㜳㜰改挸搹㘵〵㔳㉡捡换㜰攷㈰㉦㍦㤲㥦㕢㠰ぢ挰㑡㤵ㅦ㈸ㅤ㕣摥愷㉡ㄲ㈸敤㕦㡣晦㌲㑡㐷㠴愷㠵昳㈳㝤㜰㤸㡥㘴㤶づ挶挵愳ㅣ㐷〷ㄴ捥㑡㉢搵搷㝤㜹攱捡〲㠷ㄷ㠸〳㜰㔸㥡ㄵ㐰〹挷搹㡣㔲ㅥ㘸挲戳㈲㙣扡㐱改戰㝣㕣㘰㐶ㅣㄸ戵ㄵ㉦㕤愲㘷愶㘰搶㍢㘸㙡㘸㈱㈴㐵㔷㉢つ〵搰㉤愵㜰换挱㈷㈸㍥㘹敢ㅢㄹ扦〷㡤㡥ㄴ㤷㔴戶㌷昴戶捦㉢挷つ㠴戰摣㍢㈱敤㠱〰㌶戰㐰㡤挹㡡摦搱㜹㠵㌹戴㘰戲㙥ㄶ㐳㌹戵愲扣㙡㕡ぢ戴昵扦㙡㠷㙤愵㌸捦㐳摣昲挳摡㤳晦㜱搳晤㝦㥡晦捦挷㉥㈴㉦攷㐸㕡㔴㐳戰㡡晦攴攵扣㠴晦㠲㌵改搲㕡挱挲昷㐸㥢攴㘲㌸つ昶ㄹ愵㠸㜶㔴㐵㔸慥敥搳愵㌲㝢㕡㌸戳㜴㙣㜹挵搴挹攵攵㔳㤹晣㐶㔲慢㥣ㄲづ㐷㜸挹摣搰摣㈱㘰㔹㈹㔵慦㥥攷攲搸㜵㙤㝤〴摡て扣〲㤱㤹㕢㔲㤲㙤㕢慣っ扣ち愸ㅥ㍥㔱〲慦愱搰戵攳〹搹㘳㜱愳㈲㍢扡㍢ㅦ㥢摤户愰㍣扢敦㡣晣㤲散㥣㑥㥤㈷㥥㤶㍦扢㝣㘲攷㡥㥤扢戴捥㡥㠴㉢㈳敤㘷㤵㔴㤶慡㡥㘰㠶㔷挴〷㍥㝤挳ㄱ㥦ㅥ昸㙣摥晣㔷挳㤱㤵摦㑤戹㔶㜵㌰㡡㠴㉢敤愳搱㔷㌶摥捥ㅢㄴ㙦㔲扣㐵昱㌶挵㍢㄰慡㌵㕣㜹ㅣ㑢㍣ㅡ扤㐷㥢㙤ㄴ摢㈱㜰㌴㤲散攰㘰戴〳搵挰〷㄰㠹〷㈳㜵っ㘰ㅥ㤰㥣㥤ㄴㅦ㐲愸搶㄰摣㜵㔳㥣㡦㈰㤲收㍦㠷ㄶ搵㄰ㄸ㑣㉣晦㥦〲〸㍡㌵攸㔴ㅢ㔸㜰ㅢ㜰挸戹㐳㤶ㅤ㌲慣づ㐶㌳扥㘴ㅤ㘴ㄴ〹昷ㄵ摡挱㉤㥢晥扢㈸扥愵昸㡥攲㝢㡡摤㄰㉡ぢ慥㈴㡢㘷搱㝣挷づ摤㍦搲收㍦ㄴ㝢㈰㕣㘴晤㐴㡣㘴〵㤵㍡ㄶ晦〹㌹扦㄰晣ㄵ㐲㜵㠰搰攴散㐵㈹㈹㌹敤改㔰つ㠱捥㘳攴晣づ㈰攸搴愰㔳ㅤ㘱攱㐷捥扥㍦㤲㤰昳㥢㔱㈴摣㌵改㡣㤶戲昱㜶〲ち愲〱㐵㍡㠵㐳ㄱ㠴㔰晦㠵㉢挹攱〵㄰摦㌱㜲㌲㘸㤳㐹搱〸挲㐵㑥〸搵㐰㘳〸㥦㉤愹ぢ㥡㘸挹づ㥢㐰敦ㅣ〰愱㡥㐳㔵㤳㜵㈰慡㐹挹敡㑡慦㙡〸て㔹㠷挰㈵攸搴愰㔳挷挳挵㡦慣㑦㤲㤱昵戱㔱㈴摣ㅦ㍡〱㉤㘵攳敤㘴愳㔳愷㈵挵㤱ㄴ㐷㔱戴㠲㔰敦ㅢ戲愶挰㡡敦ㄸ㔹㐷搳收ㄸ㡡ㅣ〸ㄷ㔹㙤㠸昱ㅣ〰㕢搲㠹昸慦㈵摥㑥㍢㠲挷㐲愸㤳㔱搵攴戴㐷㌵㈹㌹㈷搱慢ㅡ挲㐳㑥㈷戸〴㥤ㅡ㜴敡ㄴ戸昸㤱昳㘲㌲㜲㕥㌰㡡㠴㥢㕦㍤搰㔲㌶摥捥㐹攸搴㌹㤹攲ㄴ㡡敥ㄴ㍤㈰搴搳㠶ㅣ敥㘲㝣挷挸改㐵㥢㕣㡡摥㄰㉥㜲昲㠸㤹摤慣㈷㕣㕡戲㠳㝥〴㑦㠵㔰戹愸㙡㜲晡愳㥡㤴㥣㕥昴慡㠶昰㤰㌳〸㉥㐱愷〶㥤敡つㄷ㍦㜲敥㑢㐶捥㍡愳㐸戸戵㤷㠷㤶戲昱㜶㐶愱㔳㘷㌴挵ㄸ㡡戱ㄴ愷㐳愸扢つ㌹ㄷ挲㡡敦ㄸ㌹攳㘸㜳㈶挵㜸〸ㄷ㌹ㄳ㠸ㄹ㜲晡挲愵㈵㍢㤸㐴㌰ㅦ㐲昱㥥愱㈶㘷㌲慡㐹挹改㐷慦㙡〸て㌹㘱戸〴㥤ㅡ㜴慡㍦㕣晣挸戹㌶ㄹ㌹㑢㡤㈲攱挶攵㐰戴㤴㡤户㔳㠶㑥㥤㜲㡡㘹ㄴ搳㈹㉡㈰搴㈲㐳づ㜷㜳扥㘳攴㐴㘸㔳㐵㌱〳挲㐵捥㉣㘲㠶㥣㐱㜰㘹挹づ收㄰㍣ㄷ㐲㥤㠶慡㈶㘷㉥慡㐹挹ㄹ㑣慦㙡〸て㌹攷挳㈵攸搴愰㔳㐳攰攲㐷捥㥣㘴攴捣㌶㡡㠴摢戲挳搰㔲㌶摥捥攵攸搴戹㠲㘲〱挵㤵ㄴぢ㈱㔴愵㈱㠷㝤昲ㅤ㈳㘷㌱㙤慥愲戸ㅡ挲㐵捥ㄲ㘲㠶ㅣ摥改㙤挹づ慥㈵㜸ㅤ㠴ㅡ㠹慡㈶㘷ㄹ慡㐹挹ㄹ㐱慦㙡〸て㌹㌷挰㈵攸搴愰㔳愳攰攲㐷捥愴㘴攴㑣㌴㡡㠴㥢捥㘳搰㔲㌶摥捥敤攸搴戹㠳攲㑥㡡扢㈸㔶㐱愸㌳㤲㤲戳㥡㌶㙢㈸搶㐲戸挸戹㤷㤸㌹㈰昳㍥㜶㑢㜶㜰ㅦ挱晢㈱搴ㄹ愸㙡㜲ㅥ㐰㌵㈹㌹愷搳慢ㅡ挲㐳捥㝡戸〴㥤ㅡ㜴㙡ㅣ㕣晣挸改㤷㡣㥣扥㐶㤱㜰㐷㝤㍣㕡捡挶摢㜹〲㥤㍡㥢㈸㥥愴㜸㡡愲ㅡ㐲昵㌴攴扣づ㉢扥㘳㕢捥㌳戴搹㑣昱㉣㠴㡢㥣攷㠹㤹㉤攷㉣戸戴㘴〷㉦ㄲ㝣〹㐲㑤㐴㔵㤳戳〵搵愴攴㑣愰㔷㌵㠴㠷㥣㔷攰ㄲ㜴㙡搰愹㐹㜰昱㈳愷㕤㌲㜲摡ㅡ㐵挲㝣挱㘴戴㤴㡤户昳づ㍡㜵摥愵㜸㡦㘲ㅢ挵㜶〸昵㡦愴攴散愰捤〷ㄴ㍢㈱㕣攴㝣㐴㡣攷㍤昸㈸㉦㐰攳㉤搹挱㈷〴㍦㠵㔰㘱㔴㌵㌹㥦愱㥡㤴㥣㐲㝡㔵㐳㜸挸昹〲㉥㐱愷〶㥤㉡㠲㡢ㅦ㌹㑤㤲㤱搳搸㈸ㄲ㘶㐲㜸收㤲㡤户戳ㅢ㥤㍡㍦㔰晣㐸昱ㅦ㡡㍤㄰慡愱㈱㈷昱㠰晣ㄳ㙤㝥愶昸〵挲㐵捥㕥㘲㘶户攲攴㑡㑢㜶戰㡦攰敦㄰㡡㌳㉣㥡㥣㍦㔰㑤㑡捥㌹昴慡㠶昰㤰愳㔲㐹㑥つ㍡㔵〲ㄷ㍦㜲㝥昹㍤挹ㄹ昳捦㐶㤱㌰捤㔳㠶㤶戲昱㜶㠲攸搴㘹㐸㤱㐱㤱㐹搱〸㐲晤〰㔷㥥㌱㈷敥㔶㕣搳攰㌴愶㘸〲攱㈲攷㐰㘲㘶户㉡㐷攳㉤搹挱挱〴て㠱㔰㥣㍦搲攴㌴㐵㌵㈹㌹搳攸㔵つ攱㈱愷ㄹ㕣㠲㑥つ㍡㔵〱ㄷ㍦㜲㜶㈶㈳攷〳愳㐸㤸挴㡡愰愵㙣扣㥤㔶ㅣ晢㍦㈸㡥愶㌸㠶㈲〷㐲扤㙢挸戹㄰㔶㝣挷㡥㌹㙤㘸搳㤶愲ㅤ㠴㡢㥣昶挴㥥㠱㉤㜶慢㉡晣㈷攴㜴㈴搸〹㐲㜱㜲㑣㤳搳ㄹ搵愴攴捣㠰㔹㈲㌹挷挱㈵攸搴愰㔳戳攰攷㐷捥戳挹挸搹㙣ㄴ〹㌳㜴㜳搰㔲㌶㐷搱㠳㘳敦㐹搱㡢㈲㤷愲㌷㠴摡㘴挸㐹㍣㐳捥愳㑤㕦㡡㝥㄰㉥㜲晡ㄳ㌳㕢捥戹㘸㕣挸ㄹ㐸㜰㄰㠴㥡〷㐸㤳㌳ㄸ搵愴攴捣攵戰慡㈱㍣㕢捥㔰戸〴㥤ㅡ㜴敡㍣戸昸㤱戳㌶ㄹ㌹㙢㡣㈲㘱晥㜱㍥㕡捡挶摢㌹㥤㘳㍦㠳㘲ㅣ挵㤹ㄴ攳㈱搴ㅤ㠶㥣ㅢ㘱挵㜷㙣换㤹㐰㥢㠹ㄴ㤳㈰㕣攴㑣㈶㘶挸戹〰㉥㐲㑥㈱挱㌰㠴扡〸㤰㈶愷〸搵愴攴㕣〸戳㐴㜲㡡攱ㄲ㜴㙡搰愹㡢攱攷㐷捥搵挹挸戹捡㈸ㄲ㘶㔷㉦㐵㑢搹ㅣ㐵〵㍡㜵㉡㈹㈲ㄴ㔵ㄴ㌳㈰搴ㄵ㠶㥣慦㘱挵㜷㡣㥣㔹戴㤹㑤㌱〷挲㐵捥㕣㘲㠶ㅣ㑥搸ち㌹攷ㄱ㍣ㅦ㐲㜱摡㔶㤳㌳ㅦ搵愴攴㕣づ戳㐴㜲㉥㠲㑢搰愹㐱愷ㄶ挰捦㡦㥣ㄹ挹挸愹㌲㡡㠴戹攳㠵㘸㈹㥢愳㔸挸戱㉦愲㔸㑣㜱ㄵ挵搵㄰慡摣㤰挳捦㌵扥㘳攴㉣愱捤㔲㡡㙢㈱㕣攴㉣㈳㘶挸㔹〴ㄷ㈱㘷㌹挱ㅢ㈰搴㔵㠰㌴㌹㉢㔰㑤㑡捥㘲㤸㈵㤲㜳ㄳ㕣㠲㑥つ㍡㜵㌵晣晣挸ㄹ㥦㡣㥣㌳㡤㈲㘱㘶㝣〹㕡捡收㈸㔶㜱散㜷㔳慣愶㔸㐳戱ㄶ㐲㡤㌶攴㈴㝥㕡摤㑢㥢㜵ㄴ昷㐱戸挸㜹㠰㤸㌹捦㔹㡡挶㠵㥣㠷〸慥㠷㔰㥣㙥搷攴㍣㡣㙡㔲㜲慥攵戰慡㈱㍣挷㥣つ㜰〹㍡㌵攸搴㌲戸昸㤱搳㍢ㄹ㌹戹㐶㤱㌰攷扦ㅣ㉤㘵攳敤㔴㜳散㑦㔳㍣㐳戱㤹㠲ㅢ㠹㍡搹㤰㤳戸攵㍣㑦㥢ㄷ㈸㕥㠴㜰㤱戳㠵㤸搹㜲㙥㐰攳㐲捥㔶㠲慦㐰愸㤵㠰㌴㌹慦愲㥡㤴㥣ㄵ㌲㉣〸て㌹晦㠲㑢搰愹㐱愷㜸㘰昴㈳㈷㈷ㄹ㌹挷ㄸ㐵挲㡡㠶㥢搱㔲㌶摥捥㜶㡥晤㝤㡡ㅤㄴㅦ㔰散㠴㔰㉤つ㌹㠹〷攴㡦㘸昳㌱挵㈷㄰㉥㜲㍥㈳昶っ㕡挵㐷昹㉤昸㑦挸昹㥣攰ㄷ㄰敡㌶㐰㥡㥣㉦㔱㑤㑡捥慤㌰㑢摣㜲扥㠱㑢搰愹㐱愷㙥㠷㥦ㅦ㌹㡤㤲㤱㤳㘹ㄴ〹换㌵敥㐴㑢搹㜸㍢㝢搰愹昳㕦㡡㥦㈸㝥愶昸〵㐲㌵㐸㑡捥㕥摡晣㐶戱て挲㐵捥ㅦ挴捣㤶㜳ㄷㅡㄷ㜲戸㉥挳㔱㄰㡡敢㐰㌴㌹愹愸㈶㈵㘷ㄵ㠷㔵つ攱搹㜲戸攰㌲攸搴愰㔳慢攱攲㐷捥㥥㝤㐹捥㤰晦㘳ㄴ〹㡢㔱搶愲愵㙣扣㥤㐶攸搴挹愲〸㔱㌴愶㘸〲愱扥㠵㉢捦㤰㜹扢㠲敦搸〱昹㐰摡ㅣ㐴㜱㌰㠴㡢㥣愶挴っ㌹㕣摦㈲攴ㅣ㐶戰ㄹ㠴㕡〷攸㈸扣㔳㥣收愸㈶㈵攷㕥㕡㔴㐳㜸挸㌹〲㉥㐱愷〶㥤扡て㉥㝥攴㙣㑦㐶捥㌶愳㐸㔸㙡昳〰㕡捡挶摢挹㐱愷㑥㙢㡡㌶ㄴ㙤㈹摡㐱愸㌷つ㌹㡦挰㡡敦ㄸ㌹敤㘹搳㠱愲㈳㠴㡢㥣捥挴捣〱㤹慢㜷㠴㥣慥〴㡦㠳㔰敢〱ㅤ㠵㌷ㄶ㐰愲㥡㤴㥣㠷㘸㔱つ攱㈱攷㐴戸〴㥤ㅡ㜴敡㘱戸昸㤱㔳㥤㡣㥣愷㡣㈲㝥ㄱ㔱ㅡ愷攴攳㈷㐵㘵〵㙣㜴㜹㠵㙢攱㐶㈳ㄸ〷㡡㐶㤷ㄵ㐷㉡ㅢㄶ攵㔶㐵捡晢ㄵ㐷昲㉡㈳ㄹ㐵㄰㈸㡡换㘱戲ㄲ挱攵搴戶㘸㑣㜱㜸收㈸㑣ぢㅥ㤱愸挲攲攰㍥㔵㤵㤱㜲㤹敦㙤㤱愸捦㉢ㅦ㔲ㅥ挹㉢慥㥣㔶㤲㍦扢㤵㡦㕡㙢挶㑥〹㤷㘱㘹㑣〵㔶挸散捦愸㝣摡戴㜰愱捦ㄸ㐷㤶㔷㔵ㄴ㠴〷攴晤ㅤㄶ搷㈸㍤㜱㥤㠲戹㔱愵㜰㕢㈴昹㘲ㄲㄷ敦㠷㈳㌷愹㤸㑦㔵㝦㜱㙤㐶㌵晣㔳㥣㍥搸昴戰昹㉡㙣敡㑥ㅥ㌷挳㘰㑡摡愳㐰㙡摥㐴㕣换㜵ㅡ挲㌸㔸㠴戴㙡㉣搳慣〷ㅢ㔰㔶㔹㕣ㄸづ㥡摡㘹挵㘵㡤㑣㜱㘸㔵挴愳挹㥦㜵㠰搱㘰搲㜷㘸ㄹ㔲㕦㤰㕦㔱昸㜷挸ち㠹挱挴戳愴㐴〵昰敦慦ㄱ慤㥢㐹㐹搹㙤ㅦ攲搸㝤㍥㜶昶扥㠶敢㡤㔰晢捥挱㐷㜷㐷ㄴ㕣慢㥤戲㘰㥦㐹扡愳㜰㍡㙢愷㠵昳换㈴ぢ㈳㈳㠵㜹攱ㄹ㡤挴㈲㡣つㅣ㙢昲㑢挲〷㜸慢戲ㄴ挳㈹捡㥤㕣㔹㕥㔲ㄵ〹㌷㡡㤶㘴㐷㜷㡡㐶㠴㑢昲戹㜲㉤㈳㕡ㅡ㔶㄰挱摡扥㘸㝢㕣㤵昶昷挹㄰ㄸ愹㙦戲愴㈴㑦㠱ㅡ㌶㕥㙦㄰摣㠷晥㘲㔶㔵㑡㑡㤱扣扥敢愹㔶摣挰搷㥡㥥㈹戶㄰攴㉢㈵敤㌱㌴㕦晢愵㘹摣㤳づ戰㉢㈶昵ㄱ㑥づ㕥ㄹㄶ攳慡戰捣㈲㌹敥㘱改㈷ㅦ挷挸攲慥㔳㠲㘷㘵㈲挵〵昹㈵㈵戳ㅢㄵつ㈸㉢㈸愹㉡って捥㥦ㅣ㉥戱挷散昲㡡搲扦㐹扥敡㠳㌵戳㐷搵挰㡢㔹慦㌷〰捦㌰搹㠵㜰㝦昹㌰㠷㥢㌹搸搳攴㈳ㄷ㙤〴㥤晥㘶扦攳㉡戴晦昳㍡挰㈰㥣㥡挴㔶戱捡㔳㉥㌸戴㈵㐰㍣愶㜱㑤㔴㜴㈹愱散㜱㉥戳挱攵㠳换戱捣戳搰〵昵㉦搶搰摦㘶扦㤲㕤㉡㄰〸晣搵てㄸ㜰㠵搷㙥戳收〲〷㍤㕤敦挹捦ㄸ敥ㅣ㥢㔰㡦㕦㑤攵㍡ㄱ㤱捦㝥㌹〸㠶㘰㤸挵㈳㤸㍥㜱ㄸ㔵ㅣ㈹〹㌷㉣ㄲ扤㤴搳戹㑢㤰捤〶㐵愳愶㘰㘵㔲㕥㘶搱愹ㄵ挵㠵㈵挵㘵㘱㥥㠴㘰搹㌱㥦㉣ㅡㅣ㍥ㅢぢ㘴㠷㤵㔷ㄶ昳㠱戹捣愲㔱ㄵ昹㘵㤵搳戸〰慤㘰㜶ㄳ㑦㑤㤲㤵㔶搴扢戸っ㍢㤰敥㤳攵慣愲㤱㔳捡㘷攲㤹扢慡搲戲㔳昳愷㔵晥㉤ㄲ挵晤㐹扦昴ㄱ㌰㔵愵愶慡昴搴昴扦晡㔹ㄵㄸ㠰晤㈳攳㤸㤱㕣扢搵攵㤸㤶㜸戲〹㈷〷㈹㈹㥤搱㐷㉡㠵挹摤㤳㈸搵戰〳㌳㙤㘶扤㌲㜷㘰づ搲昳㐰㤹敦㘲挹攸ㄳ㡣㍣㈸㍢〳㌹㡥㐱㄰〳㑦ㅤ㍤㈰戶捡晤晦敢㜱挰戴愷搰㜲つ㥦つ戲㥤㐴㤷搴ㅥ〴攳㐶㝡摢㈱挶㑤挹㤱㑤㠰戵昸敤㌱㔸㈴㌶摣㌴昱㜱㑡㜳ㄶ晢㘱戱㘳〶㡥〴㌸ㄶ㘳戵ㅡづ挲㡤㜴㠵攷㜷愵昹㈵㤵㐶搷愷扣戴㌴㥦摢ㅡ户搳㤱㌸㤰㠷搳攵㘴ㅢ㠷ㄶ愷〸㐲㌶㐸〳攵捦〲㤴㍦㑢㈰㝣㍥㜳㤹扣㤴搹㔶昹搹昹ㄵ挵㤱㈹愵挵〵改慣㜰㈹晢摦㘲㈳挵㈶㔴ㅦ㘴摡㤷㙣愹㌸㜳㡤㕦㤰慡搷㔰㈲摤敤㜱㌱㐱敡㤸㝥㙣捡愹昲愱慥晥攲ㅡ㘴㙣扥㜲昴㜷㑥㐳㙢㘹戸晣挷挹慥搹㙢㕣㘷㘴㐰攴愸愴㥥愶〱摥捥㄰㤸戳挰㜷晤捤㄰㌵㉥ぢ㙤〰㠳攰攰昲晣挲㝥㜸摡愱扣愲㠱㜹㝣㌵ㅤ愹攵㌱愶㈲挴愵挰㝤戰㡥ㅥ敢昳㘷攰挴戸㈲㥤挰㐸㉣戲慤捦㐵挴〱㥤㐳㝥㌶愶愴愵㌵㑣昷敢㙢㠰㙤慢㤵㔹㌲改㝥晣㜷㐰㐲晢扢㠶㥦㠰㐳㉤挳㐲㈰㈹捥㔰㐸㘷ㄸ㘳㝡ㄶ㔵挶ㄳ㘷㌰㥣〶㈳㈰搲㥥㠷㌲㝥㉦㐹扡㙣ㄶづ㈹㘹愵㕣捥㥢㕥捡㜰㜰晥ㄱ挰㈲㕦㉣ぢ〶㈵㠱㠶改捦㐱敦㡣㠴搵㉢㕢户㜶㐷㌹㐵㜱㕤敡㘶扣搹扦㠳晦㠳㐱㤲攷㡣㠲㡤㌳ㅡ㐲扤㠱㉡慦㔲㈵㙤㔸扦〳っ愸㕣愱㥣㡥㌲㍥㍢搴㥢㐰㜸㤵㘲㕦慥㑣攲摣晡っ㘳昵ㄶ搴㍣扦㘶づ昷㜷慥愶摥㠶ㅤ捦搷㌰㈷〲昷搸〹挳㜸搳搸㍢㔰昱愴㐱扦㤲㝥慣愹昷㘰挰㡦戶㤴挰㔹昰㙣ㄸ㍤㤴づ昱㍤㤲慡㙤戰攴搱搴㤹〰㙢戵ㅤ㈵ㅥ愴㌰㘲扤搱㑥〲扡晦㡤㜶㠷㜸愰㤱㝣㌶㘲㉡㙡㈷ち㥢昱㡥㑢昴㘴搸㌸〵㌴晣搰摦愰㤰〶㘱ㅡ㝣〴〳㙥つ㑥ㄱ㙡搱〴㝥敡㜲㜳㈵昰㙣扡㑤愱摢㉥ㄸ戸ㄲ㜸づ㌰愰㤲挰愹㈸㌳㠱摦〲㐹㥥挰ㄲ㘳昵ㅤ慣㙡㥤挰敦㘱慣ㄳ㔸ち昷㔸〲换㑤㘳扢愱慦㑤〲㝦㠴㥤㑥攰㌴㜸挶ㄲ㌸摣㍦㠱晦㠱戹㈴㜰㍡慣搵ㅥ搴㍣〹慣〴扡晦〴晥〴㌷收捤攱攳晢搱〴晥〲㘴㌳摥㜱〹慣㠲㡤㌳㠳㠶扦晡ㅢ捣愴挱㉣ㅡ散㠵㠱㈴㜰㌶㙡搱〴晥敥㜲㜳㈵㜰づ摤捥愵㕢〰㐳㜰㈵㜰ㅥ㌰㌹㙡攲ㅥ挱㜹㈸㌳㠱つ㘰㤲㍣㠱攷ㅢ慢㜴㔸搵㍡㠱㕣て慢ㄳ㌸ㅦ敥戱〴㕥㘸ㅡぢ㐲㕦㥢〴㜲捤慣㑥攰㐵昰㔴㥤昰㑥㌸㠳㔱㕣㔳㉢㘹扢㤸㌶㡤㔰昳愴敤㔲愰晢㑦㕢〸㙥昸挳挳㤸㙣㠴㈴昱捤㔵户㥢㔱㘰摡昸㜹㘳㡥挰㤷挳挶戹㠲㠶㕣㤱敢㘳戰㠰〶㔷搲攰㐰ㄸ㐸摡ㄶ愲ㄶ㑤ㅢ㤷攱㕡㌷㕥㠹㤸〳攷㈲扡㉤愶㕢㌶っ㕣㘹扢ㅡㄸ㔰搹敦慥㐱㤹㘹㙢〹㤳攴㘹㕢㘲慣㡥㠴㔵慤搳㜶ㄴ㡣㜵摡㤶挲㍤㤶戶敢㑣㘳慤愰慦㑤摡㡥㠶㥤㑥摢㌲㜸扡捥㐱晢昸敦㜸挷挰㕥㌲㜸㍤捣㔵づ㙡㥥っ摥〰㜴晦ㄹ㙣〳㌷晣愵㌸㉢搸〸改攲㥢㑢㠳㌷愳㄰户攳慤㠴㡤㜳㈳つ戹㙣搸挷攰㈶ㅡ摣㑣㠳昶㌰㤰っ摥㠲㕡㌴㠳㥤㕣㙥慥ㅤ敦㔶扡摤㐶户㤳㘰攰捡攰ㅤ挰㠰㑡〶敦㐴㤹ㄹ攴慡摦攴ㄹ扣换㔸㥤〲慢㕡㘷㤰换㠷㜵〶㔷挱㍤㤶挱搵愶戱ㅥ搰搷㈶㠳扤㘰愷㌳戸〶㥥戱㈳攷㌸晦〴收挲㕣ㄲ戸ㄶ搶慡㌷㙡㥥〴摥ぢ㜴晦〹捣㠳ㅢ晥㌰㠹捡㐶挸ㄶ摦晤㈰㌷愳㄰㤷挰晢㘰攳摣㑦挳㔳晤つㅥ愰挱㠳㌴攸て〳㐹攰㐳愸㐵ㄳ挸昵捣㥢㑤扢慥〴慥愷摢挳㜴ㅢ〵〳㔷〲ㅦ〱〶㔴ㄲ戸〱㘵㈶㤰㉢㤳㤳㈷昰㔱㘳㌵〶㔶戵㑥㈰㤷㌸敢〴㙥㠴㝢㉣㠱㡦㥢挶戸晡戹㌶〹ㅣ〷㍢㥤挰㈷攰ㄹ㑢攰㘰晦〴㜲挱戴㈴㜰ㄳ慣搵㜸搴㍣〹㝣ち攸晥ㄳ㌸〱㙥昸挳愸搹〸搹攲㝢ㄲ攴㘶ㄴ攲ㄲ昸㌴㙣㥣㘷㘸㤸敦㙦戰㤹〶捦搲㘰㌲っ㈴㠱捦愱ㄶ㑤㈰搷㕣㙦㌶敤扡ㄲ昸㍣摤㕥愰㕢ㄹっ㕣〹㝣〹ㄸ㔰㐹攰ㄶ㤴㤹㐰慥㥥㑥㥥挰㤷㡤搵㌴㔸搵㍡㠱搳㘱慣ㄳ戸ㄵ敥戱〴扥㙡ㅡ攳ち敤摡㈴㤰㤷摡㍡㠱慦挱㌳㤶挰ㄱ晥〹攴愲㙥㐹攰敢戰㔶㌳㔰昳㈴昰つ愰晢㑦㈰㔷㠱攳て捦㐸戱ㄱ戲挵昷ㅣ挸捤㈸挴㈵昰㉤搸㌸㙦搳㤰㑢挴㝤っ摥愱挱扢㌴㤸ぢ〳㐹攰㝢愸㐵ㄳ挸㜵攱搶捤㤵挰㙤㜴摢㑥户换㘱攰㑡攰づ㘰㐰㈵㠱ㅦ愰捣〴㜲㠵㜷昲〴敥㌴㔶ぢ㘰㔵敢〴㜲愹戸㑥攰㠷㜰㡦㈵昰㘳搳ㄸ㔷㤱搷㈶㠱㡢㘱愷ㄳ昸〹㍣㘳〹ㅣ改㥦㐰㉥㍣㤷〴㝥ち㙢㜵㌵㙡㥥〴晥ㅢ攸晥ㄳ挸㤵敡昸㑢㜱㍥㘷㈳㘴㡢敦㙢㈱㌷愳㄰㤷挰㉦㘰攳㝣㐹㐳㉥㘳昷㌱昸㡡〶㕦搳㘰ㄹっ㈴㠱摦愰ㄶ㑤㈰搷慥㕢㌷㔷〲㜷搱敤㕢扡摤づ〳㔷〲扦〷〶㔴ㄲ戸ㅢ㘵㈶㤰慢搰㤳㈷昰〷㘳㜵㈷慣㙡㥤㐰㉥㘷搷〹晣ㄱ敥戱〴敥㌱㡤慤㠲扥㌶〹㕣つ㍢㥤挰晦挲搳㜵ㄶ搳摢㍦㠳㕣ㅤ㉦ㄹ晣〹收㙡㉤㙡㥥っ晥〲㜴晦ㄹ攴㜲㝡晣攱挱㌸㌶㐲扡昸扥て㜲㌳ち㜱ㄹ摣ぢㅢ攷㌷ㅡ㜲慤扤㡦挱㍥ㅡ晣㑥㠳〷㘰㈰ㄹ晣〳戵㘸〶戹挰摥扡戹捥㐳晦愴ㅢ㈷㌲搵ㄳ㌰㜰㘵㌰㔵㙥晥攸っ搶㐳㤹ㄹ攴㔲昹攴ㄹ挴㤷㐵㠹搵㤳戰慡㜵〶戹收㕥㘷㌰つ敥戱っ㌶㌰㡤㔵㐳㕦㥢っ㍥〳㍢㥤挱㜴㜸挶㜶挱愱晥〹攴ち㝥㐹㈰扦㍥㑤㍤㡢㥡㈷㠱つ㠱敥㍦㠱捦挳つ㝦㔸收捣㐶㙣〲㕦㐴挹ㄲつっ㤴㠰㘲慣㠲㠶㡤搳㠸㠶㝣ㅥ挰挷㈰㡢〶㈱ㅡ㙣㠱㠱㈴戰㌱㙡搱〴昲㈱〰敢收摡〵㥢搰敤〰扡扤〳〳㔷〲て〲㠶㍤㔰㜶挱㠳㔱㘶〲戹㥣㍦㜹〲て㌱㔶㕣敦㕦敢〴昲戹〰㥤挰愶㜰㡦㈵昰㌰搳搸㜶攸㙢㤳挰ㅤ戰搳〹㙣〶捦㔸〲昳晣ㄳ挸愷っ㈴㠱捤㘱慤㜶愲收㐹㘰ぢ愰晢㑦攰㐷㜰挳㕦㡡㜳〴ㅢ㈱㕤㝣㝦〲㘹㠹㐶摤㈶㌰ㅢ㌶㑥㑢ㅡ昲㤹〵ㅦ㠳㈳㘹㜰ㄴつ㍥㠳㠱㈴戰ㄵ㙡搱〴㝥攱㜲㜳㈵昰ㅦ㜴㍢㥡㙥扢㘱攰㑡㘰づ㌰愰㤲挰搶㈸㌳㠱㍦挰㈴㜹〲摢ㄸ㉢㍥㤳㔰敢〴昲搹〵㥤挰戶㜰㡦㈵昰㔸搳搸ㅥ攸㙢㤳挰㥦㘰愷ㄳ搸ㅥ㥥慥㘳㘸慥㝦〶昹㈸㠴㘴戰〳捣ㄵ㥦㠹昰㘴戰ㄳ搰晤㘷㜰㉦摣昰㤷攲㜴㘶㈳愴㡢敦㝤㤰㍥〹敡〲ㅢ愷㉢つ昹㘰㠵㡦挱㜱㌴㌸㥥〶㝦挰㐰㌲搸つ戵㘸〶昹㌴㠵㜵㜳㘵昰〴扡㥤㐸户㈰っ㕣ㄹ㍣ㄹㄸ㔰挹攰㈹㈸㌳㠳㝣㉥㈲㜹〶扢ㅢ慢っ㔸搵㍡㠳㤹㌰搶ㄹ散〱昷㔸〶㝢㤹挶ㅡ㐱㕦㥢っ昲㈱っ㥤挱㕣㜸挶㜶挱搳晤ㄳ挸挷㌵㈴㠱扤㘱慤㥡愰收㐹㘰ㅥ搰晤㈷昰㐰戸㌱㘷㑥㕦㌶㐲戶昸收〳ㅥ㤶㘸搴敤㉥搸て㌶捥愹㌴攴挳ㅦ㍥〶晤㘹㌰㠰〶㑤㘱㈰〹ㅣ㠸㕡㌴㠱㝣攲挳扡戹ㄲ㌸㠸㙥㠳改搶ち〶慥〴づ〱〶㔴ㄲ㌸ㄴ㘵㈶昰ㅦ㌰㐹㥥挰㘱挶敡㘸㔸搵㍡㠱㝣〸㐴㈷㜰㌸摣㘳〹ㅣ㘹ㅡ换㠱扥㌶〹㙣〳㍢㥤挰㔱昰㜴敤㠲㐹づ愲㝣愶㐴㌲㌸ㅡ收慡ㅤ㙡㥥っ㡥〵扡晦っ戶㠷㥢㘴昰㜴㌶㐲扡昸收㔳㈸㤶㘹㜲㘸㍥〵捦㠰㡤㌳㡥㠶㝣㐲挵挷攰㑣ㅡ㡣愷㐱㘷ㄸ㐸〶捦㐲㉤㥡㐱㍥㤶㘲摤㕣ㄹ㥣㐰户㠹㜴敢〱〳㔷〶昳㠱〱㤵っ㑥㐶㤹ㄹ攴晤扤攴ㄹ㉣㌰㔶扤㘰㔵敢っ昲㐹ㄵ㥤挱㐲戸挷㌲㔸㘴ㅡ攳㐳㉣戵挹㘰ㅥ散㜴〶捦㠶㘷㙣ㄷ散敦扦ぢ昶㠵戹㈴㜰ち慣㔵㍦搴㍣〹㍣〷攸晥ㄳ搸ㅦ㙥㤲挰愹㙣㠴㙣昱㍤㄰愸㈵㥡ㄴ㥡〴㤶挰挶㈹愵㈱㥦愲昱㌱㈸愳㐱㌹つ〶挳㐰ㄲ㌸つ戵㘸〲昹攸㡣㜵㜳㈵㜰㍡摤㉡攸㜶㍡っ㕣〹㡣〰〳㉡〹慣㐲㤹〹攴㐳㌰挹ㄳ㌸挳㔸㡤㠳㔵慤ㄳ挸愷㘹㜴〲㘷挲㍤㤶挰搹愶㌱㍥㘸㔳㥢〴㑥㠰㥤㑥攰ㅣ㜸挶ㄲ㌸挶㍦㠱㝣㌶㐷ㄲ㜸㉥慣搵㈴搴㍣〹㥣〷㜴晦〹攴挳㍣㤲挰昳搸〸搹攲扢㄰愸㈵㥡ㄴ㥡〴㥥てㅢ㘷㍥つ挳晥〶ㄷ搰攰㐲ㅡㄴ挱㐰ㄲ㜸ㄱ㙡搱〴昲昱ㅥ摢慥㉢㠱ㄷ搳敤ㄲ扡㔵挰挰㤵挰换㠰〱㤵〴㕥㡥㌲ㄳ挸〷㜵㤲㈷昰ち㘳ㄵ㠱㔵慤ㄳ挸㈷㝥㜴〲ㄷ挰㍤㤶挰㠵愶㌱㍥っ㔴㥢〴捥㠲㥤㑥攰㈲㜸挶ㄲ㌸捣㍦㠱㝣㝥㐸ㄲ戸ㄸ搶㙡づ㙡㥥〴㕥つ㜴晦〹攴〳㐷㤲挰㙢搸〸搹攲晢㍣愰㤶㘸㔲㘸ㄲ戸〴㌶捥㔲ㅡ昲㘹㈴ㅦ㠳㙢㘹㜰ㅤつ收挳㐰ㄲ戸っ戵㘸〲昹〸㤲㜵㜳㈵昰㝡扡㉤愷摢㐲ㄸ戸ㄲ戸〲ㄸ㔰㐹攰㑡㤴㤹㐰㍥㑣㤴㍣㠱㌷ㅡ慢挵戰慡㜵〲昹㔴㤲㑥攰㑤㜰㡦㈵昰ㄶ搳ㄸㅦ㔸慡㑤〲㤷挰㑥㈷昰㔶㜸挶ㄲ㌸捡㍦㠱㝣挶㐹ㄲ㜸ㅢ慣搵戵愸㜹ㄲ㜸〷搰晤㈷㤰て㐵㐹〲敦㘴㈳㘴㡢敦攵㐰㉤搱愴搰㈴昰㉥搸㌸慢㘸挸㈷愶㝣っ敥愶挱㙡ㅡ慣㠰㠱㈴㜰つ㙡搱〴昲㌱㈹敢收㑡攰㕡扡摤㐳户㔵㌰㜰㈵㜰ㅤ㌰攴㑦ㄲ㜸ㅦ捡㑣㈰ㅦ㜸㑡㥥挰晢㡤搵㙡㔸搵㍡㠱㝣㜲㑡㈷昰〱戸挷ㄲ昸㤰㘹㙣㉤昴戵㐹攰扤戰搳〹㕣て捦㔸〲晢晡㈷㤰捦㘱㐹〲ㅦ㠶戵扡て㌵㑦〲ㅦ〱扡晦〴昲挱㉤㐹攰〶㌶㐲扡昸㝥〸愸㈵ㅡ㜵㥢挰㐷㘱攳㙣愴㈱㥦敡昲㌱㜸㡣〶㡦搳攰㘱ㄸ㐸〲㥦㐰㉤㥡㐰㍥捡㘵摤㕣〹摣㐴户㈷改㔶つ〳㔷〲慢㠱〱㤵〴㍥㡤㌲ㄳ挸㠷戲㤲㈷昰ㄹ㘳挵愷戶㙡㥤㐰㍥摤愵ㄳ戸ㄹ敥戱〴㍥㘷ㅡ攳昳ㄶ戵㐹攰昳戰搳〹㝣ㅥ㥥戱〴づ昲㑦㈰㥦ㄵ㤳〴扥〰㙢昵㈲㙡㥥〴扥〴㜴晦〹摣〲㌷㐹攰ㄶ㌶㐲戶昸摥ち搴ㄲ㑤ち捤ㅥ昸㌲㙣㥣慤㌴攴㤳㘷㍥〶慦搰攰㔵ㅡ扣ち〳㐹攰㙢愸㐵ㄳ挸挷捤慣㥢㉢㠱慦搳敤㕦㜴摢づ〳㔷〲摦〴〶㔴ㄲ昸ㄶ捡㑣㈰ㅦㅣ㑢㥥挰户㡤ㄵ㥦㉣慢㜵〲昹〴㥡㑥攰㍢㜰㡦㈵昰㍤搳搸㑥攸㙢㤳挰㡦㘰愷ㄳ戸つ㥥慥敢㠸㈴扢㈰ㅦ㘸㤳っ㙥㠷戹攲㤳㙤㥥っ敥〰扡晦っ㝥〶㌷挹攰〷㙣㠴㜴昱晤㌹㔰换㌴㌹㌴ㄹ摣〹ㅢ攷㐳ㅡ昲昱㌸ㅦ㠳㡦㘸昰㌱つ扥㠴㠱㘴昰ㄳ搴愲ㄹ攴㌳㜱搶捤㤵挱㑦改昶ㄹ摤昶挰挰㤵挱捦㠱〱㤵っ㝥㠱㌲㌳挸愷摢㤲㘷昰㑢㘳挵挷摦㙡㥤㐱㍥㈶愷㌳昸ㄵ摣㘳ㄹ晣挶㌴昶ぢ昴戵挹攰㕥搸改っ敥㠲㘷㙣ㄷ㍣捤㝦ㄷ攴㐳㜷㤲挰㙦㘱慤昸昴㥤㈷㠱摦〳摤㝦〲晦㠰㥢㈴㜰㌷ㅢ㈱㕢昲慥ㄷ㈳㥡ㄴ㥡〴晥〰ㅢ攷㐷ㅡ㉡㝦㠳晦搰㘰てつ㔲㘱㈰〹晣㉦㙡搱〴愶戹摣㕣〹晣㠹㙥㍦搳慤ㄱっ㕣〹晣ㄵㄸ㝢挳〰㥣扤㈸㌳㠱㔹㌰㐹㥥挰摦㡣㔵〸㔶戵㑥㘰㘳ㄸ敢〴敥㠳㝢㉣㠱㝦㤸挶㥡㐰㕦㥢〴ㅥ〸㍢㥤挰㍦攱ㄹ㑢攰㐰晦〴ㅥ〴㜳㐹㘰㑡ㅡ㠲㍣ㄸ㌵㑦〲㔳㠱敥㍦㠱㑤攱㈶〹慣挷㐶挸ㄶ摦㠷〱摤㡣㐲摣㠴㐴㝤搸㌸㘹㌴㙣收㙦㄰愰㐱〳ㅡ㌴㠷㠱㈴㌰ㅤ戵㘸〲㡦㜰戹戹ㄲ挸㥦㌲㜱㠲㜴换㠱㠱㉢㠱ㄹ挰㤰㍦㐹㘰㈶捡㑣㘰㙢㤸㈴㑦㘰㈳㘳搵〶㔶戵㑥㘰㕢ㄸ敢〴㘶挱㍤㤶挰挶愶戱㜶搰搷㈶㠱敤㘱愷ㄳ搸〴㥥戱〴㈶㔹ㄷ搳〱收㤲挰〳㘰慤㍡愲收㐹攰㐱㐰昷㥦挰捥㜰㤳〴ㅥ捣㐶㙣〲扢〲摤㥣㤸挰㐳㘰攳㌴愵攱㜱晥〶㠷搲攰㌰ㅡㅣて〳㐹㘰㌳搴愲〹㍣搱攵收㑡㘰㜳扡ㅤづ㤱搶〷〶戵㝢㉡㡥㙢㐹㐳慥㐷ㄵ戹㙣扢戲㜱搱昰慡晣ㄲ晣㌸挹㔰㍣㉦ㄳ㈱昴㜷㔸ㄷ㕤㕦㍦戵ㄴ晦搵敢摥摦㉣挱〳㝦ㄲ挲㤹㘷戵㐰㘴昱ㅣ㜸㙤㑤㙣㤵戴晣㙢㑦㌵〵搳㍥搹晢攷㥦戵敢㠵㕢㐵㠳ㄹ晣㔶摦㠹ㄳ㔳搲搹㈷㤲㠴搵户㐷㈰㘱摣愳昲㔰㤵㑤㈸ㅢ〰搳挲户敡㙢搱㤶㐰敤㉢慤ㅦ搰ㅡ㥥㈷㠸㝢㈰㠸慤ㅥ㄰㕢晤捣㜵敥㙤㑢昸搳㐷㝥换愶扤㡦ㄵㅣ㠹㕥㔵㝦扦㌱愸㠱ㄶ㙤㐵ㅢ㜴㠱㝡㑡摡㘹㤰晢㕤愸㡥攳㉡㥥㠱攴㤲昵㤱㤱搹㈵㜸㑣㠰㐵㝥ㄳ慥㉥㜱㕤戴㔶㘳搰攵ㄵ昵昱戸㘷晣㜷㕦㐷㝤昹㌴㜲挳〳攳扥㙢㕣摣愸ㄹ㠴搱愴扤㡦ㄴ㈵昵昷㘶㠵㍥㝣〵㡥㐶㑣〷㥥㔶㕣㔰㔱㕥㔹㕥ㄴ挹ㅥ㠹㘷㕦戲昹敤昳㐵㜸ち㉡㌷㙤ㅢ㕡昴敤㤳㠱搵㉦攳敦昸㐸愲㠳㔳换捡㘷㤶挹㘸搲㉡昹㈵晣㤲摦〶つ搸つ㘷㠲攵㜵ㄴ挸ぢつ挱㐰改散攴愰攳捣㝡愱愱㈴ㄳ慦搰㌰㕢ㄸ㙥ぢ㈳㑣㈱㙢㈴ち㙣㈵㈰㤶晦㐳ㄱㅡ㠵㤶搹㑢愰㌵㐶㤳搱愷昷㐴㔹㙥㍦〲㕦㔴ㅦ㘸〳愴㌱㄰敦㡦ㄸ〵摡〲㙥〴搸昵㈴㑢㘸戴㘹挵㘹㠹愶㥣㘳㘱攱㘴愳愴挶〲攷〱㉡愸晥〵ㅥ戹〳戱慦愰搳ㄱㄶ摣ㄱ㑥㐷㔵㠸敡〴㈰扡㈳㥣㘱搱捥㐰敤㑢㡤〳捡㥤挱改〲㔴㡤昷戵㤹㘰搱攳㘸〳㔷搴㔳搴㈴㐸㙥慣㙡ぢ〶挰㑤㠴㙤〶扡挱㈴㘹摥搵㡢㌰㘳敥扤戹换㐷㉢㤲扢ㄳ攱㡣摣㑤㘶晢㜸㠵ち㙣愱搰ㄶ挲愶㤰㔵㠴㐲摤攴㡥换捡搹㑢攰㈴㡣挶㥢扢㤳㠱昸攴敥ㄴ挰昱戹㥢㘲㕡㤱㥦㑣㜲㝡挰挲㌹ㅡ㡤慡㜳㠰敢摣㔵㠳㠷㔸敥㜲㘱挱摣㑤㠵㕥㜲搷ㅢ㐰㌴㜷㈵ㄶ昵攴慥ㄴ愸攴㉥て戶慡摣搷㘶扡㐵晢搱〶㈳㐰ㅤ㌷㌱㈱㈵㜷ㅢ㌱〸㥢㍢㠷戹攳敥愹㌶昸愶㈹〲㈷㐹搳㐰搸㈱㑤㔵㙣ち慦搰っ㕢㤸㘹ぢ戳㑣㈱㙢㌶ち㜵㤳愶㌹㘸㤹扤㌸㑣㤳挳捣㌸捣㐳攸㕣㡢ㅦ㑢攵㔰攲敤㔰㔲昳㠰㙢攲敦昷㄰㍦〲ㄶ㈴晥㍣攸㠵昸㤱〰㜸㐴㐸愷搷昹ㄶ昵㄰㍦ㅦ愸㄰㍦ㅡ戶敡㐲㕦㥢㡢㉤㍡㤶㌶㘸ぢ昵ㄴ㜵㈹愴㄰扦摡㤷昸㔵扥挴㜳戱户㄰㝦㈶㥡〲昱㤷戳㈹扣㐲㔷搸挲〲㕢戸搲ㄴ戲ㄶ愲㔰㌷挴㉦㐲换散㈵㥥昸挵ㄶ敦㐲攵㈴っ搵攱〳㝣敡㙡攰㥡昸㥢㍤挴ㄷ挰㠲挴㕦〳扤㄰㕦〸㈰扡挵㉦戱愸晢㘳㕢㉤〵㉡挴ㄷ挱㔶㕤攷㙢㜳扤㐵愷搰〶㈳㐰㍤㐵摤〰㈹挴㕦敦㈶㥥㥦㔲戲挵㕦攷㑢晣ち㌸〹昱㈵戰〳昱㉢搹ㄴ㕥愱ㅢ㙤攱㈶㕢戸搹ㄴ戲㙥㐱愱㙥㠸扦ㄵ㉤戳ㄷ㠷ㅦ㉡づ㍦㐷ㅣ㝥㙡㠴㙥戳昸㠹㔴㑥㈷㝥〲㑡敡づ攰㥡昸㐵ㅥ攲㈳戰㈰昱㜷㐲㉦挴㔷〱㠸ㄲ㝦㤷㐵㍤㕢晣㉡愰㐲晣㑣搸慡搵扥㌶㙢㉤㍡㥢㌶ㄸ〱敡㈹敡㕥㐸㈱晥㔲㌷昱搱㐳捤挵扥挴慦㠳㤳㄰㍦て㑤㠱昸晢搸ㄴ㕥愱晢㙤攱〱㕢㜸搰ㄴ戲ㅥ㐲愱㙥㠸㕦㡦㤶搹㑢晣ㄶ晦戰挵㝢㔲㜹㈱㠶敡昴㐰㐹㍤〲㕣ㄳ㍦搷㐳晣㈵戰㈰昱ㅢ愰ㄷ攲㉦〵㄰㈵晥㔱㡢㝡㠸摦〸㔴㠸扦ㅣ戶敡㜱㕦㥢㑤ㄶ㕤㐰ㅢ㡣〰昵ㄴ昵ㄴ愴㄰㕦攵㑢㝣愵㉦昱搵㜰ㄲ攲ㄷ愳㈹㄰晦㌴㥢挲㉢昴㡣㉤㙣戶㠵㘷㑤㈱敢㌹ㄴ敡㠶昸攷搱㌲㝢㠹㈷㥥ぢ愷〵敦㑢攵㔲っ搵挹㐳㐹㜱昱戴㈶㝥慡㠷昸㘵戰㈰昱㕢愰ㄷ攲慦〷㄰㈵晥㘵㡢㝡㠸摦ち㔴㠸扦〱戶敡㔵㕦㥢搷㉤扡㤲㌶ㄸ〱敡㜸㥣㄰㔲㠸㉦昴㈵㝥戲㉦昱㙦挲㐹㠸扦〵㑤㠱昸户搸ㄴ㕥愱户㙤攱ㅤ㕢㜸搷ㄴ戲摥㐳愱㙥㠸摦㠶㤶搹㑢㍣昱摢㉤㍥㠸捡㍢㌱㔴㘷㈰㑡㙡〷㜰㑤晣㌸て昱㜷挳㠲挴㝦〰扤㄰扦ㅡ㐰㤴昸㥤ㄶ昵㄰晦㈱㔰㈱㝥㉤㙣搵挷扥㌶㥦㕡昴㕥摡㘰〴愸愷愸㝦㐳ち昱㈳㝤㠹ㅦ敥㑢晣攷㜰ㄲ攲ㅦ㐰㔳㈰㥥敢㡤昹ち㝤㘹ぢ㕣㘰㉣挸搷愶㤰昵つち㜵㐳晣㉥戴捣㕥攲㠹晦搶攲晣㘶㙦攷㥦ㄸ慡㌳っ㈵昵㍤㜰㑤晣〰て昱㡦挲㠲挴敦㠶㕥㠸摦〸㈰㑡晣てㄶ昵㝣戸晥〸㔴㠸㝦ㅣ戶㙡㡦慦捤㑦ㄶ摤㐴ㅢ㡣〰㜵慣㠰㠳ㄴ攲㝢扢㠹㡦㝥戸昶昲㈵晥㔷㌸〹昱㑦愳㈹㄰扦㤷㑤攱ㄵ晡捤ㄶ昶搹挲敦愶㤰昵〷ち㜵㐳晣㥦㘸㤹扤挴㝦戸㜲㠸㠲㡦愵昲㜹っ搵ㄹ㠳㤲㑡〵慥㠹㍦挱㐳晣㑢戰㈰昱昵愰ㄷ攲户〰㠸ㄲ㕦摦愲㥥㉤㍥つ愸㄰扦ㄵ戶慡㠱慦㡤㘳搱㔷㘹㠳ㄱ㜰㔰慡㈱㔰㈱扥㤳㥢昸攸㠷㙢〷㕦攲㌳攰㠴㍦晣搰っ㥡〲昱㤹慣攰ㄵ㙡㘴ぢ㔹戶㄰㌲㠵慣挶㈸搴つ昱㑤搰戲㄰ㅣ㜷ㅥ㝦㠰挵捦挲搰㥣㜷㌱㔴㘷㍣㑡敡㈰攰㥡昸㘳㍣挴㙦㠷〵㠹㍦ㄸ㝡㈱晥㝤〰搱昳昸㐳㉣敡㈱扥㈹㔰㈱晥〳搸慡挳㝣㙤㥡㕢昴㐳摡㘰〴㐲㝣ぢ愰㐲㝣戶㉦昱㉤㝣㠹㍦〲㑥昸挳㌷㠷愳㈹㄰㥦捤ち㕥愱㤶戶㜰愴㉤ㅣ㘵ち㔹慤㔰愸ㅢ攲晦㠱㤶晤㠸㍦摡攲〵ㄸ㥡昳㈵㠶敡㑣㐶㐹攵〰搷挴ㅦ散㈱晥ㅢ㔸㤰昸搶搰ぢ昱扢〰㐴户昸㌶ㄶ昵ㅣ㙡摡〲ㄵ攲扦㠳慤㍡搶搷愶㠳㐵㜷搳〶㈳㄰攲㍢〱ㄵ攲戳摣挴㐷て㌵㤹扥挴㜷㠶ㄳ晥㌰㈹㠳愶㐰㝣ㄷ㔶昰ち㜵戵㠵攳㙣攱㜸㔳挸敡㠶㐲摤㄰㝦〲㕡ㄶ攲攳捥攳㑦戴㜸㌱㠶收晣㡡愱㍡晣㡡㔲㜵㌲㜰㑤㝣㥡㠷昸㝤戰㈰昱愷㐰㉦挴晦づ㈰㑡㝣㜷㡢㝡戶昸ㅥ㐰㠵昸㍦㘱慢㝡昹摡昴戶㈸㝦㝥㌹㑡㝣ㅥ㔰㈱晥㡦㕦晤㙥ㄹ散〳㥡㜸㘷愷㉦㥣昰㠷搹ㄶ㌴〵攲晢戱㠲㔷攸㔴㕢攸㙦ぢ〳㑣㈱㙢㈰ち㜵㐳晣㈰戴散户挵て戶㜸㌹㠶收〴㌱㔴愷っ㈵㌵〴戸㈶㝥て愲㡢摤慢挹㠴〵㠹ㅦち扤㄰摦〸㐰㤴昸㘱ㄶ昵㙣昱挳㠱ち昱㈱搸慡㤱扥㌶愳㉤摡㠴㌶ㄸ㠱㙣昱㘳㠱ち昱摦扡㠹㡦㙥昱摦昸ㄲ㝦㍡㥣昰㠷㙦摣㐴㔳㈰晥っ㔶昰ち㡤戳㠵㌳㙤㘱扣㈹㘴㥤㠵㐲摤㄰㍦〱㉤晢㙤昱ㄳ㉤捥㙦㠰㜷㥡㘱愸㑥〴㈵㤵て㕣ㄳ晦愹㠷昸ㄶ戰㈰昱㤳愱ㄷ攲㡦〰㄰㈵扥挰愲㥥㉤扥㄰愸㄰摦ㄲ戶慡挸搷㘶㡡㐵㡦愲つ㐶㈰挴㥦〳㔴㠸摦攱㈶㍥晡攱扡摤㤷昸愹㜰挲ㅦ扥ㅤㅦ㑤㠱昸ㄲ㔶昰ち㤵摡㐲㤹㉤㤴㥢㐲搶㌴ㄴ敡㠶昸改㘸搹㙦㡢慦戰昸戹ㄸ㥡搳づ㐳㜵收愰愴㈲挰㌵昱㙦㜸㠸敦〰ぢㄲ㕦〵扤㄰摦ㄱ㐰㤴昸ㄹㄶ昵㄰㍦ㄳ愸㄰摦ㄹ戶㙡戶慦捤戹ㄶ敤㑡ㅢ㡣㐰㠸㥦〷㔴㠸㝦搹㤷昸㤷㝣㠹㍦て㑥昸挳扤て㌴〵攲捦㘷〵慦搰㝣㕢戸挰ㄶ㉥㌴㠵慣㡢㔰愸ㅢ攲㉦㐶换㝥挴㕦㘲昱ぢ㌰㌴愷㍢㠶敡捣㐷㐹㕤〶㕣ㄳ晦戴㠷昸㕥戰㈰昱㤷㐳㉦挴攷〲㠸ㄲ㝦㠵㐵㍤挴㉦〰㉡挴昷㠱慤㕡攸㙢戳搸愲㝤㘹㠳ㄱ〸昱㔷〳ㄵ攲ㅦ昳㈵晥㔱㕦攲慦㠱ㄳ晥昰昰〲㥡〲昱㑢㔸挱㉢戴搴ㄶ慥戵㠵敢㑣㈱㙢ㄹち㜵㐳晣昵㘸搹㡦昸攵ㄶ扦っ㐳㜳㠶㘰愸捥愵㈸愹ㄵ挰㌵昱て㜸㠸ㅦづぢㄲ扦ㄲ㝡㈱㝥〴㠰㈸昱㌷㕡搴㐳晣㑤㐰㠵昸㔱戰㔵户昸摡摣㘶搱㌱戴挱〸㠴昸㍢㠰ち昱㙢㝣㠹扦摢㤷昸㍢攱㠴㍦㍣㤴㠰愶㐰晣㕤慣攰ㄵ㕡㘵ぢ㜷摢挲㙡㔳挸㕡㠳㐲摤㄰扦ㄶ㉤晢ㄱ㝦㡦挵ㄷ㘱㘸捥㐴っ搵㔹㠸㤲㕡〷㕣ㄳ㝦㡢㠷昸挹戰㈰昱昷㐱㉦挴ㄷ〰挰㥦扥ㅦ㝦扦㐵㍤挴㍦〰㔴㠸て挳㔰㍤攴㙢昳戰㐵捦愶つ摡ㄳ攲ㅦ〱㉡挴㉦昷㈵㝥㤹㉦昱ㅢ攰㠴扦ㄴ㘷㉡㥡〲昱㡦戲㠲㔷㘸愳㉤㍣㘶ぢ㡦㥢㐲搶ㄳ㈸搴つ昱㥢搰戲ㅦ昱㑦㕡㝣㈹㠶收㑣挳㔰㥤㈵㈸愹㙡攰㥡昸挵ㅥ攲㉢㘱㐱攲㥦㠶㕥㠸㡦〰㠸㙥昱捦㔸搴㐳晣㘶愰㐲晣っ搸慡攷㝣㙤㕥戰攸㉣摡㘰〴㐲晣㑢㐰㠵昸换㝣㠹扦挴㤷昸㉤㜰挲㕦㡡㌳ㄷ㑤㠱昸㤷㔹挱㉢戴搵ㄶ㕥戱㠵㔷㑤㈱敢㌵ㄴ敡㠶昸搷搱戲ㅦ昱晦戲昸つㄸ㥡㜳〱㠶敡㉣㐷㐹扤〹㕣ㄳ㍦捦㐳晣挵戰㈰昱㙦㐱㉦挴㕦〲㈰㑡晣摢ㄶ昵㥣㑥扥〳㔴㠸扦っ戶敡㍤㕦㥢敤ㄶ扤㠲㌶ㄸ㠱㄰扦〳愸㄰㍦挳㑤㝣昴㜴㌲攲㑢晣〷㜰挲ㅦ㝥㠹〳㑤㠱昸㥤慣攰ㄵ晡搰ㄶ㍥戲㠵㡦㑤㈱敢ㄳㄴ敡㠶昸㑦搱戲㄰ㅦ㜷〱昵㤹挵㙦挱搰㥣㈵ㄸ慡㜳㌳㑡敡㜳攰㥡昸ㄲて昱搷挱㠲挴㝦〱扤㄰扦っ㐰㤴昸㉦㉤敡搹攲扦〲㉡挴㉦㠷慤晡挶搷收㕢㡢慥愰つ㐶㈰挴㝦て㔴㠸て扢㠹㡦㥥㑥ㄶ昸ㄲ扦ㅢ㑥昸㐳㈰㘸ち挴晦挰ち㕥愱ㅦ㙤攱㍦戶戰挷ㄴ戲晥㡢㐲摤㄰晦ㄳ㕡昶摢攲㝦戶昸㕤ㄸ㥡㜳〷㠶敡摣㠹㤲晡ㄵ戸㈶晥㑣て昱慢㘰㐱攲昷㐲㉦挴摦つ㈰㑡晣㙦ㄶ昵㄰扦て愸㄰扦〶戶敡て㕦ㅢ㔹㐱挸㈱摣㐳ㅢㄴ㠴㜸慥㈰ㄴ攲㐷昹ㄲ㍦挲㤷㜸慥㈳㐴ㅦ昸昶ㅥ㌴〵攲敢愳捥㔷㠸敢〶愵㄰戰〵㉥ㄴ攴㉢㉢ㅤ㠵扡㈱摥㐱换㝥挴〷㉤捥㕦㑦㜰ㅥ挶㔰㥤戵㈸愹っ攰㥡昸㠱ㅥ攲㌷挰㠲挴㜳ㄱ愲㄰晦㈸〰晣改て㔷㉥㍡ㄴ搴㐳㍣搷ㄲち昱㡦挱㔰㜱㉤㘱愲㡤慣晣攳㄰㥥愰つち㐲晣㐱戰ㄵ攲晢昸ㄲ㥦敢㑢㍣搷晦〹昱搵㘸ち挴ㅦ㠲㍡㕦㈱慥昷㤳挲愱戶㜰㤸㈹㘴㌵㐳愱㙥㠸攷㡡㐰㍦攲て户㌸㝦㤹挱㜹づ㐳㜵昸㈳㄰㡡㙢搱㠴㥥ㄷ〰搱㤱敦㄰ㄷ愴㜱㌹㠱昳㈲つ㕦愲搸㐲昱㌲挵㔶㡡㔷㈸㕥㠵〸㠶散㜱㕥挹搲㌱㝡㐵ㄱ戶搵ち㙤〹㍦慦挳㍡戳㕥㕡づ敡㈷㈷晦晥㝥搷㝡愲戶㔸搵㠶㙦㈴づㄷ攲㉢㐱愷攱ㅢ扣㘷昷㉤㡢㔴昰㈱戰㤴㝡昸㑡搰㌴㔹愲㔴㍦昵愴扦搶ㄶ搷っㅥ㡥愶昸㑥敢㠰捣晥㝦戴㐳〲㘳ぢ晤搸攲ㄱ㜸㍢㙦㈰㘰挵㔵㔰慤㔸㝢㠵攲㔵㡡搷㈰㔴ㅢ㙥㘲昸㡤㡢㠴摦㕢㙦㙤ㄴ〹扦户捥搵㔲㤲慡昷搰㙥㌴㔵㕣㌲㈵愹摡〶搴搹㑥昱㍥挵づ㡡て㈸㜶㔲㝣〸ㄱっ搹晤㐴挹攲㈹㡥㈵㡡愰ㄲ㍡づ㙤㐹慡㍥㠶㜵㘶㍤㜵㈲敡㑣㤷㙡㠱㌱㤱㈳〹敢㔳㈸ㄵㄷ〸昹㠵㜵㘸戲戰㥡ㅡ㐵挲㉦愳攷戲〳づ攵㉢戴ㅢつ㡢慢㠹㈴慣慦㠱㍡摦㔰散愲昸㤶攲㍢㡡敦㈹㜶㐳〴㔵㥥㙤挲ㄳ㑤㍦愰ㄲ捤㡦㌰㐲㌴〳㔱㤷㘸㌲摤搱散㠱㔲㜱搵㡤㕦㌴改挹愲㘹㘰ㄴ〹㍦㘵㍥挲づ㘵㉦摡㡤㐶挳㈵㍡ㄲ捤㙦㐰㥤㝤ㄴ扦㔳晣㐱昱㈷〵㍦㑤㌲㔳搵㘸敢㙥㈳㤱摤㜱㉣㔰㠹㈴㤵㔶昵搴㤹愸㑢㈴扦晦攲捡㑢㝤㈸ㄵ㤷戱昸㐵昲ぢ㉣㝤㌷户㥦㡤㈲攱㜷挶戹摣㐵昲挲㙦㥦㡤㐶㔲〸㔴㈲㘹〸搴挹愰挸愴㘸㐴㤱㐵ㄱ愲㘸っㄱ㔴㐵戶〹捦〱㘱ち㔰㠹收〰ㄸ㈱㥡ㄲ搴㈵㥡㕤敥㘸づ㠲㔲㜱㙤㠸㕦㌴㕦㈴㡢收㜳愳㐸昸㘱㜰慥㈱㤱㘸㥡愱摤㘸㌴㔵㐰㈵㥡收㐰㥤挳㈹㕡㔰ㅣ㐱㤱㑤搱㤲攲㐸㠸愰㥡㘹㥢戰戹㘱㝢愱搹㐰㈵㥡㔶㌰㐲㌴昳㔰㤷㘸摥㜷㐷㜳㌴㤴㡡ぢ㉥晣愲㜹㈷㔹㌴㙦ㅢ㐵挲㉦㜹㜳㘱㠶㐴搳づ敤㐶愳戹ㄴ愸㐴㜳㉣㔰愷㍤㐵〷㡡㡥ㄴ㥤㈸㍡㔳㜴㠱〸慡换㙤ㄳ㥥㘸ㄶ〰㤵㘸㡥㠳ㄱ愲攱慡ち㠹㘶㡢㍢㥡㙥㔰㉡慥㘲昰㡢收戹㘴搱㍣㙢ㄴ〹㍦扤捤搵づㄲ㑤㜷戴ㅢ㡤收㝡愰ㄲ㑤て愰㑥㑦㡡㕥ㄴ戹ㄴ扤㈹晡㔰攴㐱〴搵つ戶〹㑦㌴㉢㠱㑡㌴晤㘰㠴㘸戸㔴㐱愲搹攸㡥愶㍦㤴敡㑥愸晣愲㜹㌸㔹㌴敢㡤㈲攱户戲戹㠴㐰愲ㄹ㠲㜶愳搱慣〶㉡搱っ〵敡っ愳ㄸ㑥㌱㠲㘲㈴挵㈸㡡搱㄰㐱戵搶㌶攱㠹收㕥愰ㄲ捤㔸ㄸ㈱ㅡ捥晦㑢㌴慢摤搱㥣〱愵晡㈷㔴㝥搱摣㤱㉣㥡摢㡤㈲攱挷慤㌹㉦㉦搱㑣㐴扢搱㘸㌶〲㤵㘸㈶〱㜵昲㈹㈶㔳ㄴ㔰ㄴ㔲㠴㈹㡡㈰㠲敡㜱摢㠴攷㈸戰〹愸㐴㌳〵㐶㠸收㘹搴㈵㥡敢摤搱㥣〳愵㝡ㅥ㉡扦㘸㤶㈴㡢收ㅡ愳㐸昸㌵㙡㑥㜶㑢㌴搳搰㙥㌴㥡㉤㐰㈵㥡改㐰㥤ち㡡㑡ち㝥㐱户㔳㐵㌱㠳㘲㈶㐴㔰㙤戵㑤㜸㜲挳㐹㙥㠹㘶㌶㡣㄰捤ㅢ愸㑢㌴㤷扡愳㌹ㄷ㑡昵㉥㔴㝥搱㕣㤰㉣㥡昹㐶㤱昰昳搱㥣㐱㤶㘸㉥㐰扢搱㘸摥〷㉡搱㕣〸搴戹㠸攲㘲㡡㑢㈸㉥愵戸っ〲㥦㌵ㅦ㔸㜷ㅢ〹捦慣㐲㥣㌵㤶㐸慥愰㔵㍤挵愹㕦㠹㘴㠶㍢㤲㉢愱㔴㕦㐲攵ㄷ挹昴㘴㤱㑣㌳㡡㠴摦㝡收㤴慣㐴㜲つ摡㡤㐶戲ぢ愸㐴戲〴愸戳㤴攲㕡㡡敢㈸㤶㔱㕣㑦戱ㅣ㈲愸㘴㘲㤶愷ㄱ㥥慤㡣㔳戱ㄲ捤ちㄸ㈱ㅡ捥愷㑡㌴㘱㜷㌴㌷㐲愹㝥㠵捡㉦㥡㐹挹愲㤹㘸ㄴ〹㍦捥捣㜹㑥㠹收㜶戴ㅢ㡤收㜷愰ㄲ捤ㅤ㐰㥤㍢㈹敥愲㔸㐵㜱㌷挵㙡㡡㌵㄰㐱㈵戳㥤㡣挶收㠶敤㠵ㄴ捥ㄴ㈴㥡㝢㘰㠴㘸搲㔰㤷㘸㐶戹愳㔹〷愵攲愴愰㕦㌴㐳㤳㐵㌳挴㈸ㄲ㝥㑤㌹ㄳ㉤㐹㌴敢搱㙥㌴ㅡ捥㈰㑡㌴て〳㜵晥㐹昱〸挵〶㡡㐷㈹㌶㔲㍣〶ㄱ㔴㈱摢㠴㈷㌷㑤㠰㑡㌴㑦挰〸搱㜰收㑦愲改攳㡥收㐹㈸ㄵ㘷摡晣愲改㤱㉣㥡敥㐶㤱昰昳挷㥣㤱㤳㘸㥥㐵扢搱㘸㌸㉤㈷搱㍣〷搴㜹㥥攲〵㡡ㄷ㈹㕥愲搸㐲昱㌲㐴㔰戵戴㑤㜸㜲㜳ㄴ㔰㠹收ㄵㄸ㈱㥡㘳㔰㤷㘸㍡扢愳㜹つ㑡挵改㉢扦㘸㡥㑤ㄶ㑤㍢愳㐸昸扤㘲㑥㜳㐹㌴㙦愳摤㘸㌴ㅤ㠱㑡㌴敦〰㜵摥愵㜸㡦㘲ㅢ挵㜶㡡昷㈹㜶㐰〴㔵㘷摢㠴㈷㥡慥㐰㈵㥡㥤㌰㐲㌴㈷愰㉥搱戴㜴㐷昳ㄱ㤴㡡㜳㐲㝥搱㌴㑦ㄶ㑤㌳愳㐸昸㠱㘱捥ㅤ㐹㌴㥦愳摤㘸㌴戹㐰㈵㥡㉦㠰㍡㕦㔲㝣㐵昱㌵挵㌷ㄴ扢㈸扥㠵〸慡㍥戶〹㑦㌴㝤㠱㑡㌴摦挳〸搱っ㐰㕤愲〹戹愳昹〱㑡挵㠹ㄶ扦㘸ㅡ㈶㡢㈶㘸ㄴ〹扦〸捣〹ㄹ㠹收㘷戴ㅢ㡤㘶〴㔰㠹收ㄷ愰捥慦ㄴ㝢㈹㝥愳搸㐷昱㍢挵ㅦ㄰㐱㌵捡㌶攱㠹㠶ㄳ㌱ㄲつㅢ㐲㌴攳㔰㤷㘸晥晣搹㜵㌵㤰ち愵攲散㠵㕦㌴㝢㘱改㝢㌵昰慢㔱㈴晣㠴㉦㘷㌹㈴㥡㜴戴ㅢ㡤愶〰愸㐴攳㐰㍡㐱㡡㠶ㄴㄹㄴ㤹ㄴ㡤㈰昰㔹ㄳ戶敥㌶ㄲ昹慣㌹ㅢ愸㐴ㄲ愲㔵㍤挵改〹㠹攴㝢㜷㈴㑤愰㔴搳愰昲㡢攴敢㘴㤱㝣㘵ㄴ〹扦户换㘹〳㠹愴㈹摡㡤㐶ㄲ〱㡡㝡㡡㜳㈸愴㜳ㄸ㐵㌳㡡收ㄴ㠷㔳戴愰㌸〲㈲愸㘴昲㈰攱攸㍣ぢ㑤㐸㌴㉤㘱㠴㘸㜸捦㕦愲搹改㡥收㈸㈸搵〵㔰昹㐵戳㉤㔹㌴敦ㄹ㐵挲て攴昲㕥扣㐴搳ㅡ敤㐶愳戹〴㈸敡㔸㜴て改戴愵㘸㐷㜱㉣㐵㝢㡡づㄴㅤ㈱㠲敡㌲摢㠴攷攸㝣〵㔰㠹愶㌳㡣㄰つ㙦愴㑢㌴慦戸愳改ち愵㕡〲㤵㕦㌴㉦㈶㡢收〵愳㐸昸㐵㕢摥攰㤶㘸㑥㐲扢搱㘸㜸㤷ㅢ㜵㍣㌴〳改㥣㐲搱㥤愲〷㐵㑦㡡㕥ㄴ戹㄰㐱戵摣㌶㘱户㌴戶ㄷ㕡〱㔴愲改〳㈳㐴挳扢搳ㄲ捤ㄳ敥㘸晡㐲愹敥㠰捡㉦㥡つ挹愲㜹挴㈸ㄲ㝥㠲㤶㜷㡤㈵㥡㐱㘸㌷ㅡ捤摤㐰㔱挷㤷攰㐱㍡愷㔱っ愱ㄸ㑡㌱㡣㘲㌸挵〸㠸愰㕡㘳㥢昰㐴挳扢挵ㄲ捤㈸ㄸ㈱ㅡ摥昲㤵㘸敥㜱㐷㌳〶㑡昵㌰㔴㝥搱慣㑡ㄶ捤㕤㐶㤱昰㥢戱扣ㄵ㉢搱㡣㐷扢搱㘸ㅥ〵㡡㝡㡡㜳ㄶ愴㌳㠱㘲㈲挵㈴㡡㝣㡡挹㄰㌸〲㍣㘶摤㙤㈴㙣㈲挴摢慦ㄲ㐹㈱慤敡㈹摥㐳㤵㐸㔶扡㈳㈹㠲㔲㍤〷㤵㕦㈴换㤲㐵㜲㥤㔱挴晦挰㙢攸〵摢㘹〹挷㔷㑡㔱〶ㄱ㔴扣摢㈹扤㕦㘳㝡攷ㄸ㠳敡㈵ぢ㕦㙤攰挶〲昳㡥愸㔸㕦㘵攰㠳〵收㍤㔲㠱ㄷㅢ昸㄰㠱㜹搷㔴攰㐵〶捥ㄱ㤸昷㔱〵㕥㘸攰搶〲昳捥慡挰㔷ㅡ昸っ挲㘹慦〳㙥㤳晣㝥愷晥㜹㉣㍣戴ㅡ慥㤴摦㠵换㠲㔳㕡ㄱㅦ戳㙤㔸挴㘷㔹挳昲ㅢ㕤昲㤳愳㈵昲㡣㙡〶㝥㈹慢㘲㙡戸㘲㌰㝥〹づ扦㡦㌵戲戸搴㍣攵㠹㕦㠸攳㉦ㄶ搹摦㘲㜲愴挶㕢愶㠱愲愱ㄵ昸㜱愶〶㐵〳㉡昱㝢㜳㠵改愵挳昲㈳㤱㜰㐵搹摦攱㜱㜱㍣㌵㕣㥦㥦㉢搸㍣昹㤳愴愹扥て散昲㐹摣昸摦㙥㜲晤愸㕥㡣て晢挳㡡愹晣㠱慤扦昶戰㜸㘰〶㌶慢㉣晣戰㔹戸〰扦㜵㤸㉤㑦〸㔷愶慡㉢㤰㔳㔹㝡昸㑤攷㐳晦㤴昱愶愴攲攷㘸㘰ㅢ㤸つ㔱慦㕦㐵〱扦晤㤴扢㕢搰㤹〳㐴扥ㄹ㐱㐴㑡摡ㅢ搸〴攲〳攳攳搳晤攸㤱㌶戳戸㌰㌲㈵㌰㈵㕣㝣昶ㄴ㉣㑣㙢搸㤰搱㡥扣攱戱㕥扦㜷㌹㉢㌷昴ㅥ㕣㘵㘷㥢换㌶攷㔱㥣〷ㄱ㔴扣㜵㉣㕢摢〵㘶㙢搳摢晤㜶ぢ捦㌷戰摥敥㜹㝢㔹慣捦㌷戰摥敥㜹挳㔹攰昳っ慣户㝢摥㠲ㄶ㜸㥥㠱㜳㌰愴愰攲㑤㘹㠱攷ㅡ㔸㙦昷扣㑤㉤昰戹〶㤶敤㕥㝤っ㤸摢㝥攰㔲㡣㌷㤱搰搹㌰㑥㈴昴㜲搸〶慥㠰昰ㄲ扡〰㠸㡢㔰昵㈹摡㈵愹㔱㥡扥㐲㐵㘸㕡㐸换㐵ㄴ㡢㈱㠲㡡户愲㘵㜰搳捤攰㌴㑤扣㌹㉤昰㌴〳㙢㥡㜸扢㕡攰㜲〳㙢㥡㜸〳㕢攰㌲〳㙢㥡㜸㑢㕢攰㔲〳攷〸㑤扣挹㉤㜰㠹㠱㌵㑤扢㉤㍣搵挰㥡愶ㅦ〱㤳㈶㠷㌴愵慡㘲㈸ㄳ㘹㔹捥㠰㐸㑢㙣ㅢ㕢㐱愸ㅡㅤ敡㙤㑣敤㐱ㅢㅥ㑡昶〲㄰㑡㙥愴攵㑤ㄴ㌷㐳〴ㄵ敦㘷换昸昲捤㐰㌴㈵扣挳㉤昰㈴〳㙢㑡㜸捦㕢攰㠹〶搶㤴昰㉥戸挰ㄳっ慣㈹攱㝤㜱㠱捦㌲㜰㡥㔰㤲㠲㔳㘳㠱挷ㅢ㔸挷㥥ち㔸㌶㤱扢㌰戰挴㑤㘴ㅣ㡣ㄳ戹戸㥢㤱㜰㑥㈶挶挵ㅡ㐲㉥㉥敡愳㕤てㄷ扣ㅤ㉥㕣摣㐳换㝢㈹搶㐱〴㔵㐳㍢戰ㄱ㘶㘰㥡ぢ摥㈳㤷昱づ㌷戰收㈲搳挲挳っ慣戹攰㝤㜴戱ㅥ㙡㘰捤㐵㤶㠵㠷ㄸ㌸㐷戸攰扤㜶戱㍥捤挰㝡昳㘸㙣攱挱〶搶ㄴㅤ〰㔸㌶てㅥ㤶㔲搵㐰㈸ㄳ㈹搹挰㠰㜸ㄸ㡡㔱戲㤱㤰㡢㤲㠳搰㡥㠷ㄲ摥㔳ㄷ㑡ㅥ愷攵ㄳㄴ㥢㈰㠲慡戹ㅤ㐸㙦㌳㄰㑤〹㙦戴换戰㜳つ慣㈹㘹㘱攱㕥〶搶㤴昰㘶扣㔸昷㌴戰愶㈴摢挲㍤っ㥣㈳㤴昰㠶扤㔸㜷㌷戰愶攴㐸ぢ㥦㘲㘰㑤㐹㉢挰慥㍤收㈴㈸ㄳ㈹㜹㠱〱㜹昷㤸㤷〸戹㈸㌹ㅡ敤㜸㈸攱㡤㜹愱攴㘵㕡㙥愵㜸〵㈲愸㡥戵〳改㙣〶愲㈹攱摤㝡ㄹ㜶㈷〳㙢㑡㍡㔸戸愳㠱㌵㈵扣愳㉦搶ㅤっ慣㈹改㘴攱昶〶捥ㄱ㑡㜸搷㕦慣㡦㌵戰愶愴㡢㠵摢ㄹ㔸㔳㜲ㅣ㘰ㄷ㈵㙤愰㑣愴攴㕤〶攴愵㘴ㅢ㈱ㄷ㈵摤搰㡥㠷ㄲ摥摤ㄷ㑡摥愷攵づ㡡て㈰㠲慡㠷ㅤ挸㤱㘶㈰㥡ㄲ摥昲㤷㘱户㌴戰愶愴㤷㠵戳つ慣㈹攱戴㠰㔸ㅦ㘱㘰㑤㐹㙦ぢ户㌰㜰㡥㔰搲挷挲㠷ㅢ㔸㔳㤲㘷攱收〶搶㤴昴〳散愲攴㌰㈸ㄳ㈹昹㠲〱㜹㈹昹㡡㤰㡢㤲晥㘸挷㐳〹愷〸㠴㤲㙦㘸戹㡢攲㕢㠸愰ㅡ㙡〷搲挴っ㐴㔳挲㜹〳〹戲戱㠱㌵㈵挳㉤ㅣ㌲戰愶㠴㜳ぢ㘲㥤㘵㘰㑤挹㐸ぢ㌷㌲㜰㡥㔰挲昹〷戱捥㌴戰愶㘴戴㠵㌳っ慣㈹ㄹぢ搸㐵㐹㄰捡㐴㑡㝥㘶㐰㕥㑡㝥㈵攴愲攴っ戴攳愱㠴昳っ㐲挹㙦戴摣㐷昱㍢㐴㔰㑤戲〳㐹㌵〳搱㤴㜰昲㐱㠶慤っ慣㈹㤹㙣攱ㄴ〳㙢㑡ち㉣晣攷㑦晡㕥㠹愶愴搰挲㝦ㄸ㌸㐷㈸攱㈴㠶戴晤扢㠱㌵㈵㐵ㄶ摥㘷㘰㑤挹ㄴ挰㐲㠹㍥扣敥㠵㌲㤱㤲〶づ〲昲ㅥ㕥ㅤ㐲㉥㑡㌸攷攱愱㠴㤳ㄵ㐲㐹㐳㕡㘶㔰㘴㐲〴搵㜴㍢㤰ㅦ捤㐰㌴㈵㥣挱㤰㘱晦㘰㘰㑤㐹愵㠵㜷ㅢ㔸㔳挲㔹づ戱晥摥挰㥡㤲㉡ぢ㝦㘷㘰㑤〹㘷㐲挴晡㕢〳户ㄶ愶㘶㕡㜸㤷㠱㌵㈵戳〱扢戶㤲慦愱㑣愴攴㄰〶攴摤㑡づ㈵攴愲㠴ㄳ㈷ㅥ㑡㌸攳㈱㤴㌴愳㘵㜳㡡挳㈱㠲敡㐲㍢㤰㑦捣㐰㌴㈵ㄷ㔹昸㘳〳㙢㑡㉥戶昰㐷〶搶㤴㜰慡㐴㠲晣搰挰㥡㤲㑢㉤扣搳挰㥡ㄲ㑥愷㠸昵〷〶搶戱㜳晥㐴㘲攷〹㐹慡㝡ㅦ捡挴搸㡦收挸扤㈷㈰㌹㠴㕣戱㕦㠹㜶㍣戱㕦〳㐰㘲㙦㐳换戶ㄴ敤㈰㠲㡡搳㈴㌲㤰㌷捤㐰㜴散㑢㉤晣㠶㠱㜵散㥣㑡ㄱ敢㝦ㄹ㔸挷㝥㥤㠵㕦㌷戰㡥㥤搳㉤㘲晤㥡㠱㜵散搷㕢昸㔵〳户㤶捤㠱㔳㌲㘲晤㡡㠱㌵㈵㥣㠴㜱敤㈱㉦㐳㤹㐸挹昱っ挸扢㠷㥣㐰挸㐵挹㡤㘸挷㐳挹敤〰㠴㤲㤳㘸㜹㌲挵㈹㄰㐱㜵㠷ㅤ挸㘶㌳㄰㑤挹㥤ㄶ㝥挶挰㥡ㄲ捥挷挸戰㥦㌶戰愶㘴㤵㠵慢つ慣㈹攱㥣㡤㔸㍦㘵㘰㑤挹㙡ぢ㍦㘹攰搶㐲〹攷㜵挴㝡㤳㠱㌵㈵昷〰㜶敤㈱㡦㐳㤹㐸㐹㍦〶攴摤㐳晡ㄳ㜲㔱戲づ敤㜸㈸㔹て㐰㈸ㄹ㐸换㐱ㄴ㠳㈱㠲㡡ㄳ㌶㌲㤰昵㘶㈰㥡㤲㝦㕡昸㈱〳㙢㑡㌸愹㈳搶てㅡ㔸㔳戲挱挲てㄸ㔸㔳挲㠹ㅦ戱扥摦挰㥡㤲㡤ㄶ扥捦挰慤㠵ㄲ㑥づ㠹昵㍡〳㙢㑡㥥〰散摡㑡敥㠱㌲㤱㤲㌱っ挸扢㤵㥣㑥挸㐵挹㤳㘸挷㐳挹戳〰㠴㤲㜱戴㍣㤳㘲㍣㐴㔰㜱搶㐷〶㜲㠷ㄹ㠸愶攴㜹ぢ摦㙥㘰㑤〹㘷㠶挴晡㌶〳㙢㑡㕥戴昰慤〶搶㤴㜰昶㐸慣㙦㌱戰愶㠴昳㐹〲摦㙣攰搶㐲挹换ㄶ扥挹挰㥡㤲㔷〰扢戶㤲㤵㔰㈶㔲㔲挴㠰扣㕢挹ㄴ㐲㉥㑡㕥㐳㍢ㅥ㑡摥〶㈰㤴㥣㐳换愹ㄴ㈵㄰㐱挵愹㈳ㄹ摦㔲㌳㄰㑤挹扢ㄶ㕥㘲㘰㑤〹愷㤷挴晡ㅡ〳㙢㑡戶㔹昸㙡〳㙢㑡㌸〵㈵搶㔷ㄹ㔸㔳挲㐹㈹㠱ㄷㅢ戸戵㔰戲挳挲㡢っ慣㈹搹〹搸㐵挹㤵㔰㈶㔲㌲㠳〱㜹㈹㤹㐵挸㐵挹㐷㘸挷㐳挹攷〰㠴㤲㌹戴㍣㤷㘲㉥㐴㔰㜱晥㐹挶㜷㤱ㄹ㠸愶攴㑢ぢ㕦㘸㘰㑤〹攷愸挴晡〲〳㙢㑡㌸㙢㈵昰㝣〳㙢㑡扥戱昰昹〶搶㤴㜰㘶㑢慣捦㌳㜰㙢愱攴㕢ぢ捦㌳戰愶攴㝢挰㉥㑡捥㠵㌲㤱㤲㑢ㄹ㤰㤷㤲换〹戹㈸昹〱敤㜸㈸昹ㄹ㠰㔰戲㠰㤶㔷㔲㉣㠴〸㉡㑥㘲挹昸㉡捤㐰㌴㈵扦㕡戸挲挰㥡ㄲ㑥㜴㠹昵㜴〳㙢㑡㌸昵㈵昰㌴〳㙢㑡昶㔹戸摣挰㥡ㄲ㑥㡦㠹㜵㤹㠱㕢ぢ㈵㝦㔸戸搴挰㥡ㄲ摥㥢㜶㔱㌲ㄵ捡㐴㑡㤶㌱㈰㉦㈵换〹戹㈸攱㙣㥡㠷ㄲ㑥㠳〹㈵㉢㘸戹㤲攲㐶㠸愰㜲愰㤰昱ㄵ㤸㠱㘸㑡㌸㌷㈶昰㘴〳㙢㑡ㅡ㕡㌸摦挰㥡㤲っぢ㑦㌲戰愶㈴搳挲ㄳつ㥣㈳戱㌷戲昰〴〳敢搸㌹愹㈶戱敢ㄳ㤰昱㔰㈶挶㝥ㄷ㐷敥㍤〱戹㥢㤰㉢㜶捥扦㜹㘲攷挴㤹挴扥㠶㤶㙢㈹敥㠱〸慡㐳敤㐰㐶㤹㠱攸搸㌹㥢㈶戱㡦㌴戰㡥扤㤹㠵㐷ㄸ㔸挷摥摣挲挳つ慣㘳㍦摣挲挳っ㥣㈳戱户戰昰㔰〳户ㄶ㤸昳㜴搲攵㄰〳㙢㑡㌸㌳攷摡ㅣ〶㐳㤹㐸挹㍦ㄹ㤰㜷㜳搸㐰挸㐵〹㈷昱㍣㤴戴〶㈰㤴㙣愴攵㘳ㄴ㡦㐳〴ㄵ㈷攰㘴㈰㜹㘶㈰㥡㤲戶ㄶ敥㘳㘰㑤㐹㍢ぢ昷㌶戰愶攴㔸ぢ攷ㅡ㔸㔳搲摥挲扤っ㥣㈳戱㜳㙡㑦扡散㘹攰搶〲㜳戲㑦攰ㅥ〶搶㤴㜰㝡㑦㈸搱㔷㉤愷㐰㤹㐸挹㜳っ挸晢㘹晢〲㈱ㄷ㈵㥣〹昴㔰挲㈹㍣愱攴㈵㕡㙥愱㜸ㄹ㈲愸㑥戶〳改㙡〶愲㈹㌹挵挲㕤っ慣㈹改㙥攱捥〶搶㤴昴戰㜰㈷〳㙢㑡㌸ㅢ㈸㐱㜶㌴㜰㡥挴摥换挲ㅤっ摣㕡㘰捥ㄸ㡡㜵㝢〳㙢㑡㌸㐷攸摡㑡摡㐱㤹㐸挹摢っ挸扢㤵扣㑢挸㐵〹愷ㄳ㍤㤴っ〲㈰㤴㙣愳攵㜶㡡昷㈱㠲㙡戰ㅤ㐸㉢㌳㄰㑤挹㘹ㄶ㍥捡挰㥡㤲㈱ㄶ㍥搲挰㥡ㄲ㑥㈰㑡㌴㉤つ慣㈹攱㤴愲挰搹〶捥㤱搸㌹挹㈸昰ㄱ〶㙥㉤㌰愷ㅤ〵㙥㘱㘰㑤〹㈷ㅡ㕤㤴㌴㠷㌲㤱㤲㝦㌳㈰㉦㈵㕦㄰㜲㔱㌲〶敤㜸㈸ㄹて㐰㈸昹㡡㤶㕦㔳㝣〳ㄱ㔴㘷搹㠱ㅣ㘸〶愲㈹㤹㘰攱〳っ慣㈹攱㥣愳っ扢㠹㠱㌵㈵㥣㠵ㄴ戸戱㠱㌵㈵㥣㤷ㄴ㌸㘴攰ㅣ㠹㥤㌳㤵〲㘷ㄹ㔸挷捥愹㐹㠹㕤ㅦ㐷㌳愱㑣㡣㝤て㐷敥㍤㡥晥㐴挸ㄵ㍢㘷㌱摤戱慢ㄲ摢㕦扡改敦ㄴっ㈳㍤㌵愰㑡慤愲㠱㔱㜴ㄷ㠵㔲㘵㔶ㄱ㌰㡡㥥㔰㌸扦愱愳㌴㑥ㅦ搵㝡㕥㡢昳戸㝦昱晢㠱昷愱㌳挵㐹㈹㤹ぢ晥㥤㌵㌴㈶敦戹㜶㜴愹㜱昱捣戳ちㄵㄷ捦㜹㔶㤱攲㡥㐷攱搱ㄸ挵搹ㅢ挶攴愴戲挶㐹ㅢ改戰ㅥ㙢戶挳㠵搶㝤摦㝦昵摤ㅣ㑢攰㈲慢昸捤㈸㉣㠱㡢慤㘲慦㔱〸㠱つ搸㈸攷㐵愴挳㜴搶㌸㈵㈲ㅤ㍡敥づ㙦戴敥㍦挵㜵㜸㤳㔵晣㌷慥挳㥢慤㘲㡦扢挳㑣㌶捡挹〷改戰ㄱ㙢㙢㔰㤳づ戳摣ㅤ摥㘳摤㜷挷㜵㜸慦㔵㝣ㅦ搷攱㍡慢昸捥摤攱〱㙣㤴户昶愵挳〳㔹摢㠸㥡㜴㜸㤰扢挳挷慤晢搷㜱ㅤ㍥㘱ㄵ㕦挵㜵戸挹㉡扥㜴㜷㜸㈸ㅢ攵㡤㜳改昰㌰搶㕥㐲㑤㍡㙣收敥昰㘵敢晥㔹㕣㠷㕢慤攲搳戸づ㕦戱㡡㑦摣ㅤㅥ挱㐶㜹㕢㕡㍡捣㘶㙤ㅢ㙡搲㘱㑢㜷㠷敦㕢昷㥤㜱ㅤ敥戰㡡て攲㍡晣挰㉡㜶戸㍢晣〷ㅢ攵㑤㕦改昰㘸搶扥㐲㑤㍡㍣挶摤攱㌷搶晤扤戸づ㜷㔹挵扢㜱ㅤ㝥㙢ㄵ敦戸㍢㙣换㐶㜹㑢㔵㍡㙣挷摡慦愸㐹㠷挷扡㍢晣捤扡扦ㄱ搷攱㍥慢昸㔷㕣㠷扦㕢挵敢敥づ㍢戱㔱摥戰㤴づ㍢戳挶㝢㤵搲㘱ㄷ㜷㠷つ㠱捡㠱㜳㙢㕣㠷ㄹ㔶昱㜲㕣㠷扣㝦㈹ㅥ㕢摣ㅤ㜶㘳愳扣ㅤ㈸ㅤ㥥挰ㅡ敦〴㑡㠷㈷扡㍢㙣㘶摤㥦㡦敢戰戹㔵㍣ㄷ搷㈱敦づ㑡㠷捦扡㍢散捥㐶㜹て㑥㍡散挱ㅡ㙦扦㐹㠷㍤摤ㅤ戶戱敥搵㜱ㅤ戶戵㡡愷攲㍡㙣㘷ㄵ㑦扡㍢散挳㐶㡦㠷㑡㍡捣㘳㡤㌷户愴挳扥敥づ㑦戲敥㡦挵㜵㜸戲㔵㙣㡣敢昰ㄴ慢㜸搴摤攱〰㌶捡晢㐷搲攱㐰搶㜸敢㐸㍡ㅣ攴敥㜰愰㜵㝦㌸慥挳㐱㔶戱㍥慥挳挱㔶昱㤰扢挳愱㙣㜴っ㔴搲攱㌰搶㜸㘳㐶㍡ㅣ敥敥㜰㥣㜵扦㉦慥挳㌳慤㘲㕤㕣㠷攳慤攲㕥㜷㠷愳搹㈸敦㝤㐸㠷㘳㔸攳㙤て改㜰慣扢挳㜳慣晢敡戸づ愷㕡挵摤㜱ㅤ㤶㔸挵㉡㜷㠷㘷戲搱ㄹ㔰㐹㠷攳㔹攳㑤〵改昰㉣㜷㠷㜳慣晢敤㜱ㅤ㥥㙢ㄵ户挵㜵㌸搷㉡㙥㜵㜷㤸捦㐶㜹摤㉥ㅤ㑥㘶㡤㤷散搲㘱㠱扢挳〵搶晤挶戸づ慦戴㡡㤵㜱ㅤ㉥戴㡡ㄵ敥づ捦㘶愳换愰㤲づ愷戰挶ぢ㘲改戰搸摤攱ち敢扥㉣慥挳㤵㔶㜱㕤㕣㠷㌷㕡挵戵敥づ㑢搹㈸㉦㐵愵挳㌲搶㜸ㄵ㉡ㅤ㤶扢㍢攴ㄵ愷散挶㔷挷㜵戸搶㉡慥㡡敢昰ㅥ慢㔸散敥戰㤲㡤昲㐲㑦㍡㡣戰挶㙢㍣改戰捡摤㈱慦攷愴挳〵㜱ㅤ㍥㘶ㄵ㔷挴㜵昸戸㔵㕣敥敥㜰㌶ㅢ攵㘵㤴㜴㌸㠷㌵㕥㐱㐹㠷攷扡㍢攴搵㤲㜴㜸㜱㕣㠷㕢慣攲愲戸づ㕦戶㡡ぢ摤ㅤ㥥捦㐶㜹㤱㈲ㅤ捥㘷㡤搷㈷搲攱〵敥づ㜹㉤㈲ㅤ㥥ㄷ搷攱㜶慢㤸ㄷ搷攱晢㔶㌱搷摤攱㈵㙣㤴㤷〰搲攱愵慣昱散㕦㍡扣捣摤㈱捦昴愵挳㔹㜱ㅤ㝥㙤ㄵ㌳攳㍡晣挶㉡㘶戸㍢扣㤲㡤昲扣㕢㍡㕣挸摡㑦愸㐹㠷㡢㕣ㅤ㘶晤〶㜴㉣捥ㄹ㔳㘷愹㠲㐹㠵㤳㈶晤㤲㔵㍦晢戰晡愷昷捡戸攱愳㉤㥦㉣㜹㙢㝣昷㉦昶摤㜸攳㕢㥦㉤搹扡敦㠹挹摤㕦戸晤昶㘷〷摥戲昵㤳㈶㐵户愶㍥昲换攰㕢攷㜶㥡㍡㜷㝡搱攸㌶愷捥㍤攳㥣攱㥤㠶㌵㙥㕢慦㕥㠳〶挷ㅣ昰㘲搳㥣搰晣改㡦慡愷户ㅤ㔲愶昶搹㙥敤ち㕡㜴㤶ㄲ攲戹戱㕣摡㕣㠵挱㘴搶换攲㘹㙤㥤づ㐳捥㤴搱㜳昴愱ㄱㄹ〶捦㤸㘵ㄸ搷攸㘱昰㘴户㑥㠷㈱攷捦〹挳攰㜹戴っ㘳愹ㅥ〶㑦㠱敢㜴ㄸ㜲㔶㥤㌰っ㥥㕤换㌰慥搳挳攰㠹㜱㥤づ㐳捥戵㌹っ捦戶挱㜳㙥ㄹ挶昵㝡ㄸ㍣㕤慥搳㘱挸ㄹ㜸〲ㅢ㍣ㄳ㤷㘱摣愰㠷挱㤳攸㍡ㅤ㠶㥣㤷㈷っ㠳攷攷㌲㡣㤵㝡ㄸ㍣戵慥搳㘱挸搹㝡挲㌰㜸搶㉥挳戸㐹て㠳㈷摣㜵㍡っ㌹㠷㑦ㄸ〶捦攵㘵ㄸ户攸㘱昰㌴扣㑥㠷㈱㘷昶ㅣ㠶㘷ㄳ攵ㄹ扥っ攳㌶㍤っ㥥㥣搷改㌰攴㝣㍦㠱つ㥥昷换㌰敥搰挳攰㈹㝢㥤づ㐳慥〲ㄲ㠶挱慢〱ㄹ挶㕤㝡ㄸ㍣㤱慦搳㘱挸戵㐱㐲㔲㜸㡤㈰挳戸㕢て㠳愷昷㜵㍡っ戹㘲㐸㘰㠳㔷づ㌲㡣㌵㝡ㄸ㍣改慦搳㘱挸㜵㐴〲ㅢ扣㥥㤰㘱摣愳㠷挱㑢㠱㍡ㅤ㠶㕣㕤㈴戰挱慢っㄹ挶㍡㍤っ㕥㈰搴改㌰攴㥡㈳㘱ㄸ扣昶㤰㘱摣慦㠷㤱㕦搷挳㤰㉢㤱㠴㘱昰㡡㐴㠶昱愰ㅥ挶搹㜵㍤っ戹㍥㐹ㄸ〶慦㔳㘴ㄸ敢昵㌰㑡敢㝡ㄸ㜲搵㤲㌰㡣㜲㍢㡣㝦敡㘱㔴搶昵㌰攴㕡㈶㘱ㄸ㔵㜶ㄸㅢ昴㌰㜸㌹㔲愷㥢愸㕣攱㜰ㄸ㥥捦ㄴ㕥改㐸㔲㌶敡㘱昰㈲愵㑥㠷㈱搷㍤〹㙣㕣㘰㠷昱戸ㅥ〶㉦㕤敡㜴ㄸ㜲㌵㤴㌰㡣换散㌰㌶改㘱昰㠲愶㑥㠷㈱搷㐸〹挳㔸㘴㠷昱㤴っ㐳㕤㠵晦攴晡慣㤷戹摡敡つ㤷㜴㠵ㅦ㍥戲㡡㥥㜱㡡愵㔶搱㈳㑥㜱㥤㔵㜴㡦㔳昰戴㔷晡㌸㈵㑥挱ㄳ㔱㔱㥣ㅣ愷攰愹愱㈸㑥㡡㔳昰㘴㑤ㄴ㈷挶㈹㜸晡㈴㡡ㄳ攲ㄴ㍣愱ㄱ㐵户㌸〵㑦㌱㐴㜱㝣㥣㠲ㅦ晡愲㌸㉥㑥挱㡦㘱㔱㜴㡤㔳昰㠳㔱ㄴ㕤攲ㄴ晣愸ㄲ㐵攷㌸〵㍦㍣㐴搱㈹㑥挱挳戹㈸㍡挶㈹㜸㠰ㄵ㐵㠷㌸〵て㜹愲㘸ㅦ愷攰㐱㐸ㄴ挷挶㈹㜸㔸㄰㐵扢㌸〵㜷㔴㔱戴㡤㔳㜰搷ㄱ㐵㥢㌸〵㌷㘶㔱戴㡥㔳㜰昳ㄲ㐵㡥㔷搱昰晦〱〲㈱㡦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</si>
</sst>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8">
    <numFmt numFmtId="43" formatCode="_-* #,##0.00_-;\-* #,##0.00_-;_-* &quot;-&quot;??_-;_-@_-"/>
    <numFmt numFmtId="164" formatCode="_(&quot;$b&quot;\ * #,##0_);_(&quot;$b&quot;\ * \(#,##0\);_(&quot;$b&quot;\ * &quot;-&quot;_);_(@_)"/>
    <numFmt numFmtId="165" formatCode="_(* #,##0_);_(* \(#,##0\);_(* &quot;-&quot;_);_(@_)"/>
    <numFmt numFmtId="166" formatCode="_(&quot;$b&quot;\ * #,##0.00_);_(&quot;$b&quot;\ * \(#,##0.00\);_(&quot;$b&quot;\ * &quot;-&quot;??_);_(@_)"/>
    <numFmt numFmtId="167" formatCode="_(* #,##0.00_);_(* \(#,##0.00\);_(* &quot;-&quot;??_);_(@_)"/>
    <numFmt numFmtId="168" formatCode="_ * #,##0.00_ ;_ * \-#,##0.00_ ;_ * &quot;-&quot;??_ ;_ @_ "/>
    <numFmt numFmtId="169" formatCode="0.0;\-0.0;&quot;--&quot;"/>
    <numFmt numFmtId="170" formatCode="0.0000"/>
    <numFmt numFmtId="171" formatCode="0.00;\-0.00;&quot;--&quot;"/>
    <numFmt numFmtId="172" formatCode="0.000;\-0.000;&quot;--&quot;"/>
    <numFmt numFmtId="173" formatCode="_ * #,##0_ ;_ * \-#,##0_ ;_ * &quot;-&quot;_ ;_ @_ "/>
    <numFmt numFmtId="174" formatCode="_ &quot;$b&quot;\ * #,##0.00_ ;_ &quot;$b&quot;\ * \-#,##0.00_ ;_ &quot;$b&quot;\ * &quot;-&quot;??_ ;_ @_ "/>
    <numFmt numFmtId="175" formatCode="yyyy"/>
    <numFmt numFmtId="176" formatCode="0.00000"/>
    <numFmt numFmtId="177" formatCode="0.00\ &quot;  [MM BOE]&quot;;\ \-0.00;\ &quot;-&quot;"/>
    <numFmt numFmtId="178" formatCode="0.00\ &quot;  [bcf]&quot;;\ \-0.00;\ &quot;-&quot;"/>
    <numFmt numFmtId="179" formatCode="0.00\ &quot;  [M bbl]&quot;;\ \-0.00;\ &quot;-&quot;"/>
    <numFmt numFmtId="180" formatCode="_-&quot;$&quot;* #,##0_-;\-&quot;$&quot;* #,##0_-;_-&quot;$&quot;* &quot;-&quot;_-;_-@_-"/>
    <numFmt numFmtId="181" formatCode="0.000_)"/>
    <numFmt numFmtId="182" formatCode="_-* #,##0\ _D_M_-;\-* #,##0\ _D_M_-;_-* &quot;-&quot;\ _D_M_-;_-@_-"/>
    <numFmt numFmtId="183" formatCode="&quot;$b&quot;\ #,##0;&quot;$b&quot;\ \-#,##0"/>
    <numFmt numFmtId="184" formatCode="_-* #,##0.00\ _D_M_-;\-* #,##0.00\ _D_M_-;_-* &quot;-&quot;??\ _D_M_-;_-@_-"/>
    <numFmt numFmtId="185" formatCode="#,##0.00;\(#,##0.00\)"/>
    <numFmt numFmtId="186" formatCode="#,##0;\(#,##0\)"/>
    <numFmt numFmtId="187" formatCode="_-* #,##0\ &quot;DM&quot;_-;\-* #,##0\ &quot;DM&quot;_-;_-* &quot;-&quot;\ &quot;DM&quot;_-;_-@_-"/>
    <numFmt numFmtId="188" formatCode="_-* #,##0.00\ &quot;DM&quot;_-;\-* #,##0.00\ &quot;DM&quot;_-;_-* &quot;-&quot;??\ &quot;DM&quot;_-;_-@_-"/>
    <numFmt numFmtId="189" formatCode="m\o\n\th\ d\,\ yyyy"/>
    <numFmt numFmtId="190" formatCode="mmm\-d\-yyyy"/>
    <numFmt numFmtId="191" formatCode="mmm\-yyyy"/>
    <numFmt numFmtId="192" formatCode="#,##0.0_);[Red]\(#,##0.0\)"/>
    <numFmt numFmtId="193" formatCode="#,##0\ \ ;[Red]\(#,##0\)\ ;&quot; 0  &quot;"/>
    <numFmt numFmtId="194" formatCode="_ [$€-2]\ * #,##0.00_ ;_ [$€-2]\ * \-#,##0.00_ ;_ [$€-2]\ * &quot;-&quot;??_ "/>
    <numFmt numFmtId="195" formatCode="_([$€]* #,##0.00_);_([$€]* \(#,##0.00\);_([$€]* &quot;-&quot;??_);_(@_)"/>
    <numFmt numFmtId="196" formatCode="_([$€-2]* #,##0.00_);_([$€-2]* \(#,##0.00\);_([$€-2]* &quot;-&quot;??_)"/>
    <numFmt numFmtId="197" formatCode="#,##0."/>
    <numFmt numFmtId="198" formatCode="#,#00"/>
    <numFmt numFmtId="199" formatCode="#.##000"/>
    <numFmt numFmtId="200" formatCode="#.00"/>
    <numFmt numFmtId="201" formatCode="0.0\%_);\(0.0\%\);0.0\%_);@_%_)"/>
    <numFmt numFmtId="202" formatCode="#."/>
    <numFmt numFmtId="203" formatCode="#,##0.0\ \ "/>
    <numFmt numFmtId="204" formatCode="#,##0.000000"/>
    <numFmt numFmtId="205" formatCode="mmmm\ \ yyyy"/>
    <numFmt numFmtId="206" formatCode="#,##0.00000"/>
    <numFmt numFmtId="207" formatCode="_-* #,##0.00\ _€_-;\-* #,##0.00\ _€_-;_-* &quot;-&quot;??\ _€_-;_-@_-"/>
    <numFmt numFmtId="208" formatCode="_(* #,##0.00000_);_(* \(#,##0.00000\);_(* &quot;-&quot;_);_(@_)"/>
    <numFmt numFmtId="209" formatCode="_(* #,##0_);_(* \(#,##0\);_(* &quot;-&quot;??_);_(@_)"/>
    <numFmt numFmtId="210" formatCode="_-* #,##0\ &quot;$&quot;_-;\-* #,##0\ &quot;$&quot;_-;_-* &quot;-&quot;\ &quot;$&quot;_-;_-@_-"/>
    <numFmt numFmtId="211" formatCode="\$#,#00"/>
    <numFmt numFmtId="212" formatCode="#,##0.0000"/>
    <numFmt numFmtId="213" formatCode="#,##0.000"/>
    <numFmt numFmtId="214" formatCode="_(&quot;R$&quot;* #,##0_);_(&quot;R$&quot;* \(#,##0\);_(&quot;R$&quot;* &quot;-&quot;_);_(@_)"/>
    <numFmt numFmtId="215" formatCode="_(&quot;R$&quot;* #,##0.00_);_(&quot;R$&quot;* \(#,##0.00\);_(&quot;R$&quot;* &quot;-&quot;??_);_(@_)"/>
    <numFmt numFmtId="216" formatCode="#,##0.0\x_);[Red]\(#,##0.0\x\);&quot;--  &quot;"/>
    <numFmt numFmtId="217" formatCode="%#,#00"/>
    <numFmt numFmtId="218" formatCode="#,##0.00\x"/>
    <numFmt numFmtId="219" formatCode="#,##0.00;\-0.00;&quot;--&quot;"/>
    <numFmt numFmtId="220" formatCode="#,##0.0"/>
    <numFmt numFmtId="221" formatCode="#,##0.0_ ;\-#,##0.0\ "/>
    <numFmt numFmtId="222" formatCode="dd\ mmm\ yy"/>
    <numFmt numFmtId="223" formatCode="0.0_ ;\-0.0\ "/>
    <numFmt numFmtId="224" formatCode="0.00_ ;\-0.00\ "/>
    <numFmt numFmtId="225" formatCode="dd\ mmm\ yyyy"/>
    <numFmt numFmtId="226" formatCode="_(* #,##0.000_);_(* \(#,##0.000\);_(* &quot;-&quot;??_);_(@_)"/>
    <numFmt numFmtId="227" formatCode="0_ ;\-0\ "/>
    <numFmt numFmtId="228" formatCode="General\ &quot; BTU/scf&quot;"/>
    <numFmt numFmtId="231" formatCode="0.00\ E+00"/>
    <numFmt numFmtId="232" formatCode="mmm\ yyyy"/>
  </numFmts>
  <fonts count="140">
    <font>
      <sz val="8"/>
      <color theme="1"/>
      <name val="Calibri"/>
      <family val="2"/>
      <scheme val="minor"/>
    </font>
    <font>
      <sz val="11"/>
      <color theme="1"/>
      <name val="Calibri"/>
      <family val="2"/>
      <scheme val="minor"/>
    </font>
    <font>
      <sz val="11"/>
      <color theme="1"/>
      <name val="Calibri"/>
      <family val="2"/>
      <scheme val="minor"/>
    </font>
    <font>
      <b/>
      <sz val="8"/>
      <color theme="1"/>
      <name val="Calibri"/>
      <family val="2"/>
      <scheme val="minor"/>
    </font>
    <font>
      <sz val="8"/>
      <name val="Arial"/>
      <family val="2"/>
    </font>
    <font>
      <b/>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color indexed="8"/>
      <name val="Arial"/>
      <family val="2"/>
    </font>
    <font>
      <sz val="8"/>
      <color theme="1"/>
      <name val="Calibri"/>
      <family val="2"/>
      <scheme val="minor"/>
    </font>
    <font>
      <b/>
      <sz val="8"/>
      <color theme="0"/>
      <name val="Calibri"/>
      <family val="2"/>
      <scheme val="minor"/>
    </font>
    <font>
      <u/>
      <sz val="10"/>
      <color indexed="12"/>
      <name val="Arial"/>
      <family val="2"/>
    </font>
    <font>
      <b/>
      <sz val="10"/>
      <name val="Arial"/>
      <family val="2"/>
    </font>
    <font>
      <sz val="6"/>
      <name val="Arial"/>
      <family val="2"/>
    </font>
    <font>
      <sz val="8"/>
      <color indexed="8"/>
      <name val="Arial"/>
      <family val="2"/>
    </font>
    <font>
      <b/>
      <sz val="8"/>
      <name val="Calibri"/>
      <family val="2"/>
      <scheme val="minor"/>
    </font>
    <font>
      <sz val="8"/>
      <name val="Calibri"/>
      <family val="2"/>
      <scheme val="minor"/>
    </font>
    <font>
      <b/>
      <sz val="12"/>
      <color theme="1"/>
      <name val="Calibri"/>
      <family val="2"/>
      <scheme val="minor"/>
    </font>
    <font>
      <sz val="12"/>
      <name val="Helv"/>
    </font>
    <font>
      <sz val="12"/>
      <name val="Times New Roman"/>
      <family val="1"/>
    </font>
    <font>
      <sz val="10"/>
      <color indexed="8"/>
      <name val="Arial"/>
      <family val="2"/>
    </font>
    <font>
      <sz val="10"/>
      <color indexed="9"/>
      <name val="Arial"/>
      <family val="2"/>
    </font>
    <font>
      <sz val="9"/>
      <name val="Arial"/>
      <family val="2"/>
    </font>
    <font>
      <sz val="11"/>
      <color indexed="16"/>
      <name val="Calibri"/>
      <family val="2"/>
    </font>
    <font>
      <sz val="11"/>
      <color indexed="37"/>
      <name val="Calibri"/>
      <family val="2"/>
    </font>
    <font>
      <sz val="10"/>
      <color indexed="17"/>
      <name val="Arial"/>
      <family val="2"/>
    </font>
    <font>
      <b/>
      <sz val="11"/>
      <color indexed="53"/>
      <name val="Calibri"/>
      <family val="2"/>
    </font>
    <font>
      <b/>
      <sz val="11"/>
      <color indexed="17"/>
      <name val="Calibri"/>
      <family val="2"/>
    </font>
    <font>
      <b/>
      <sz val="10"/>
      <color indexed="52"/>
      <name val="Arial"/>
      <family val="2"/>
    </font>
    <font>
      <sz val="9"/>
      <color indexed="10"/>
      <name val="Geneva"/>
    </font>
    <font>
      <b/>
      <sz val="10"/>
      <color indexed="9"/>
      <name val="Arial"/>
      <family val="2"/>
    </font>
    <font>
      <sz val="10"/>
      <color indexed="52"/>
      <name val="Arial"/>
      <family val="2"/>
    </font>
    <font>
      <sz val="11"/>
      <name val="Tms Rmn"/>
    </font>
    <font>
      <sz val="11"/>
      <color theme="1"/>
      <name val="Calibri"/>
      <family val="2"/>
      <scheme val="minor"/>
    </font>
    <font>
      <sz val="10"/>
      <name val="Times New Roman"/>
      <family val="1"/>
    </font>
    <font>
      <sz val="10"/>
      <name val="Garamond"/>
      <family val="1"/>
    </font>
    <font>
      <sz val="1"/>
      <color indexed="8"/>
      <name val="Courier"/>
      <family val="3"/>
    </font>
    <font>
      <sz val="12"/>
      <name val="Tms Rmn"/>
    </font>
    <font>
      <sz val="12"/>
      <color indexed="12"/>
      <name val="Times New Roman"/>
      <family val="1"/>
    </font>
    <font>
      <b/>
      <sz val="1"/>
      <color indexed="8"/>
      <name val="Courier"/>
      <family val="3"/>
    </font>
    <font>
      <b/>
      <sz val="11"/>
      <color indexed="56"/>
      <name val="Arial"/>
      <family val="2"/>
    </font>
    <font>
      <sz val="10"/>
      <color indexed="62"/>
      <name val="Arial"/>
      <family val="2"/>
    </font>
    <font>
      <sz val="10"/>
      <name val="MS Sans Serif"/>
      <family val="2"/>
    </font>
    <font>
      <sz val="10"/>
      <name val="Tahoma"/>
      <family val="2"/>
    </font>
    <font>
      <i/>
      <sz val="11"/>
      <color rgb="FF7F7F7F"/>
      <name val="Calibri"/>
      <family val="2"/>
      <scheme val="minor"/>
    </font>
    <font>
      <u/>
      <sz val="7.5"/>
      <color indexed="36"/>
      <name val="Arial"/>
      <family val="2"/>
    </font>
    <font>
      <sz val="8"/>
      <name val="Helv"/>
    </font>
    <font>
      <sz val="8"/>
      <name val="Palatino"/>
      <family val="1"/>
    </font>
    <font>
      <b/>
      <sz val="15"/>
      <color indexed="62"/>
      <name val="Calibri"/>
      <family val="2"/>
    </font>
    <font>
      <b/>
      <sz val="13"/>
      <color indexed="62"/>
      <name val="Calibri"/>
      <family val="2"/>
    </font>
    <font>
      <b/>
      <sz val="11"/>
      <color indexed="62"/>
      <name val="Calibri"/>
      <family val="2"/>
    </font>
    <font>
      <u/>
      <sz val="7.5"/>
      <color indexed="12"/>
      <name val="Arial"/>
      <family val="2"/>
    </font>
    <font>
      <u/>
      <sz val="8.4"/>
      <color indexed="12"/>
      <name val="Arial"/>
      <family val="2"/>
    </font>
    <font>
      <u/>
      <sz val="11"/>
      <color theme="10"/>
      <name val="Calibri"/>
      <family val="2"/>
      <scheme val="minor"/>
    </font>
    <font>
      <sz val="10"/>
      <color indexed="20"/>
      <name val="Arial"/>
      <family val="2"/>
    </font>
    <font>
      <sz val="10"/>
      <name val="Courier"/>
      <family val="3"/>
    </font>
    <font>
      <sz val="11"/>
      <color indexed="48"/>
      <name val="Calibri"/>
      <family val="2"/>
    </font>
    <font>
      <sz val="11"/>
      <color indexed="53"/>
      <name val="Calibri"/>
      <family val="2"/>
    </font>
    <font>
      <sz val="10"/>
      <color indexed="60"/>
      <name val="Arial"/>
      <family val="2"/>
    </font>
    <font>
      <b/>
      <i/>
      <sz val="16"/>
      <name val="Helv"/>
    </font>
    <font>
      <b/>
      <sz val="20"/>
      <name val="TimesNewRomanPS"/>
    </font>
    <font>
      <sz val="10"/>
      <name val="Arial MT"/>
    </font>
    <font>
      <sz val="12"/>
      <color theme="1"/>
      <name val="Calibri"/>
      <family val="2"/>
    </font>
    <font>
      <b/>
      <sz val="12"/>
      <color indexed="12"/>
      <name val="Poor Richard"/>
      <family val="1"/>
    </font>
    <font>
      <b/>
      <u/>
      <sz val="10"/>
      <name val="Arial"/>
      <family val="2"/>
    </font>
    <font>
      <sz val="8"/>
      <color indexed="10"/>
      <name val="Arial"/>
      <family val="2"/>
    </font>
    <font>
      <sz val="12"/>
      <name val="Arial"/>
      <family val="2"/>
    </font>
    <font>
      <b/>
      <sz val="10"/>
      <color indexed="63"/>
      <name val="Arial"/>
      <family val="2"/>
    </font>
    <font>
      <b/>
      <sz val="10"/>
      <color indexed="8"/>
      <name val="Arial"/>
      <family val="2"/>
    </font>
    <font>
      <b/>
      <sz val="10"/>
      <color indexed="39"/>
      <name val="Arial"/>
      <family val="2"/>
    </font>
    <font>
      <sz val="8"/>
      <color indexed="62"/>
      <name val="Arial"/>
      <family val="2"/>
    </font>
    <font>
      <b/>
      <sz val="12"/>
      <color indexed="8"/>
      <name val="Arial"/>
      <family val="2"/>
    </font>
    <font>
      <sz val="10"/>
      <color indexed="39"/>
      <name val="Arial"/>
      <family val="2"/>
    </font>
    <font>
      <sz val="12"/>
      <color indexed="48"/>
      <name val="Arial"/>
      <family val="2"/>
    </font>
    <font>
      <b/>
      <sz val="12"/>
      <color indexed="18"/>
      <name val="Arial"/>
      <family val="2"/>
    </font>
    <font>
      <sz val="19"/>
      <color indexed="48"/>
      <name val="Arial"/>
      <family val="2"/>
    </font>
    <font>
      <sz val="19"/>
      <name val="Arial"/>
      <family val="2"/>
    </font>
    <font>
      <sz val="10"/>
      <color indexed="10"/>
      <name val="Arial"/>
      <family val="2"/>
    </font>
    <font>
      <sz val="8"/>
      <color indexed="14"/>
      <name val="Arial"/>
      <family val="2"/>
    </font>
    <font>
      <b/>
      <sz val="18"/>
      <color indexed="62"/>
      <name val="Cambria"/>
      <family val="2"/>
    </font>
    <font>
      <b/>
      <i/>
      <sz val="10"/>
      <color indexed="8"/>
      <name val="Arial"/>
      <family val="2"/>
    </font>
    <font>
      <b/>
      <i/>
      <sz val="11"/>
      <color indexed="12"/>
      <name val="Arial"/>
      <family val="2"/>
    </font>
    <font>
      <b/>
      <i/>
      <sz val="14"/>
      <color indexed="8"/>
      <name val="Arial"/>
      <family val="2"/>
    </font>
    <font>
      <sz val="12"/>
      <color indexed="8"/>
      <name val="Times New Roman"/>
      <family val="1"/>
    </font>
    <font>
      <b/>
      <i/>
      <sz val="12"/>
      <color indexed="8"/>
      <name val="Arial"/>
      <family val="2"/>
    </font>
    <font>
      <b/>
      <u/>
      <sz val="10"/>
      <color indexed="8"/>
      <name val="Arial"/>
      <family val="2"/>
    </font>
    <font>
      <b/>
      <sz val="10"/>
      <color indexed="10"/>
      <name val="Arial"/>
      <family val="2"/>
    </font>
    <font>
      <b/>
      <u/>
      <sz val="10"/>
      <color indexed="18"/>
      <name val="Arial"/>
      <family val="2"/>
    </font>
    <font>
      <i/>
      <sz val="10"/>
      <color indexed="23"/>
      <name val="Arial"/>
      <family val="2"/>
    </font>
    <font>
      <b/>
      <sz val="15"/>
      <color indexed="56"/>
      <name val="Arial"/>
      <family val="2"/>
    </font>
    <font>
      <b/>
      <sz val="13"/>
      <color indexed="56"/>
      <name val="Arial"/>
      <family val="2"/>
    </font>
    <font>
      <b/>
      <sz val="10"/>
      <color indexed="12"/>
      <name val="Arial"/>
      <family val="2"/>
    </font>
    <font>
      <sz val="12"/>
      <name val="TIMES"/>
    </font>
    <font>
      <sz val="11"/>
      <color indexed="14"/>
      <name val="Calibri"/>
      <family val="2"/>
    </font>
    <font>
      <b/>
      <sz val="18"/>
      <color theme="1"/>
      <name val="Calibri"/>
      <family val="2"/>
      <scheme val="minor"/>
    </font>
    <font>
      <sz val="9"/>
      <color indexed="81"/>
      <name val="Tahoma"/>
      <family val="2"/>
    </font>
    <font>
      <b/>
      <sz val="9"/>
      <color indexed="81"/>
      <name val="Tahoma"/>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u/>
      <sz val="10"/>
      <color theme="10"/>
      <name val="Times New Roman"/>
      <family val="1"/>
    </font>
    <font>
      <sz val="10"/>
      <name val="Arial"/>
      <family val="2"/>
    </font>
    <font>
      <b/>
      <sz val="8"/>
      <color theme="1"/>
      <name val="Arial"/>
      <family val="2"/>
    </font>
    <font>
      <b/>
      <sz val="8"/>
      <color theme="0"/>
      <name val="Arial"/>
      <family val="2"/>
    </font>
    <font>
      <sz val="8"/>
      <color theme="0" tint="-0.34998626667073579"/>
      <name val="Calibri"/>
      <family val="2"/>
      <scheme val="minor"/>
    </font>
    <font>
      <sz val="8"/>
      <color theme="1"/>
      <name val="Arial"/>
      <family val="2"/>
    </font>
    <font>
      <b/>
      <sz val="9"/>
      <color theme="1"/>
      <name val="Calibri"/>
      <family val="2"/>
      <scheme val="minor"/>
    </font>
    <font>
      <sz val="9"/>
      <color theme="1"/>
      <name val="Calibri"/>
      <family val="2"/>
      <scheme val="minor"/>
    </font>
    <font>
      <b/>
      <sz val="11"/>
      <color rgb="FF0000FF"/>
      <name val="Calibri"/>
      <family val="2"/>
      <scheme val="minor"/>
    </font>
    <font>
      <b/>
      <sz val="8"/>
      <color rgb="FF0000FF"/>
      <name val="Calibri"/>
      <family val="2"/>
      <scheme val="minor"/>
    </font>
    <font>
      <sz val="8"/>
      <color theme="0" tint="-0.499984740745262"/>
      <name val="Calibri"/>
      <family val="2"/>
      <scheme val="minor"/>
    </font>
    <font>
      <b/>
      <sz val="8"/>
      <color rgb="FF002060"/>
      <name val="Calibri"/>
      <family val="2"/>
      <scheme val="minor"/>
    </font>
    <font>
      <b/>
      <sz val="10"/>
      <color theme="1"/>
      <name val="Calibri"/>
      <family val="2"/>
      <scheme val="minor"/>
    </font>
  </fonts>
  <fills count="12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theme="6" tint="0.79998168889431442"/>
        <bgColor indexed="64"/>
      </patternFill>
    </fill>
    <fill>
      <patternFill patternType="solid">
        <fgColor rgb="FFFFFFCC"/>
      </patternFill>
    </fill>
    <fill>
      <patternFill patternType="solid">
        <fgColor indexed="43"/>
        <bgColor indexed="64"/>
      </patternFill>
    </fill>
    <fill>
      <patternFill patternType="solid">
        <fgColor theme="5" tint="0.59999389629810485"/>
        <bgColor indexed="64"/>
      </patternFill>
    </fill>
    <fill>
      <patternFill patternType="solid">
        <fgColor theme="1"/>
        <bgColor indexed="64"/>
      </patternFill>
    </fill>
    <fill>
      <patternFill patternType="solid">
        <fgColor indexed="22"/>
        <bgColor indexed="64"/>
      </patternFill>
    </fill>
    <fill>
      <patternFill patternType="solid">
        <fgColor theme="6" tint="0.59999389629810485"/>
        <bgColor indexed="64"/>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48"/>
        <bgColor indexed="48"/>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23"/>
        <bgColor indexed="23"/>
      </patternFill>
    </fill>
    <fill>
      <patternFill patternType="solid">
        <fgColor indexed="18"/>
        <bgColor indexed="18"/>
      </patternFill>
    </fill>
    <fill>
      <patternFill patternType="solid">
        <fgColor indexed="49"/>
        <bgColor indexed="49"/>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53"/>
        <bgColor indexed="53"/>
      </patternFill>
    </fill>
    <fill>
      <patternFill patternType="solid">
        <fgColor indexed="49"/>
        <bgColor indexed="64"/>
      </patternFill>
    </fill>
    <fill>
      <patternFill patternType="solid">
        <fgColor indexed="9"/>
        <bgColor indexed="9"/>
      </patternFill>
    </fill>
    <fill>
      <patternFill patternType="solid">
        <fgColor indexed="35"/>
        <bgColor indexed="35"/>
      </patternFill>
    </fill>
    <fill>
      <patternFill patternType="solid">
        <fgColor indexed="26"/>
        <bgColor indexed="64"/>
      </patternFill>
    </fill>
    <fill>
      <patternFill patternType="solid">
        <fgColor indexed="9"/>
        <bgColor indexed="64"/>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solid">
        <fgColor indexed="42"/>
        <bgColor indexed="42"/>
      </patternFill>
    </fill>
    <fill>
      <patternFill patternType="solid">
        <fgColor indexed="40"/>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40"/>
        <bgColor indexed="64"/>
      </patternFill>
    </fill>
    <fill>
      <patternFill patternType="solid">
        <fgColor indexed="23"/>
      </patternFill>
    </fill>
    <fill>
      <patternFill patternType="solid">
        <fgColor indexed="9"/>
      </patternFill>
    </fill>
    <fill>
      <patternFill patternType="solid">
        <fgColor indexed="15"/>
      </patternFill>
    </fill>
    <fill>
      <patternFill patternType="solid">
        <fgColor indexed="20"/>
      </patternFill>
    </fill>
    <fill>
      <patternFill patternType="solid">
        <fgColor indexed="50"/>
        <bgColor indexed="64"/>
      </patternFill>
    </fill>
    <fill>
      <patternFill patternType="solid">
        <fgColor indexed="41"/>
        <bgColor indexed="64"/>
      </patternFill>
    </fill>
    <fill>
      <patternFill patternType="solid">
        <fgColor indexed="45"/>
        <bgColor indexed="64"/>
      </patternFill>
    </fill>
    <fill>
      <patternFill patternType="solid">
        <fgColor rgb="FF00FFFF"/>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002060"/>
        <bgColor indexed="64"/>
      </patternFill>
    </fill>
    <fill>
      <patternFill patternType="solid">
        <fgColor rgb="FF00B050"/>
        <bgColor indexed="64"/>
      </patternFill>
    </fill>
    <fill>
      <patternFill patternType="solid">
        <fgColor rgb="FF92D050"/>
        <bgColor indexed="64"/>
      </patternFill>
    </fill>
    <fill>
      <patternFill patternType="solid">
        <fgColor theme="4" tint="0.59999389629810485"/>
        <bgColor indexed="64"/>
      </patternFill>
    </fill>
    <fill>
      <patternFill patternType="solid">
        <fgColor rgb="FF00FF00"/>
        <bgColor indexed="64"/>
      </patternFill>
    </fill>
    <fill>
      <patternFill patternType="solid">
        <fgColor theme="0" tint="-0.14999847407452621"/>
        <bgColor indexed="64"/>
      </patternFill>
    </fill>
    <fill>
      <patternFill patternType="solid">
        <fgColor theme="2" tint="-9.9978637043366805E-2"/>
        <bgColor indexed="64"/>
      </patternFill>
    </fill>
  </fills>
  <borders count="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18"/>
      </left>
      <right style="thin">
        <color indexed="18"/>
      </right>
      <top style="thin">
        <color indexed="18"/>
      </top>
      <bottom style="thin">
        <color indexed="18"/>
      </bottom>
      <diagonal/>
    </border>
    <border>
      <left/>
      <right/>
      <top/>
      <bottom style="thick">
        <color indexed="48"/>
      </bottom>
      <diagonal/>
    </border>
    <border>
      <left/>
      <right/>
      <top/>
      <bottom style="thick">
        <color indexed="58"/>
      </bottom>
      <diagonal/>
    </border>
    <border>
      <left/>
      <right/>
      <top/>
      <bottom style="medium">
        <color indexed="24"/>
      </bottom>
      <diagonal/>
    </border>
    <border>
      <left/>
      <right/>
      <top/>
      <bottom style="medium">
        <color indexed="58"/>
      </bottom>
      <diagonal/>
    </border>
    <border>
      <left/>
      <right/>
      <top/>
      <bottom style="double">
        <color indexed="17"/>
      </bottom>
      <diagonal/>
    </border>
    <border>
      <left/>
      <right/>
      <top/>
      <bottom style="double">
        <color indexed="53"/>
      </bottom>
      <diagonal/>
    </border>
    <border>
      <left style="thin">
        <color indexed="8"/>
      </left>
      <right style="thin">
        <color indexed="8"/>
      </right>
      <top style="thin">
        <color indexed="8"/>
      </top>
      <bottom style="thin">
        <color indexed="8"/>
      </bottom>
      <diagonal/>
    </border>
    <border>
      <left/>
      <right style="medium">
        <color indexed="12"/>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bottom style="hair">
        <color indexed="64"/>
      </bottom>
      <diagonal/>
    </border>
    <border>
      <left/>
      <right/>
      <top style="medium">
        <color indexed="64"/>
      </top>
      <bottom style="double">
        <color indexed="64"/>
      </bottom>
      <diagonal/>
    </border>
    <border>
      <left/>
      <right/>
      <top style="thin">
        <color indexed="64"/>
      </top>
      <bottom style="double">
        <color indexed="64"/>
      </bottom>
      <diagonal/>
    </border>
    <border>
      <left/>
      <right/>
      <top style="thin">
        <color indexed="48"/>
      </top>
      <bottom style="double">
        <color indexed="48"/>
      </bottom>
      <diagonal/>
    </border>
    <border>
      <left/>
      <right/>
      <top style="double">
        <color indexed="8"/>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style="thin">
        <color theme="0" tint="-0.34998626667073579"/>
      </right>
      <top/>
      <bottom/>
      <diagonal/>
    </border>
    <border>
      <left/>
      <right style="thin">
        <color theme="0" tint="-0.34998626667073579"/>
      </right>
      <top style="thin">
        <color indexed="64"/>
      </top>
      <bottom/>
      <diagonal/>
    </border>
    <border>
      <left style="thin">
        <color theme="0" tint="-0.34998626667073579"/>
      </left>
      <right/>
      <top style="thin">
        <color indexed="64"/>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indexed="64"/>
      </left>
      <right/>
      <top style="thin">
        <color indexed="64"/>
      </top>
      <bottom style="thin">
        <color theme="0" tint="-0.34998626667073579"/>
      </bottom>
      <diagonal/>
    </border>
    <border>
      <left/>
      <right/>
      <top style="thin">
        <color indexed="64"/>
      </top>
      <bottom style="thin">
        <color theme="0" tint="-0.34998626667073579"/>
      </bottom>
      <diagonal/>
    </border>
    <border>
      <left/>
      <right style="thin">
        <color indexed="64"/>
      </right>
      <top style="thin">
        <color indexed="64"/>
      </top>
      <bottom style="thin">
        <color theme="0" tint="-0.34998626667073579"/>
      </bottom>
      <diagonal/>
    </border>
    <border>
      <left style="thin">
        <color indexed="64"/>
      </left>
      <right style="thin">
        <color theme="0" tint="-0.34998626667073579"/>
      </right>
      <top style="thin">
        <color indexed="64"/>
      </top>
      <bottom style="thin">
        <color indexed="64"/>
      </bottom>
      <diagonal/>
    </border>
    <border>
      <left style="thin">
        <color indexed="64"/>
      </left>
      <right style="thin">
        <color theme="0" tint="-0.34998626667073579"/>
      </right>
      <top/>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indexed="64"/>
      </top>
      <bottom style="thin">
        <color indexed="64"/>
      </bottom>
      <diagonal/>
    </border>
  </borders>
  <cellStyleXfs count="4622">
    <xf numFmtId="0" fontId="0" fillId="0" borderId="0"/>
    <xf numFmtId="0" fontId="4"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168" fontId="4" fillId="0" borderId="0" applyFon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19"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167" fontId="25" fillId="0" borderId="0" applyFon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180" fontId="19" fillId="0" borderId="0"/>
    <xf numFmtId="0" fontId="19" fillId="0" borderId="0"/>
    <xf numFmtId="0" fontId="19" fillId="0" borderId="0"/>
    <xf numFmtId="0" fontId="35"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35" fillId="0" borderId="0"/>
    <xf numFmtId="0" fontId="19" fillId="0" borderId="0"/>
    <xf numFmtId="0" fontId="19" fillId="0" borderId="0"/>
    <xf numFmtId="0" fontId="19" fillId="0" borderId="0"/>
    <xf numFmtId="0" fontId="19" fillId="0" borderId="0"/>
    <xf numFmtId="0" fontId="35" fillId="0" borderId="0"/>
    <xf numFmtId="0" fontId="19" fillId="0" borderId="0"/>
    <xf numFmtId="0" fontId="35"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6" fillId="2"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3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3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3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3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3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3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3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3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3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3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3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3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3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3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3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3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3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5"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38" borderId="0" applyNumberFormat="0" applyBorder="0" applyAlignment="0" applyProtection="0"/>
    <xf numFmtId="0" fontId="7" fillId="16" borderId="0" applyNumberFormat="0" applyBorder="0" applyAlignment="0" applyProtection="0"/>
    <xf numFmtId="0" fontId="7" fillId="38"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38"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7" fillId="43"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44" borderId="0" applyNumberFormat="0" applyBorder="0" applyAlignment="0" applyProtection="0"/>
    <xf numFmtId="0" fontId="7" fillId="17" borderId="0" applyNumberFormat="0" applyBorder="0" applyAlignment="0" applyProtection="0"/>
    <xf numFmtId="0" fontId="7" fillId="44"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44"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46"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2"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7" fillId="35" borderId="0" applyNumberFormat="0" applyBorder="0" applyAlignment="0" applyProtection="0"/>
    <xf numFmtId="0" fontId="7" fillId="48" borderId="0" applyNumberFormat="0" applyBorder="0" applyAlignment="0" applyProtection="0"/>
    <xf numFmtId="0" fontId="7" fillId="48" borderId="0" applyNumberFormat="0" applyBorder="0" applyAlignment="0" applyProtection="0"/>
    <xf numFmtId="0" fontId="7" fillId="35"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43"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3" borderId="0" applyNumberFormat="0" applyBorder="0" applyAlignment="0" applyProtection="0"/>
    <xf numFmtId="0" fontId="7" fillId="49" borderId="0" applyNumberFormat="0" applyBorder="0" applyAlignment="0" applyProtection="0"/>
    <xf numFmtId="0" fontId="7" fillId="43" borderId="0" applyNumberFormat="0" applyBorder="0" applyAlignment="0" applyProtection="0"/>
    <xf numFmtId="0" fontId="7" fillId="18" borderId="0" applyNumberFormat="0" applyBorder="0" applyAlignment="0" applyProtection="0"/>
    <xf numFmtId="0" fontId="7" fillId="43"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18" borderId="0" applyNumberFormat="0" applyBorder="0" applyAlignment="0" applyProtection="0"/>
    <xf numFmtId="0" fontId="7" fillId="49"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43"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6" fillId="42"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35"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35" borderId="0" applyNumberFormat="0" applyBorder="0" applyAlignment="0" applyProtection="0"/>
    <xf numFmtId="0" fontId="6" fillId="35" borderId="0" applyNumberFormat="0" applyBorder="0" applyAlignment="0" applyProtection="0"/>
    <xf numFmtId="0" fontId="7" fillId="35" borderId="0" applyNumberFormat="0" applyBorder="0" applyAlignment="0" applyProtection="0"/>
    <xf numFmtId="0" fontId="7" fillId="42" borderId="0" applyNumberFormat="0" applyBorder="0" applyAlignment="0" applyProtection="0"/>
    <xf numFmtId="0" fontId="7" fillId="42" borderId="0" applyNumberFormat="0" applyBorder="0" applyAlignment="0" applyProtection="0"/>
    <xf numFmtId="0" fontId="7" fillId="35"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0" borderId="0" applyNumberFormat="0" applyBorder="0" applyAlignment="0" applyProtection="0"/>
    <xf numFmtId="0" fontId="7" fillId="13" borderId="0" applyNumberFormat="0" applyBorder="0" applyAlignment="0" applyProtection="0"/>
    <xf numFmtId="0" fontId="7" fillId="5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13" borderId="0" applyNumberFormat="0" applyBorder="0" applyAlignment="0" applyProtection="0"/>
    <xf numFmtId="0" fontId="7" fillId="51"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6" fillId="32"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2"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52" borderId="0" applyNumberFormat="0" applyBorder="0" applyAlignment="0" applyProtection="0"/>
    <xf numFmtId="0" fontId="7" fillId="37" borderId="0" applyNumberFormat="0" applyBorder="0" applyAlignment="0" applyProtection="0"/>
    <xf numFmtId="0" fontId="7" fillId="52" borderId="0" applyNumberFormat="0" applyBorder="0" applyAlignment="0" applyProtection="0"/>
    <xf numFmtId="0" fontId="7" fillId="14" borderId="0" applyNumberFormat="0" applyBorder="0" applyAlignment="0" applyProtection="0"/>
    <xf numFmtId="0" fontId="7" fillId="52"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14" borderId="0" applyNumberFormat="0" applyBorder="0" applyAlignment="0" applyProtection="0"/>
    <xf numFmtId="0" fontId="7" fillId="37"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2"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41"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5" borderId="0" applyNumberFormat="0" applyBorder="0" applyAlignment="0" applyProtection="0"/>
    <xf numFmtId="0" fontId="7" fillId="54"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56"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6" borderId="0" applyNumberFormat="0" applyBorder="0" applyAlignment="0" applyProtection="0"/>
    <xf numFmtId="0" fontId="7" fillId="57" borderId="0" applyNumberFormat="0" applyBorder="0" applyAlignment="0" applyProtection="0"/>
    <xf numFmtId="0" fontId="7" fillId="56" borderId="0" applyNumberFormat="0" applyBorder="0" applyAlignment="0" applyProtection="0"/>
    <xf numFmtId="0" fontId="7" fillId="19" borderId="0" applyNumberFormat="0" applyBorder="0" applyAlignment="0" applyProtection="0"/>
    <xf numFmtId="0" fontId="7" fillId="5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9" borderId="0" applyNumberFormat="0" applyBorder="0" applyAlignment="0" applyProtection="0"/>
    <xf numFmtId="0" fontId="7" fillId="57"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5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2" fontId="38" fillId="0" borderId="0">
      <alignment vertical="center"/>
    </xf>
    <xf numFmtId="0" fontId="39" fillId="41"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39" fillId="41" borderId="0" applyNumberFormat="0" applyBorder="0" applyAlignment="0" applyProtection="0"/>
    <xf numFmtId="0" fontId="40" fillId="53" borderId="0" applyNumberFormat="0" applyBorder="0" applyAlignment="0" applyProtection="0"/>
    <xf numFmtId="0" fontId="39" fillId="41" borderId="0" applyNumberFormat="0" applyBorder="0" applyAlignment="0" applyProtection="0"/>
    <xf numFmtId="0" fontId="8" fillId="3" borderId="0" applyNumberFormat="0" applyBorder="0" applyAlignment="0" applyProtection="0"/>
    <xf numFmtId="0" fontId="39" fillId="41" borderId="0" applyNumberFormat="0" applyBorder="0" applyAlignment="0" applyProtection="0"/>
    <xf numFmtId="0" fontId="8" fillId="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8" fillId="3" borderId="0" applyNumberFormat="0" applyBorder="0" applyAlignment="0" applyProtection="0"/>
    <xf numFmtId="0" fontId="40" fillId="53" borderId="0" applyNumberFormat="0" applyBorder="0" applyAlignment="0" applyProtection="0"/>
    <xf numFmtId="0" fontId="39" fillId="41" borderId="0" applyNumberFormat="0" applyBorder="0" applyAlignment="0" applyProtection="0"/>
    <xf numFmtId="0" fontId="8" fillId="3" borderId="0" applyNumberFormat="0" applyBorder="0" applyAlignment="0" applyProtection="0"/>
    <xf numFmtId="0" fontId="12" fillId="4" borderId="0" applyNumberFormat="0" applyBorder="0" applyAlignment="0" applyProtection="0"/>
    <xf numFmtId="0" fontId="19"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41"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37" fontId="28" fillId="58" borderId="24">
      <protection locked="0"/>
    </xf>
    <xf numFmtId="37" fontId="28" fillId="58" borderId="24">
      <protection locked="0"/>
    </xf>
    <xf numFmtId="37" fontId="28" fillId="58" borderId="24">
      <protection locked="0"/>
    </xf>
    <xf numFmtId="37" fontId="28" fillId="58" borderId="24">
      <protection locked="0"/>
    </xf>
    <xf numFmtId="37" fontId="28" fillId="58" borderId="24">
      <protection locked="0"/>
    </xf>
    <xf numFmtId="0" fontId="42" fillId="59" borderId="1" applyNumberFormat="0" applyAlignment="0" applyProtection="0"/>
    <xf numFmtId="0" fontId="43" fillId="60" borderId="26" applyNumberFormat="0" applyAlignment="0" applyProtection="0"/>
    <xf numFmtId="0" fontId="43" fillId="60" borderId="26" applyNumberFormat="0" applyAlignment="0" applyProtection="0"/>
    <xf numFmtId="0" fontId="43" fillId="60" borderId="26" applyNumberFormat="0" applyAlignment="0" applyProtection="0"/>
    <xf numFmtId="0" fontId="42" fillId="59" borderId="1" applyNumberFormat="0" applyAlignment="0" applyProtection="0"/>
    <xf numFmtId="0" fontId="43" fillId="60" borderId="26" applyNumberFormat="0" applyAlignment="0" applyProtection="0"/>
    <xf numFmtId="0" fontId="42" fillId="59" borderId="1" applyNumberFormat="0" applyAlignment="0" applyProtection="0"/>
    <xf numFmtId="0" fontId="9" fillId="20" borderId="1" applyNumberFormat="0" applyAlignment="0" applyProtection="0"/>
    <xf numFmtId="0" fontId="42" fillId="59" borderId="1" applyNumberFormat="0" applyAlignment="0" applyProtection="0"/>
    <xf numFmtId="0" fontId="9" fillId="20" borderId="1" applyNumberFormat="0" applyAlignment="0" applyProtection="0"/>
    <xf numFmtId="0" fontId="43" fillId="60" borderId="26" applyNumberFormat="0" applyAlignment="0" applyProtection="0"/>
    <xf numFmtId="0" fontId="43" fillId="60" borderId="26" applyNumberFormat="0" applyAlignment="0" applyProtection="0"/>
    <xf numFmtId="0" fontId="9" fillId="20" borderId="1" applyNumberFormat="0" applyAlignment="0" applyProtection="0"/>
    <xf numFmtId="0" fontId="43" fillId="60" borderId="26" applyNumberFormat="0" applyAlignment="0" applyProtection="0"/>
    <xf numFmtId="0" fontId="42" fillId="59"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44"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45" fillId="0" borderId="0"/>
    <xf numFmtId="0" fontId="45" fillId="0" borderId="0"/>
    <xf numFmtId="0" fontId="19"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46"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9"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4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0" fillId="21" borderId="2" applyNumberFormat="0" applyAlignment="0" applyProtection="0"/>
    <xf numFmtId="0" fontId="17" fillId="0" borderId="6" applyNumberFormat="0" applyFill="0" applyAlignment="0" applyProtection="0"/>
    <xf numFmtId="0" fontId="19" fillId="21" borderId="2" applyNumberFormat="0" applyAlignment="0" applyProtection="0"/>
    <xf numFmtId="0" fontId="10" fillId="21" borderId="2" applyNumberFormat="0" applyAlignment="0" applyProtection="0"/>
    <xf numFmtId="0" fontId="10" fillId="51" borderId="2" applyNumberFormat="0" applyAlignment="0" applyProtection="0"/>
    <xf numFmtId="0" fontId="10" fillId="51" borderId="2" applyNumberFormat="0" applyAlignment="0" applyProtection="0"/>
    <xf numFmtId="0" fontId="10" fillId="43" borderId="2" applyNumberFormat="0" applyAlignment="0" applyProtection="0"/>
    <xf numFmtId="0" fontId="19" fillId="21" borderId="2" applyNumberFormat="0" applyAlignment="0" applyProtection="0"/>
    <xf numFmtId="0" fontId="10" fillId="51" borderId="2" applyNumberFormat="0" applyAlignment="0" applyProtection="0"/>
    <xf numFmtId="0" fontId="10" fillId="43" borderId="2" applyNumberFormat="0" applyAlignment="0" applyProtection="0"/>
    <xf numFmtId="0" fontId="10" fillId="51" borderId="2" applyNumberFormat="0" applyAlignment="0" applyProtection="0"/>
    <xf numFmtId="0" fontId="10" fillId="43" borderId="2" applyNumberFormat="0" applyAlignment="0" applyProtection="0"/>
    <xf numFmtId="0" fontId="10" fillId="43" borderId="2" applyNumberFormat="0" applyAlignment="0" applyProtection="0"/>
    <xf numFmtId="0" fontId="10" fillId="21" borderId="2" applyNumberFormat="0" applyAlignment="0" applyProtection="0"/>
    <xf numFmtId="0" fontId="10" fillId="43" borderId="2" applyNumberFormat="0" applyAlignment="0" applyProtection="0"/>
    <xf numFmtId="0" fontId="10" fillId="21" borderId="2" applyNumberFormat="0" applyAlignment="0" applyProtection="0"/>
    <xf numFmtId="0" fontId="10" fillId="51" borderId="2" applyNumberFormat="0" applyAlignment="0" applyProtection="0"/>
    <xf numFmtId="0" fontId="10" fillId="51" borderId="2" applyNumberFormat="0" applyAlignment="0" applyProtection="0"/>
    <xf numFmtId="0" fontId="10" fillId="21" borderId="2" applyNumberFormat="0" applyAlignment="0" applyProtection="0"/>
    <xf numFmtId="0" fontId="10" fillId="51" borderId="2" applyNumberFormat="0" applyAlignment="0" applyProtection="0"/>
    <xf numFmtId="0" fontId="10" fillId="43" borderId="2" applyNumberFormat="0" applyAlignment="0" applyProtection="0"/>
    <xf numFmtId="0" fontId="10" fillId="21" borderId="2" applyNumberFormat="0" applyAlignment="0" applyProtection="0"/>
    <xf numFmtId="0" fontId="10" fillId="21" borderId="2" applyNumberFormat="0" applyAlignment="0" applyProtection="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182" fontId="19" fillId="0" borderId="0" applyFont="0" applyFill="0" applyBorder="0" applyAlignment="0" applyProtection="0"/>
    <xf numFmtId="182"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25" fillId="0" borderId="0" applyFont="0" applyFill="0" applyBorder="0" applyAlignment="0" applyProtection="0"/>
    <xf numFmtId="167" fontId="49" fillId="0" borderId="0" applyFont="0" applyFill="0" applyBorder="0" applyAlignment="0" applyProtection="0"/>
    <xf numFmtId="167" fontId="25" fillId="0" borderId="0" applyFont="0" applyFill="0" applyBorder="0" applyAlignment="0" applyProtection="0"/>
    <xf numFmtId="167" fontId="49" fillId="0" borderId="0" applyFont="0" applyFill="0" applyBorder="0" applyAlignment="0" applyProtection="0"/>
    <xf numFmtId="167" fontId="25"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0"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83"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7" fontId="50" fillId="0" borderId="0" applyFont="0" applyFill="0" applyBorder="0" applyAlignment="0" applyProtection="0"/>
    <xf numFmtId="167" fontId="50" fillId="0" borderId="0" applyFont="0" applyFill="0" applyBorder="0" applyAlignment="0" applyProtection="0"/>
    <xf numFmtId="184" fontId="19" fillId="0" borderId="0" applyFont="0" applyFill="0" applyBorder="0" applyAlignment="0" applyProtection="0"/>
    <xf numFmtId="181" fontId="19" fillId="0" borderId="0" applyFont="0" applyFill="0" applyBorder="0" applyAlignment="0" applyProtection="0"/>
    <xf numFmtId="0" fontId="19" fillId="0" borderId="0" applyFont="0" applyFill="0" applyBorder="0" applyAlignment="0" applyProtection="0"/>
    <xf numFmtId="168" fontId="4" fillId="0" borderId="0" applyFont="0" applyFill="0" applyBorder="0" applyAlignment="0" applyProtection="0"/>
    <xf numFmtId="167" fontId="50" fillId="0" borderId="0" applyFont="0" applyFill="0" applyBorder="0" applyAlignment="0" applyProtection="0"/>
    <xf numFmtId="168" fontId="4" fillId="0" borderId="0" applyFont="0" applyFill="0" applyBorder="0" applyAlignment="0" applyProtection="0"/>
    <xf numFmtId="168" fontId="19" fillId="0" borderId="0" applyFont="0" applyFill="0" applyBorder="0" applyAlignment="0" applyProtection="0"/>
    <xf numFmtId="181"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84"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50"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51" fillId="0" borderId="0" applyFont="0" applyFill="0" applyBorder="0" applyAlignment="0" applyProtection="0"/>
    <xf numFmtId="167" fontId="51" fillId="0" borderId="0" applyFont="0" applyFill="0" applyBorder="0" applyAlignment="0" applyProtection="0"/>
    <xf numFmtId="167" fontId="6"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85" fontId="19" fillId="0" borderId="0">
      <protection locked="0"/>
    </xf>
    <xf numFmtId="186" fontId="19" fillId="0" borderId="0">
      <protection locked="0"/>
    </xf>
    <xf numFmtId="186" fontId="19" fillId="0" borderId="0">
      <protection locked="0"/>
    </xf>
    <xf numFmtId="186" fontId="19" fillId="0" borderId="0">
      <protection locked="0"/>
    </xf>
    <xf numFmtId="186" fontId="19" fillId="0" borderId="0">
      <protection locked="0"/>
    </xf>
    <xf numFmtId="186"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7" fontId="19" fillId="0" borderId="0" applyFont="0" applyFill="0" applyBorder="0" applyAlignment="0" applyProtection="0"/>
    <xf numFmtId="187" fontId="19" fillId="0" borderId="0" applyFont="0" applyFill="0" applyBorder="0" applyAlignment="0" applyProtection="0"/>
    <xf numFmtId="168" fontId="19" fillId="0" borderId="0" applyFont="0" applyFill="0" applyBorder="0" applyAlignment="0" applyProtection="0"/>
    <xf numFmtId="188" fontId="19" fillId="0" borderId="0" applyFont="0" applyFill="0" applyBorder="0" applyAlignment="0" applyProtection="0"/>
    <xf numFmtId="188" fontId="19" fillId="0" borderId="0" applyFont="0" applyFill="0" applyBorder="0" applyAlignment="0" applyProtection="0"/>
    <xf numFmtId="189" fontId="52" fillId="0" borderId="0">
      <protection locked="0"/>
    </xf>
    <xf numFmtId="190" fontId="4" fillId="61" borderId="0" applyFont="0" applyFill="0" applyBorder="0" applyAlignment="0" applyProtection="0"/>
    <xf numFmtId="191" fontId="5" fillId="0" borderId="16"/>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92" fontId="4" fillId="0" borderId="0" applyFill="0" applyBorder="0">
      <alignment horizontal="right"/>
    </xf>
    <xf numFmtId="2" fontId="53" fillId="0" borderId="20"/>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3" fontId="54" fillId="62" borderId="0" applyFont="0" applyFill="0" applyBorder="0" applyAlignment="0" applyProtection="0">
      <alignment horizontal="right" vertical="center"/>
    </xf>
    <xf numFmtId="2" fontId="19" fillId="0" borderId="0"/>
    <xf numFmtId="2" fontId="19" fillId="0" borderId="0"/>
    <xf numFmtId="2" fontId="19" fillId="0" borderId="0"/>
    <xf numFmtId="0" fontId="22" fillId="63" borderId="0" applyNumberFormat="0" applyBorder="0" applyAlignment="0" applyProtection="0"/>
    <xf numFmtId="0" fontId="22" fillId="64" borderId="0" applyNumberFormat="0" applyBorder="0" applyAlignment="0" applyProtection="0"/>
    <xf numFmtId="0" fontId="22" fillId="64" borderId="0" applyNumberFormat="0" applyBorder="0" applyAlignment="0" applyProtection="0"/>
    <xf numFmtId="0" fontId="22" fillId="63" borderId="0" applyNumberFormat="0" applyBorder="0" applyAlignment="0" applyProtection="0"/>
    <xf numFmtId="0" fontId="22" fillId="63" borderId="0" applyNumberFormat="0" applyBorder="0" applyAlignment="0" applyProtection="0"/>
    <xf numFmtId="0" fontId="22" fillId="65" borderId="0" applyNumberFormat="0" applyBorder="0" applyAlignment="0" applyProtection="0"/>
    <xf numFmtId="0" fontId="22" fillId="66" borderId="0" applyNumberFormat="0" applyBorder="0" applyAlignment="0" applyProtection="0"/>
    <xf numFmtId="0" fontId="22" fillId="66" borderId="0" applyNumberFormat="0" applyBorder="0" applyAlignment="0" applyProtection="0"/>
    <xf numFmtId="0" fontId="22" fillId="65" borderId="0" applyNumberFormat="0" applyBorder="0" applyAlignment="0" applyProtection="0"/>
    <xf numFmtId="0" fontId="22" fillId="65" borderId="0" applyNumberFormat="0" applyBorder="0" applyAlignment="0" applyProtection="0"/>
    <xf numFmtId="0" fontId="22" fillId="67" borderId="0" applyNumberFormat="0" applyBorder="0" applyAlignment="0" applyProtection="0"/>
    <xf numFmtId="0" fontId="22" fillId="67" borderId="0" applyNumberFormat="0" applyBorder="0" applyAlignment="0" applyProtection="0"/>
    <xf numFmtId="0" fontId="22" fillId="67" borderId="0" applyNumberFormat="0" applyBorder="0" applyAlignment="0" applyProtection="0"/>
    <xf numFmtId="0" fontId="22" fillId="67" borderId="0" applyNumberFormat="0" applyBorder="0" applyAlignment="0" applyProtection="0"/>
    <xf numFmtId="0" fontId="22" fillId="67" borderId="0" applyNumberFormat="0" applyBorder="0" applyAlignment="0" applyProtection="0"/>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19"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56"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3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3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3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3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3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3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19"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57"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9" fillId="0" borderId="0"/>
    <xf numFmtId="0" fontId="58" fillId="0" borderId="0"/>
    <xf numFmtId="0" fontId="19" fillId="0" borderId="0"/>
    <xf numFmtId="0" fontId="58" fillId="0" borderId="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5" fontId="19" fillId="0" borderId="0" applyFont="0" applyFill="0" applyBorder="0" applyAlignment="0" applyProtection="0"/>
    <xf numFmtId="195" fontId="59" fillId="0" borderId="0" applyFont="0" applyFill="0" applyBorder="0" applyAlignment="0" applyProtection="0"/>
    <xf numFmtId="194" fontId="19" fillId="0" borderId="0" applyFont="0" applyFill="0" applyBorder="0" applyAlignment="0" applyProtection="0"/>
    <xf numFmtId="195" fontId="59" fillId="0" borderId="0" applyFont="0" applyFill="0" applyBorder="0" applyAlignment="0" applyProtection="0"/>
    <xf numFmtId="195" fontId="5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6" fontId="19" fillId="0" borderId="0" applyFont="0" applyFill="0" applyBorder="0" applyAlignment="0" applyProtection="0"/>
    <xf numFmtId="196" fontId="19" fillId="0" borderId="0" applyFont="0" applyFill="0" applyBorder="0" applyAlignment="0" applyProtection="0"/>
    <xf numFmtId="194" fontId="19" fillId="0" borderId="0" applyFont="0" applyFill="0" applyBorder="0" applyAlignment="0" applyProtection="0"/>
    <xf numFmtId="196" fontId="19" fillId="0" borderId="0" applyFont="0" applyFill="0" applyBorder="0" applyAlignment="0" applyProtection="0"/>
    <xf numFmtId="0" fontId="19" fillId="0" borderId="0" applyFont="0" applyFill="0" applyBorder="0" applyAlignment="0" applyProtection="0"/>
    <xf numFmtId="196" fontId="19" fillId="0" borderId="0" applyFont="0" applyFill="0" applyBorder="0" applyAlignment="0" applyProtection="0"/>
    <xf numFmtId="0"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5" fontId="19" fillId="0" borderId="0" applyFont="0" applyFill="0" applyBorder="0" applyAlignment="0" applyProtection="0"/>
    <xf numFmtId="194" fontId="19" fillId="0" borderId="0" applyFont="0" applyFill="0" applyBorder="0" applyAlignment="0" applyProtection="0"/>
    <xf numFmtId="195"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6" fontId="19" fillId="0" borderId="0" applyFont="0" applyFill="0" applyBorder="0" applyAlignment="0" applyProtection="0"/>
    <xf numFmtId="196"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0" fontId="11" fillId="0" borderId="0" applyNumberFormat="0" applyFill="0" applyBorder="0" applyAlignment="0" applyProtection="0"/>
    <xf numFmtId="0" fontId="60" fillId="0" borderId="0" applyNumberFormat="0" applyFill="0" applyBorder="0" applyAlignment="0" applyProtection="0"/>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198" fontId="52" fillId="0" borderId="0">
      <protection locked="0"/>
    </xf>
    <xf numFmtId="198" fontId="52" fillId="0" borderId="0">
      <protection locked="0"/>
    </xf>
    <xf numFmtId="198" fontId="52" fillId="0" borderId="0">
      <protection locked="0"/>
    </xf>
    <xf numFmtId="198" fontId="52" fillId="0" borderId="0">
      <protection locked="0"/>
    </xf>
    <xf numFmtId="198" fontId="52" fillId="0" borderId="0">
      <protection locked="0"/>
    </xf>
    <xf numFmtId="198" fontId="52" fillId="0" borderId="0">
      <protection locked="0"/>
    </xf>
    <xf numFmtId="199" fontId="52" fillId="0" borderId="0">
      <protection locked="0"/>
    </xf>
    <xf numFmtId="199" fontId="52" fillId="0" borderId="0">
      <protection locked="0"/>
    </xf>
    <xf numFmtId="199" fontId="52" fillId="0" borderId="0">
      <protection locked="0"/>
    </xf>
    <xf numFmtId="199" fontId="52" fillId="0" borderId="0">
      <protection locked="0"/>
    </xf>
    <xf numFmtId="199" fontId="52" fillId="0" borderId="0">
      <protection locked="0"/>
    </xf>
    <xf numFmtId="199"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19" fillId="0" borderId="0"/>
    <xf numFmtId="0" fontId="62" fillId="0" borderId="0"/>
    <xf numFmtId="0" fontId="19" fillId="4" borderId="0" applyNumberFormat="0" applyBorder="0" applyAlignment="0" applyProtection="0"/>
    <xf numFmtId="0" fontId="12" fillId="4"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12" fillId="68" borderId="0" applyNumberFormat="0" applyBorder="0" applyAlignment="0" applyProtection="0"/>
    <xf numFmtId="0" fontId="19" fillId="4" borderId="0" applyNumberFormat="0" applyBorder="0" applyAlignment="0" applyProtection="0"/>
    <xf numFmtId="0" fontId="6" fillId="47" borderId="0" applyNumberFormat="0" applyBorder="0" applyAlignment="0" applyProtection="0"/>
    <xf numFmtId="0" fontId="12" fillId="68" borderId="0" applyNumberFormat="0" applyBorder="0" applyAlignment="0" applyProtection="0"/>
    <xf numFmtId="0" fontId="6" fillId="47" borderId="0" applyNumberFormat="0" applyBorder="0" applyAlignment="0" applyProtection="0"/>
    <xf numFmtId="0" fontId="12" fillId="68" borderId="0" applyNumberFormat="0" applyBorder="0" applyAlignment="0" applyProtection="0"/>
    <xf numFmtId="0" fontId="12" fillId="4" borderId="0" applyNumberFormat="0" applyBorder="0" applyAlignment="0" applyProtection="0"/>
    <xf numFmtId="0" fontId="12" fillId="68" borderId="0" applyNumberFormat="0" applyBorder="0" applyAlignment="0" applyProtection="0"/>
    <xf numFmtId="0" fontId="12" fillId="4"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12" fillId="4" borderId="0" applyNumberFormat="0" applyBorder="0" applyAlignment="0" applyProtection="0"/>
    <xf numFmtId="0" fontId="6" fillId="47" borderId="0" applyNumberFormat="0" applyBorder="0" applyAlignment="0" applyProtection="0"/>
    <xf numFmtId="0" fontId="12" fillId="68" borderId="0" applyNumberFormat="0" applyBorder="0" applyAlignment="0" applyProtection="0"/>
    <xf numFmtId="0" fontId="12" fillId="4" borderId="0" applyNumberFormat="0" applyBorder="0" applyAlignment="0" applyProtection="0"/>
    <xf numFmtId="0" fontId="19" fillId="0" borderId="0" applyFont="0" applyFill="0" applyBorder="0" applyAlignment="0" applyProtection="0">
      <alignment horizontal="right"/>
    </xf>
    <xf numFmtId="201" fontId="63" fillId="0" borderId="0" applyFont="0" applyFill="0" applyBorder="0" applyAlignment="0" applyProtection="0">
      <alignment horizontal="right"/>
    </xf>
    <xf numFmtId="0" fontId="64" fillId="0" borderId="27" applyNumberFormat="0" applyFill="0" applyAlignment="0" applyProtection="0"/>
    <xf numFmtId="0" fontId="13" fillId="0" borderId="3" applyNumberFormat="0" applyFill="0" applyAlignment="0" applyProtection="0"/>
    <xf numFmtId="0" fontId="64" fillId="0" borderId="27"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64" fillId="0" borderId="27" applyNumberFormat="0" applyFill="0" applyAlignment="0" applyProtection="0"/>
    <xf numFmtId="0" fontId="13" fillId="0" borderId="3" applyNumberFormat="0" applyFill="0" applyAlignment="0" applyProtection="0"/>
    <xf numFmtId="0" fontId="65" fillId="0" borderId="4" applyNumberFormat="0" applyFill="0" applyAlignment="0" applyProtection="0"/>
    <xf numFmtId="0" fontId="65" fillId="0" borderId="28" applyNumberFormat="0" applyFill="0" applyAlignment="0" applyProtection="0"/>
    <xf numFmtId="0" fontId="65" fillId="0" borderId="28" applyNumberFormat="0" applyFill="0" applyAlignment="0" applyProtection="0"/>
    <xf numFmtId="0" fontId="65" fillId="0" borderId="28" applyNumberFormat="0" applyFill="0" applyAlignment="0" applyProtection="0"/>
    <xf numFmtId="0" fontId="65" fillId="0" borderId="4" applyNumberFormat="0" applyFill="0" applyAlignment="0" applyProtection="0"/>
    <xf numFmtId="0" fontId="65" fillId="0" borderId="28" applyNumberFormat="0" applyFill="0" applyAlignment="0" applyProtection="0"/>
    <xf numFmtId="0" fontId="65" fillId="0" borderId="4" applyNumberFormat="0" applyFill="0" applyAlignment="0" applyProtection="0"/>
    <xf numFmtId="0" fontId="14" fillId="0" borderId="4" applyNumberFormat="0" applyFill="0" applyAlignment="0" applyProtection="0"/>
    <xf numFmtId="0" fontId="65" fillId="0" borderId="4" applyNumberFormat="0" applyFill="0" applyAlignment="0" applyProtection="0"/>
    <xf numFmtId="0" fontId="14" fillId="0" borderId="4" applyNumberFormat="0" applyFill="0" applyAlignment="0" applyProtection="0"/>
    <xf numFmtId="0" fontId="65" fillId="0" borderId="28" applyNumberFormat="0" applyFill="0" applyAlignment="0" applyProtection="0"/>
    <xf numFmtId="0" fontId="65" fillId="0" borderId="28" applyNumberFormat="0" applyFill="0" applyAlignment="0" applyProtection="0"/>
    <xf numFmtId="0" fontId="14" fillId="0" borderId="4" applyNumberFormat="0" applyFill="0" applyAlignment="0" applyProtection="0"/>
    <xf numFmtId="0" fontId="65" fillId="0" borderId="28" applyNumberFormat="0" applyFill="0" applyAlignment="0" applyProtection="0"/>
    <xf numFmtId="0" fontId="65" fillId="0" borderId="4" applyNumberFormat="0" applyFill="0" applyAlignment="0" applyProtection="0"/>
    <xf numFmtId="0" fontId="14" fillId="0" borderId="4" applyNumberFormat="0" applyFill="0" applyAlignment="0" applyProtection="0"/>
    <xf numFmtId="0" fontId="66" fillId="0" borderId="29" applyNumberFormat="0" applyFill="0" applyAlignment="0" applyProtection="0"/>
    <xf numFmtId="0" fontId="66" fillId="0" borderId="30" applyNumberFormat="0" applyFill="0" applyAlignment="0" applyProtection="0"/>
    <xf numFmtId="0" fontId="66" fillId="0" borderId="30" applyNumberFormat="0" applyFill="0" applyAlignment="0" applyProtection="0"/>
    <xf numFmtId="0" fontId="66" fillId="0" borderId="30" applyNumberFormat="0" applyFill="0" applyAlignment="0" applyProtection="0"/>
    <xf numFmtId="0" fontId="66" fillId="0" borderId="29" applyNumberFormat="0" applyFill="0" applyAlignment="0" applyProtection="0"/>
    <xf numFmtId="0" fontId="66" fillId="0" borderId="30" applyNumberFormat="0" applyFill="0" applyAlignment="0" applyProtection="0"/>
    <xf numFmtId="0" fontId="66" fillId="0" borderId="29" applyNumberFormat="0" applyFill="0" applyAlignment="0" applyProtection="0"/>
    <xf numFmtId="0" fontId="15" fillId="0" borderId="5" applyNumberFormat="0" applyFill="0" applyAlignment="0" applyProtection="0"/>
    <xf numFmtId="0" fontId="66" fillId="0" borderId="29" applyNumberFormat="0" applyFill="0" applyAlignment="0" applyProtection="0"/>
    <xf numFmtId="0" fontId="15" fillId="0" borderId="5" applyNumberFormat="0" applyFill="0" applyAlignment="0" applyProtection="0"/>
    <xf numFmtId="0" fontId="66" fillId="0" borderId="30" applyNumberFormat="0" applyFill="0" applyAlignment="0" applyProtection="0"/>
    <xf numFmtId="0" fontId="66" fillId="0" borderId="30" applyNumberFormat="0" applyFill="0" applyAlignment="0" applyProtection="0"/>
    <xf numFmtId="0" fontId="15" fillId="0" borderId="5" applyNumberFormat="0" applyFill="0" applyAlignment="0" applyProtection="0"/>
    <xf numFmtId="0" fontId="66" fillId="0" borderId="30" applyNumberFormat="0" applyFill="0" applyAlignment="0" applyProtection="0"/>
    <xf numFmtId="0" fontId="66" fillId="0" borderId="29" applyNumberFormat="0" applyFill="0" applyAlignment="0" applyProtection="0"/>
    <xf numFmtId="0" fontId="15" fillId="0" borderId="5" applyNumberFormat="0" applyFill="0" applyAlignment="0" applyProtection="0"/>
    <xf numFmtId="0" fontId="19" fillId="0" borderId="0" applyNumberFormat="0" applyFill="0" applyBorder="0" applyAlignment="0" applyProtection="0"/>
    <xf numFmtId="0" fontId="15" fillId="0" borderId="0" applyNumberFormat="0" applyFill="0" applyBorder="0" applyAlignment="0" applyProtection="0"/>
    <xf numFmtId="0" fontId="66" fillId="0" borderId="0" applyNumberFormat="0" applyFill="0" applyBorder="0" applyAlignment="0" applyProtection="0"/>
    <xf numFmtId="0" fontId="19" fillId="0" borderId="0" applyNumberFormat="0" applyFill="0" applyBorder="0" applyAlignment="0" applyProtection="0"/>
    <xf numFmtId="0" fontId="15" fillId="0" borderId="0" applyNumberFormat="0" applyFill="0" applyBorder="0" applyAlignment="0" applyProtection="0"/>
    <xf numFmtId="0" fontId="66"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66" fillId="0" borderId="0" applyNumberFormat="0" applyFill="0" applyBorder="0" applyAlignment="0" applyProtection="0"/>
    <xf numFmtId="0" fontId="15" fillId="0" borderId="0" applyNumberFormat="0" applyFill="0" applyBorder="0" applyAlignment="0" applyProtection="0"/>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9" fillId="0" borderId="0" applyNumberFormat="0" applyFill="0" applyBorder="0" applyAlignment="0" applyProtection="0"/>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0"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19" fillId="7" borderId="1" applyNumberFormat="0" applyAlignment="0" applyProtection="0"/>
    <xf numFmtId="0" fontId="16" fillId="7" borderId="1" applyNumberFormat="0" applyAlignment="0" applyProtection="0"/>
    <xf numFmtId="0" fontId="72" fillId="54" borderId="26" applyNumberFormat="0" applyAlignment="0" applyProtection="0"/>
    <xf numFmtId="0" fontId="72" fillId="54" borderId="26" applyNumberFormat="0" applyAlignment="0" applyProtection="0"/>
    <xf numFmtId="0" fontId="72" fillId="54" borderId="1" applyNumberFormat="0" applyAlignment="0" applyProtection="0"/>
    <xf numFmtId="0" fontId="19" fillId="7" borderId="1" applyNumberFormat="0" applyAlignment="0" applyProtection="0"/>
    <xf numFmtId="0" fontId="72" fillId="54" borderId="26" applyNumberFormat="0" applyAlignment="0" applyProtection="0"/>
    <xf numFmtId="0" fontId="72" fillId="54" borderId="1" applyNumberFormat="0" applyAlignment="0" applyProtection="0"/>
    <xf numFmtId="0" fontId="72" fillId="54" borderId="26" applyNumberFormat="0" applyAlignment="0" applyProtection="0"/>
    <xf numFmtId="0" fontId="72" fillId="54" borderId="1" applyNumberFormat="0" applyAlignment="0" applyProtection="0"/>
    <xf numFmtId="0" fontId="16" fillId="7" borderId="1" applyNumberFormat="0" applyAlignment="0" applyProtection="0"/>
    <xf numFmtId="0" fontId="72" fillId="54" borderId="1" applyNumberFormat="0" applyAlignment="0" applyProtection="0"/>
    <xf numFmtId="0" fontId="16" fillId="7" borderId="1" applyNumberFormat="0" applyAlignment="0" applyProtection="0"/>
    <xf numFmtId="0" fontId="72" fillId="54" borderId="26" applyNumberFormat="0" applyAlignment="0" applyProtection="0"/>
    <xf numFmtId="0" fontId="72" fillId="54" borderId="26" applyNumberFormat="0" applyAlignment="0" applyProtection="0"/>
    <xf numFmtId="0" fontId="16" fillId="7" borderId="1" applyNumberFormat="0" applyAlignment="0" applyProtection="0"/>
    <xf numFmtId="0" fontId="72" fillId="54" borderId="26" applyNumberFormat="0" applyAlignment="0" applyProtection="0"/>
    <xf numFmtId="0" fontId="72" fillId="54" borderId="1" applyNumberFormat="0" applyAlignment="0" applyProtection="0"/>
    <xf numFmtId="0" fontId="16" fillId="7" borderId="1" applyNumberFormat="0" applyAlignment="0" applyProtection="0"/>
    <xf numFmtId="0" fontId="19" fillId="0" borderId="6" applyNumberFormat="0" applyFill="0" applyAlignment="0" applyProtection="0"/>
    <xf numFmtId="0" fontId="17" fillId="0" borderId="6" applyNumberFormat="0" applyFill="0" applyAlignment="0" applyProtection="0"/>
    <xf numFmtId="0" fontId="12" fillId="0" borderId="31" applyNumberFormat="0" applyFill="0" applyAlignment="0" applyProtection="0"/>
    <xf numFmtId="0" fontId="12" fillId="0" borderId="31" applyNumberFormat="0" applyFill="0" applyAlignment="0" applyProtection="0"/>
    <xf numFmtId="0" fontId="73" fillId="0" borderId="32" applyNumberFormat="0" applyFill="0" applyAlignment="0" applyProtection="0"/>
    <xf numFmtId="0" fontId="19" fillId="0" borderId="6" applyNumberFormat="0" applyFill="0" applyAlignment="0" applyProtection="0"/>
    <xf numFmtId="0" fontId="12" fillId="0" borderId="31" applyNumberFormat="0" applyFill="0" applyAlignment="0" applyProtection="0"/>
    <xf numFmtId="0" fontId="73" fillId="0" borderId="32" applyNumberFormat="0" applyFill="0" applyAlignment="0" applyProtection="0"/>
    <xf numFmtId="0" fontId="12" fillId="0" borderId="31" applyNumberFormat="0" applyFill="0" applyAlignment="0" applyProtection="0"/>
    <xf numFmtId="0" fontId="73" fillId="0" borderId="32" applyNumberFormat="0" applyFill="0" applyAlignment="0" applyProtection="0"/>
    <xf numFmtId="0" fontId="17" fillId="0" borderId="6" applyNumberFormat="0" applyFill="0" applyAlignment="0" applyProtection="0"/>
    <xf numFmtId="0" fontId="73" fillId="0" borderId="32" applyNumberFormat="0" applyFill="0" applyAlignment="0" applyProtection="0"/>
    <xf numFmtId="0" fontId="17" fillId="0" borderId="6" applyNumberFormat="0" applyFill="0" applyAlignment="0" applyProtection="0"/>
    <xf numFmtId="0" fontId="12" fillId="0" borderId="31" applyNumberFormat="0" applyFill="0" applyAlignment="0" applyProtection="0"/>
    <xf numFmtId="0" fontId="12" fillId="0" borderId="31" applyNumberFormat="0" applyFill="0" applyAlignment="0" applyProtection="0"/>
    <xf numFmtId="0" fontId="17" fillId="0" borderId="6" applyNumberFormat="0" applyFill="0" applyAlignment="0" applyProtection="0"/>
    <xf numFmtId="0" fontId="12" fillId="0" borderId="31" applyNumberFormat="0" applyFill="0" applyAlignment="0" applyProtection="0"/>
    <xf numFmtId="0" fontId="73" fillId="0" borderId="32" applyNumberFormat="0" applyFill="0" applyAlignment="0" applyProtection="0"/>
    <xf numFmtId="0" fontId="17" fillId="0" borderId="6" applyNumberFormat="0" applyFill="0" applyAlignment="0" applyProtection="0"/>
    <xf numFmtId="203" fontId="19" fillId="0" borderId="0" applyFont="0" applyFill="0" applyBorder="0" applyAlignment="0" applyProtection="0"/>
    <xf numFmtId="203"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70" fontId="19"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204"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98" fontId="19" fillId="0" borderId="0" applyFont="0" applyFill="0" applyBorder="0" applyAlignment="0" applyProtection="0"/>
    <xf numFmtId="205" fontId="19" fillId="0" borderId="0" applyFont="0" applyFill="0" applyBorder="0" applyAlignment="0" applyProtection="0"/>
    <xf numFmtId="204" fontId="19" fillId="0" borderId="0" applyFont="0" applyFill="0" applyBorder="0" applyAlignment="0" applyProtection="0"/>
    <xf numFmtId="168" fontId="19" fillId="0" borderId="0" applyFont="0" applyFill="0" applyBorder="0" applyAlignment="0" applyProtection="0"/>
    <xf numFmtId="206" fontId="19" fillId="0" borderId="0" applyFont="0" applyFill="0" applyBorder="0" applyAlignment="0" applyProtection="0"/>
    <xf numFmtId="168" fontId="19" fillId="0" borderId="0" applyFont="0" applyFill="0" applyBorder="0" applyAlignment="0" applyProtection="0"/>
    <xf numFmtId="204"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207" fontId="19" fillId="0" borderId="0" applyFont="0" applyFill="0" applyBorder="0" applyAlignment="0" applyProtection="0"/>
    <xf numFmtId="207" fontId="49" fillId="0" borderId="0" applyFont="0" applyFill="0" applyBorder="0" applyAlignment="0" applyProtection="0"/>
    <xf numFmtId="167" fontId="50"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209" fontId="19" fillId="0" borderId="0" applyFont="0" applyFill="0" applyBorder="0" applyAlignment="0" applyProtection="0"/>
    <xf numFmtId="209"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76" fontId="19" fillId="0" borderId="0" applyFont="0" applyFill="0" applyBorder="0" applyAlignment="0" applyProtection="0"/>
    <xf numFmtId="207"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0" fillId="0" borderId="0" applyFont="0" applyFill="0" applyBorder="0" applyAlignment="0" applyProtection="0"/>
    <xf numFmtId="167"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7" fontId="19" fillId="0" borderId="0" applyFont="0" applyFill="0" applyBorder="0" applyAlignment="0" applyProtection="0"/>
    <xf numFmtId="167" fontId="6"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50" fillId="0" borderId="0" applyFont="0" applyFill="0" applyBorder="0" applyAlignment="0" applyProtection="0"/>
    <xf numFmtId="210" fontId="19" fillId="0" borderId="0" applyFont="0" applyFill="0" applyBorder="0" applyAlignment="0" applyProtection="0"/>
    <xf numFmtId="168" fontId="19" fillId="0" borderId="0" applyFont="0" applyFill="0" applyBorder="0" applyAlignment="0" applyProtection="0"/>
    <xf numFmtId="167" fontId="6" fillId="0" borderId="0" applyFont="0" applyFill="0" applyBorder="0" applyAlignment="0" applyProtection="0"/>
    <xf numFmtId="167" fontId="50"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167" fontId="19" fillId="0" borderId="0" applyFont="0" applyFill="0" applyBorder="0" applyAlignment="0" applyProtection="0"/>
    <xf numFmtId="20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99"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98" fontId="19" fillId="0" borderId="0" applyFont="0" applyFill="0" applyBorder="0" applyAlignment="0" applyProtection="0"/>
    <xf numFmtId="167" fontId="19" fillId="0" borderId="0" applyFont="0" applyFill="0" applyBorder="0" applyAlignment="0" applyProtection="0"/>
    <xf numFmtId="207" fontId="19" fillId="0" borderId="0" applyFont="0" applyFill="0" applyBorder="0" applyAlignment="0" applyProtection="0"/>
    <xf numFmtId="211" fontId="19" fillId="0" borderId="0" applyFont="0" applyFill="0" applyBorder="0" applyAlignment="0" applyProtection="0"/>
    <xf numFmtId="167" fontId="19" fillId="0" borderId="0" applyFont="0" applyFill="0" applyBorder="0" applyAlignment="0" applyProtection="0"/>
    <xf numFmtId="211" fontId="19" fillId="0" borderId="0" applyFont="0" applyFill="0" applyBorder="0" applyAlignment="0" applyProtection="0"/>
    <xf numFmtId="167" fontId="19" fillId="0" borderId="0" applyFont="0" applyFill="0" applyBorder="0" applyAlignment="0" applyProtection="0"/>
    <xf numFmtId="207" fontId="19" fillId="0" borderId="0" applyFont="0" applyFill="0" applyBorder="0" applyAlignment="0" applyProtection="0"/>
    <xf numFmtId="167" fontId="19" fillId="0" borderId="0" applyFont="0" applyFill="0" applyBorder="0" applyAlignment="0" applyProtection="0"/>
    <xf numFmtId="207" fontId="19" fillId="0" borderId="0" applyFont="0" applyFill="0" applyBorder="0" applyAlignment="0" applyProtection="0"/>
    <xf numFmtId="167"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6"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208" fontId="1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12" fontId="19" fillId="0" borderId="0" applyFont="0" applyFill="0" applyBorder="0" applyAlignment="0" applyProtection="0"/>
    <xf numFmtId="168" fontId="19" fillId="0" borderId="0" applyFont="0" applyFill="0" applyBorder="0" applyAlignment="0" applyProtection="0"/>
    <xf numFmtId="209" fontId="19" fillId="0" borderId="0" applyFont="0" applyFill="0" applyBorder="0" applyAlignment="0" applyProtection="0"/>
    <xf numFmtId="168" fontId="19" fillId="0" borderId="0" applyFont="0" applyFill="0" applyBorder="0" applyAlignment="0" applyProtection="0"/>
    <xf numFmtId="167" fontId="6" fillId="0" borderId="0" applyFont="0" applyFill="0" applyBorder="0" applyAlignment="0" applyProtection="0"/>
    <xf numFmtId="208" fontId="19" fillId="0" borderId="0" applyFont="0" applyFill="0" applyBorder="0" applyAlignment="0" applyProtection="0"/>
    <xf numFmtId="167" fontId="49" fillId="0" borderId="0" applyFont="0" applyFill="0" applyBorder="0" applyAlignment="0" applyProtection="0"/>
    <xf numFmtId="208" fontId="19"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43" fontId="19" fillId="0" borderId="0" applyFont="0" applyFill="0" applyBorder="0" applyAlignment="0" applyProtection="0"/>
    <xf numFmtId="20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13"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167" fontId="6"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207"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168" fontId="19" fillId="0" borderId="0" applyFont="0" applyFill="0" applyBorder="0" applyAlignment="0" applyProtection="0"/>
    <xf numFmtId="170" fontId="19" fillId="0" borderId="0" applyFont="0" applyFill="0" applyBorder="0" applyAlignment="0" applyProtection="0"/>
    <xf numFmtId="167" fontId="19" fillId="0" borderId="0" applyFont="0" applyFill="0" applyBorder="0" applyAlignment="0" applyProtection="0"/>
    <xf numFmtId="165" fontId="35" fillId="0" borderId="0" applyFont="0" applyFill="0" applyBorder="0" applyAlignment="0" applyProtection="0"/>
    <xf numFmtId="167" fontId="35" fillId="0" borderId="0" applyFont="0" applyFill="0" applyBorder="0" applyAlignment="0" applyProtection="0"/>
    <xf numFmtId="214" fontId="19" fillId="0" borderId="0" applyFont="0" applyFill="0" applyBorder="0" applyAlignment="0" applyProtection="0"/>
    <xf numFmtId="215" fontId="19" fillId="0" borderId="0" applyFont="0" applyFill="0" applyBorder="0" applyAlignment="0" applyProtection="0"/>
    <xf numFmtId="174" fontId="19" fillId="0" borderId="0" applyFont="0" applyFill="0" applyBorder="0" applyAlignment="0" applyProtection="0"/>
    <xf numFmtId="164" fontId="35" fillId="0" borderId="0" applyFont="0" applyFill="0" applyBorder="0" applyAlignment="0" applyProtection="0"/>
    <xf numFmtId="166" fontId="35" fillId="0" borderId="0" applyFont="0" applyFill="0" applyBorder="0" applyAlignment="0" applyProtection="0"/>
    <xf numFmtId="211" fontId="52" fillId="0" borderId="0">
      <protection locked="0"/>
    </xf>
    <xf numFmtId="211" fontId="52" fillId="0" borderId="0">
      <protection locked="0"/>
    </xf>
    <xf numFmtId="211" fontId="52" fillId="0" borderId="0">
      <protection locked="0"/>
    </xf>
    <xf numFmtId="211" fontId="52" fillId="0" borderId="0">
      <protection locked="0"/>
    </xf>
    <xf numFmtId="211" fontId="52" fillId="0" borderId="0">
      <protection locked="0"/>
    </xf>
    <xf numFmtId="211" fontId="52" fillId="0" borderId="0">
      <protection locked="0"/>
    </xf>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9" fillId="22" borderId="0" applyNumberFormat="0" applyBorder="0" applyAlignment="0" applyProtection="0"/>
    <xf numFmtId="0" fontId="18" fillId="22"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8" fillId="54" borderId="0" applyNumberFormat="0" applyBorder="0" applyAlignment="0" applyProtection="0"/>
    <xf numFmtId="0" fontId="18" fillId="54" borderId="0" applyNumberFormat="0" applyBorder="0" applyAlignment="0" applyProtection="0"/>
    <xf numFmtId="0" fontId="12" fillId="54" borderId="0" applyNumberFormat="0" applyBorder="0" applyAlignment="0" applyProtection="0"/>
    <xf numFmtId="0" fontId="18" fillId="54" borderId="0" applyNumberFormat="0" applyBorder="0" applyAlignment="0" applyProtection="0"/>
    <xf numFmtId="0" fontId="12" fillId="54"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8" fillId="54" borderId="0" applyNumberFormat="0" applyBorder="0" applyAlignment="0" applyProtection="0"/>
    <xf numFmtId="0" fontId="18" fillId="22" borderId="0" applyNumberFormat="0" applyBorder="0" applyAlignment="0" applyProtection="0"/>
    <xf numFmtId="0" fontId="18" fillId="54" borderId="0" applyNumberFormat="0" applyBorder="0" applyAlignment="0" applyProtection="0"/>
    <xf numFmtId="0" fontId="18" fillId="22" borderId="0" applyNumberFormat="0" applyBorder="0" applyAlignment="0" applyProtection="0"/>
    <xf numFmtId="0" fontId="18" fillId="54" borderId="0" applyNumberFormat="0" applyBorder="0" applyAlignment="0" applyProtection="0"/>
    <xf numFmtId="0" fontId="18" fillId="22" borderId="0" applyNumberFormat="0" applyBorder="0" applyAlignment="0" applyProtection="0"/>
    <xf numFmtId="0" fontId="74"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19" fillId="0" borderId="0"/>
    <xf numFmtId="0" fontId="75" fillId="0" borderId="0"/>
    <xf numFmtId="0" fontId="76" fillId="0" borderId="0"/>
    <xf numFmtId="0" fontId="19" fillId="0" borderId="0"/>
    <xf numFmtId="0" fontId="75" fillId="0" borderId="0"/>
    <xf numFmtId="0" fontId="76" fillId="0" borderId="0"/>
    <xf numFmtId="0" fontId="19" fillId="0" borderId="33"/>
    <xf numFmtId="0" fontId="77" fillId="0" borderId="33"/>
    <xf numFmtId="0" fontId="19" fillId="0" borderId="33"/>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78" fillId="0" borderId="0"/>
    <xf numFmtId="0" fontId="78" fillId="0" borderId="0"/>
    <xf numFmtId="0" fontId="19" fillId="0" borderId="0"/>
    <xf numFmtId="0" fontId="19" fillId="0" borderId="0"/>
    <xf numFmtId="0" fontId="19" fillId="0" borderId="0" applyNumberFormat="0" applyFont="0" applyFill="0" applyBorder="0" applyAlignment="0" applyProtection="0">
      <alignment vertical="top"/>
    </xf>
    <xf numFmtId="0" fontId="25"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6" fillId="0" borderId="0"/>
    <xf numFmtId="0" fontId="49" fillId="0" borderId="0"/>
    <xf numFmtId="0" fontId="6" fillId="0" borderId="0"/>
    <xf numFmtId="0" fontId="6" fillId="0" borderId="0"/>
    <xf numFmtId="0" fontId="6" fillId="0" borderId="0"/>
    <xf numFmtId="0" fontId="6" fillId="0" borderId="0"/>
    <xf numFmtId="0" fontId="6" fillId="0" borderId="0"/>
    <xf numFmtId="0" fontId="6"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9"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9"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49" fillId="0" borderId="0"/>
    <xf numFmtId="0" fontId="49" fillId="0" borderId="0"/>
    <xf numFmtId="0" fontId="4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49" fillId="0" borderId="0"/>
    <xf numFmtId="0" fontId="49" fillId="0" borderId="0"/>
    <xf numFmtId="0" fontId="49" fillId="0" borderId="0"/>
    <xf numFmtId="0" fontId="49" fillId="0" borderId="0"/>
    <xf numFmtId="0" fontId="49" fillId="0" borderId="0"/>
    <xf numFmtId="0" fontId="19" fillId="0" borderId="0"/>
    <xf numFmtId="0" fontId="19" fillId="0" borderId="0"/>
    <xf numFmtId="0" fontId="19" fillId="0" borderId="0"/>
    <xf numFmtId="0" fontId="25"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25" fillId="0" borderId="0"/>
    <xf numFmtId="0" fontId="25" fillId="0" borderId="0"/>
    <xf numFmtId="0" fontId="49" fillId="0" borderId="0"/>
    <xf numFmtId="0" fontId="49" fillId="0" borderId="0"/>
    <xf numFmtId="0" fontId="49" fillId="0" borderId="0"/>
    <xf numFmtId="0" fontId="49" fillId="0" borderId="0"/>
    <xf numFmtId="0" fontId="19" fillId="0" borderId="0"/>
    <xf numFmtId="0" fontId="25" fillId="0" borderId="0"/>
    <xf numFmtId="0" fontId="19" fillId="0" borderId="0"/>
    <xf numFmtId="0" fontId="19" fillId="0" borderId="0"/>
    <xf numFmtId="0" fontId="19" fillId="0" borderId="0"/>
    <xf numFmtId="0" fontId="25"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50" fillId="0" borderId="0"/>
    <xf numFmtId="0" fontId="25" fillId="0" borderId="0"/>
    <xf numFmtId="0" fontId="19" fillId="0" borderId="0"/>
    <xf numFmtId="0" fontId="19" fillId="0" borderId="0"/>
    <xf numFmtId="0" fontId="50" fillId="0" borderId="0"/>
    <xf numFmtId="0" fontId="19" fillId="0" borderId="0"/>
    <xf numFmtId="0" fontId="25" fillId="0" borderId="0"/>
    <xf numFmtId="0" fontId="19" fillId="0" borderId="0"/>
    <xf numFmtId="0" fontId="19" fillId="0" borderId="0"/>
    <xf numFmtId="0" fontId="49" fillId="0" borderId="0"/>
    <xf numFmtId="0" fontId="19" fillId="0" borderId="0"/>
    <xf numFmtId="0" fontId="6" fillId="0" borderId="0"/>
    <xf numFmtId="0" fontId="19" fillId="0" borderId="0"/>
    <xf numFmtId="0" fontId="4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50" fillId="0" borderId="0"/>
    <xf numFmtId="0" fontId="19" fillId="0" borderId="0"/>
    <xf numFmtId="0" fontId="19" fillId="0" borderId="0"/>
    <xf numFmtId="0" fontId="4" fillId="0" borderId="0"/>
    <xf numFmtId="0" fontId="4" fillId="0" borderId="0"/>
    <xf numFmtId="0" fontId="4" fillId="0" borderId="0"/>
    <xf numFmtId="0" fontId="6" fillId="0" borderId="0"/>
    <xf numFmtId="0" fontId="19" fillId="0" borderId="0"/>
    <xf numFmtId="0" fontId="6" fillId="0" borderId="0"/>
    <xf numFmtId="0" fontId="4" fillId="0" borderId="0"/>
    <xf numFmtId="0" fontId="19" fillId="0" borderId="0"/>
    <xf numFmtId="0" fontId="4" fillId="0" borderId="0"/>
    <xf numFmtId="0" fontId="19" fillId="0" borderId="0"/>
    <xf numFmtId="0" fontId="19" fillId="0" borderId="0"/>
    <xf numFmtId="0" fontId="4" fillId="0" borderId="0"/>
    <xf numFmtId="0" fontId="19" fillId="0" borderId="0"/>
    <xf numFmtId="0" fontId="19" fillId="0" borderId="0"/>
    <xf numFmtId="0" fontId="50" fillId="0" borderId="0"/>
    <xf numFmtId="0" fontId="4" fillId="0" borderId="0"/>
    <xf numFmtId="0" fontId="19" fillId="0" borderId="0"/>
    <xf numFmtId="0" fontId="19" fillId="0" borderId="0"/>
    <xf numFmtId="0" fontId="49" fillId="0" borderId="0"/>
    <xf numFmtId="0" fontId="19" fillId="0" borderId="0"/>
    <xf numFmtId="0" fontId="49" fillId="0" borderId="0"/>
    <xf numFmtId="0" fontId="4" fillId="0" borderId="0"/>
    <xf numFmtId="0" fontId="19" fillId="0" borderId="0"/>
    <xf numFmtId="0" fontId="19" fillId="0" borderId="0"/>
    <xf numFmtId="0" fontId="19" fillId="0" borderId="0"/>
    <xf numFmtId="0" fontId="49" fillId="0" borderId="0"/>
    <xf numFmtId="0" fontId="19" fillId="0" borderId="0"/>
    <xf numFmtId="0" fontId="49" fillId="0" borderId="0"/>
    <xf numFmtId="0" fontId="19" fillId="0" borderId="0"/>
    <xf numFmtId="0" fontId="4" fillId="0" borderId="0"/>
    <xf numFmtId="0" fontId="19" fillId="0" borderId="0"/>
    <xf numFmtId="0" fontId="6" fillId="0" borderId="0"/>
    <xf numFmtId="0" fontId="4" fillId="0" borderId="0"/>
    <xf numFmtId="195" fontId="49" fillId="0" borderId="0"/>
    <xf numFmtId="0" fontId="19" fillId="0" borderId="0"/>
    <xf numFmtId="0" fontId="19" fillId="0" borderId="0"/>
    <xf numFmtId="0" fontId="19" fillId="0" borderId="0"/>
    <xf numFmtId="0" fontId="49" fillId="0" borderId="0"/>
    <xf numFmtId="0" fontId="19" fillId="0" borderId="0"/>
    <xf numFmtId="0" fontId="4" fillId="0" borderId="0"/>
    <xf numFmtId="0" fontId="19" fillId="0" borderId="0"/>
    <xf numFmtId="0" fontId="50"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xf numFmtId="0" fontId="19"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xf numFmtId="0" fontId="19" fillId="0" borderId="0"/>
    <xf numFmtId="0" fontId="19" fillId="0" borderId="0"/>
    <xf numFmtId="0" fontId="19" fillId="0" borderId="0"/>
    <xf numFmtId="0" fontId="25" fillId="0" borderId="0"/>
    <xf numFmtId="0" fontId="19" fillId="0" borderId="0"/>
    <xf numFmtId="0" fontId="19" fillId="0" borderId="0"/>
    <xf numFmtId="0" fontId="25" fillId="0" borderId="0"/>
    <xf numFmtId="0" fontId="19" fillId="0" borderId="0"/>
    <xf numFmtId="0" fontId="19" fillId="0" borderId="0"/>
    <xf numFmtId="0" fontId="19" fillId="0" borderId="0"/>
    <xf numFmtId="0" fontId="25" fillId="0" borderId="0"/>
    <xf numFmtId="0" fontId="19" fillId="0" borderId="0"/>
    <xf numFmtId="0" fontId="19" fillId="0" borderId="0"/>
    <xf numFmtId="0" fontId="25" fillId="0" borderId="0"/>
    <xf numFmtId="0" fontId="19" fillId="0" borderId="0"/>
    <xf numFmtId="0" fontId="19" fillId="0" borderId="0"/>
    <xf numFmtId="0" fontId="19" fillId="0" borderId="0"/>
    <xf numFmtId="0" fontId="25" fillId="0" borderId="0"/>
    <xf numFmtId="0" fontId="19" fillId="0" borderId="0"/>
    <xf numFmtId="0" fontId="19" fillId="0" borderId="0"/>
    <xf numFmtId="0" fontId="25" fillId="0" borderId="0"/>
    <xf numFmtId="0" fontId="19" fillId="0" borderId="0"/>
    <xf numFmtId="0" fontId="25" fillId="0" borderId="0"/>
    <xf numFmtId="0" fontId="19" fillId="0" borderId="0"/>
    <xf numFmtId="0" fontId="25" fillId="0" borderId="0"/>
    <xf numFmtId="0" fontId="19" fillId="0" borderId="0"/>
    <xf numFmtId="0" fontId="25"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 fillId="0" borderId="0"/>
    <xf numFmtId="0" fontId="49" fillId="0" borderId="0"/>
    <xf numFmtId="0" fontId="19" fillId="0" borderId="0"/>
    <xf numFmtId="0" fontId="49" fillId="0" borderId="0"/>
    <xf numFmtId="0" fontId="19" fillId="0" borderId="0"/>
    <xf numFmtId="0" fontId="19" fillId="0" borderId="0"/>
    <xf numFmtId="0" fontId="19" fillId="0" borderId="0"/>
    <xf numFmtId="0" fontId="49" fillId="0" borderId="0"/>
    <xf numFmtId="0" fontId="49" fillId="0" borderId="0"/>
    <xf numFmtId="0" fontId="19" fillId="0" borderId="0" applyNumberFormat="0" applyFont="0" applyFill="0" applyBorder="0" applyAlignment="0" applyProtection="0">
      <alignment vertical="top"/>
    </xf>
    <xf numFmtId="0" fontId="19" fillId="0" borderId="0"/>
    <xf numFmtId="0" fontId="4" fillId="0" borderId="0"/>
    <xf numFmtId="0" fontId="19" fillId="0" borderId="0" applyNumberFormat="0" applyFont="0" applyFill="0" applyBorder="0" applyAlignment="0" applyProtection="0">
      <alignment vertical="top"/>
    </xf>
    <xf numFmtId="0" fontId="4" fillId="0" borderId="0"/>
    <xf numFmtId="0" fontId="19" fillId="0" borderId="0"/>
    <xf numFmtId="0" fontId="51" fillId="0" borderId="0"/>
    <xf numFmtId="0" fontId="4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 fillId="0" borderId="0"/>
    <xf numFmtId="0" fontId="4" fillId="0" borderId="0"/>
    <xf numFmtId="0" fontId="19" fillId="0" borderId="0"/>
    <xf numFmtId="0" fontId="4" fillId="0" borderId="0"/>
    <xf numFmtId="0" fontId="19" fillId="0" borderId="0"/>
    <xf numFmtId="0" fontId="49" fillId="0" borderId="0"/>
    <xf numFmtId="0" fontId="4" fillId="0" borderId="0"/>
    <xf numFmtId="0" fontId="19" fillId="0" borderId="0"/>
    <xf numFmtId="0" fontId="4" fillId="0" borderId="0"/>
    <xf numFmtId="0" fontId="49" fillId="0" borderId="0"/>
    <xf numFmtId="0" fontId="19"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4" fillId="0" borderId="0"/>
    <xf numFmtId="0" fontId="19" fillId="0" borderId="0"/>
    <xf numFmtId="0" fontId="4" fillId="0" borderId="0"/>
    <xf numFmtId="0" fontId="19" fillId="0" borderId="0"/>
    <xf numFmtId="0" fontId="4"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4" fillId="0" borderId="0"/>
    <xf numFmtId="0" fontId="4" fillId="0" borderId="0"/>
    <xf numFmtId="0" fontId="4" fillId="0" borderId="0"/>
    <xf numFmtId="0" fontId="19" fillId="0" borderId="0"/>
    <xf numFmtId="0" fontId="19" fillId="0" borderId="0" applyNumberFormat="0" applyFont="0" applyFill="0" applyBorder="0" applyAlignment="0" applyProtection="0">
      <alignment vertical="top"/>
    </xf>
    <xf numFmtId="0" fontId="4" fillId="0" borderId="0"/>
    <xf numFmtId="0" fontId="19" fillId="0" borderId="0"/>
    <xf numFmtId="0" fontId="4" fillId="0" borderId="0"/>
    <xf numFmtId="0" fontId="19" fillId="0" borderId="0" applyNumberFormat="0" applyFont="0" applyFill="0" applyBorder="0" applyAlignment="0" applyProtection="0">
      <alignment vertical="top"/>
    </xf>
    <xf numFmtId="0" fontId="4" fillId="0" borderId="0"/>
    <xf numFmtId="0" fontId="19"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6"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50"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9"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192" fontId="4" fillId="0" borderId="0"/>
    <xf numFmtId="216" fontId="4" fillId="0" borderId="0" applyFont="0" applyFill="0" applyBorder="0" applyAlignment="0" applyProtection="0"/>
    <xf numFmtId="0" fontId="6"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49" fillId="26" borderId="21"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53" borderId="7" applyNumberFormat="0" applyFont="0" applyAlignment="0" applyProtection="0"/>
    <xf numFmtId="0" fontId="4" fillId="53" borderId="26" applyNumberFormat="0" applyFont="0" applyAlignment="0" applyProtection="0"/>
    <xf numFmtId="0" fontId="4" fillId="53" borderId="26" applyNumberFormat="0" applyFont="0" applyAlignment="0" applyProtection="0"/>
    <xf numFmtId="0" fontId="19" fillId="53" borderId="7" applyNumberFormat="0" applyFont="0" applyAlignment="0" applyProtection="0"/>
    <xf numFmtId="0" fontId="4" fillId="53" borderId="26" applyNumberFormat="0" applyFont="0" applyAlignment="0" applyProtection="0"/>
    <xf numFmtId="0" fontId="19" fillId="53" borderId="7" applyNumberFormat="0" applyFont="0" applyAlignment="0" applyProtection="0"/>
    <xf numFmtId="0" fontId="4" fillId="53" borderId="26" applyNumberFormat="0" applyFont="0" applyAlignment="0" applyProtection="0"/>
    <xf numFmtId="0" fontId="19" fillId="23" borderId="7" applyNumberFormat="0" applyFont="0" applyAlignment="0" applyProtection="0"/>
    <xf numFmtId="0" fontId="19" fillId="53" borderId="7" applyNumberFormat="0" applyFont="0" applyAlignment="0" applyProtection="0"/>
    <xf numFmtId="0" fontId="19" fillId="53" borderId="7" applyNumberFormat="0" applyFont="0" applyAlignment="0" applyProtection="0"/>
    <xf numFmtId="0" fontId="19" fillId="23" borderId="7" applyNumberFormat="0" applyFont="0" applyAlignment="0" applyProtection="0"/>
    <xf numFmtId="0" fontId="4" fillId="53" borderId="26" applyNumberFormat="0" applyFont="0" applyAlignment="0" applyProtection="0"/>
    <xf numFmtId="0" fontId="4" fillId="53" borderId="26" applyNumberFormat="0" applyFont="0" applyAlignment="0" applyProtection="0"/>
    <xf numFmtId="0" fontId="19" fillId="23" borderId="7" applyNumberFormat="0" applyFont="0" applyAlignment="0" applyProtection="0"/>
    <xf numFmtId="0" fontId="4" fillId="53" borderId="26" applyNumberFormat="0" applyFont="0" applyAlignment="0" applyProtection="0"/>
    <xf numFmtId="0" fontId="19" fillId="53" borderId="7" applyNumberFormat="0" applyFont="0" applyAlignment="0" applyProtection="0"/>
    <xf numFmtId="0" fontId="19" fillId="23" borderId="7" applyNumberFormat="0" applyFont="0" applyAlignment="0" applyProtection="0"/>
    <xf numFmtId="0" fontId="6" fillId="23" borderId="7" applyNumberFormat="0" applyFont="0" applyAlignment="0" applyProtection="0"/>
    <xf numFmtId="2" fontId="19" fillId="24" borderId="24" applyFont="0" applyFill="0" applyBorder="0" applyProtection="0">
      <alignment horizontal="center" vertical="center"/>
    </xf>
    <xf numFmtId="2" fontId="19" fillId="24" borderId="24" applyFont="0" applyFill="0" applyBorder="0" applyProtection="0">
      <alignment horizontal="center" vertical="center"/>
    </xf>
    <xf numFmtId="0" fontId="20" fillId="59" borderId="8" applyNumberFormat="0" applyAlignment="0" applyProtection="0"/>
    <xf numFmtId="0" fontId="20" fillId="60" borderId="8" applyNumberFormat="0" applyAlignment="0" applyProtection="0"/>
    <xf numFmtId="0" fontId="20" fillId="60" borderId="8" applyNumberFormat="0" applyAlignment="0" applyProtection="0"/>
    <xf numFmtId="0" fontId="20" fillId="60" borderId="8" applyNumberFormat="0" applyAlignment="0" applyProtection="0"/>
    <xf numFmtId="0" fontId="20" fillId="59" borderId="8" applyNumberFormat="0" applyAlignment="0" applyProtection="0"/>
    <xf numFmtId="0" fontId="20" fillId="60" borderId="8" applyNumberFormat="0" applyAlignment="0" applyProtection="0"/>
    <xf numFmtId="0" fontId="20" fillId="59" borderId="8" applyNumberFormat="0" applyAlignment="0" applyProtection="0"/>
    <xf numFmtId="0" fontId="20" fillId="20" borderId="8" applyNumberFormat="0" applyAlignment="0" applyProtection="0"/>
    <xf numFmtId="0" fontId="20" fillId="59" borderId="8" applyNumberFormat="0" applyAlignment="0" applyProtection="0"/>
    <xf numFmtId="0" fontId="20" fillId="20" borderId="8" applyNumberFormat="0" applyAlignment="0" applyProtection="0"/>
    <xf numFmtId="0" fontId="20" fillId="60" borderId="8" applyNumberFormat="0" applyAlignment="0" applyProtection="0"/>
    <xf numFmtId="0" fontId="20" fillId="60" borderId="8" applyNumberFormat="0" applyAlignment="0" applyProtection="0"/>
    <xf numFmtId="0" fontId="20" fillId="20" borderId="8" applyNumberFormat="0" applyAlignment="0" applyProtection="0"/>
    <xf numFmtId="0" fontId="20" fillId="60" borderId="8" applyNumberFormat="0" applyAlignment="0" applyProtection="0"/>
    <xf numFmtId="0" fontId="20" fillId="59" borderId="8" applyNumberFormat="0" applyAlignment="0" applyProtection="0"/>
    <xf numFmtId="0" fontId="20" fillId="20" borderId="8" applyNumberFormat="0" applyAlignment="0" applyProtection="0"/>
    <xf numFmtId="49" fontId="19" fillId="0" borderId="0" applyNumberFormat="0" applyFont="0" applyFill="0" applyBorder="0" applyAlignment="0">
      <alignment horizontal="centerContinuous"/>
    </xf>
    <xf numFmtId="49" fontId="79" fillId="0" borderId="0" applyNumberFormat="0" applyFont="0" applyFill="0" applyBorder="0" applyAlignment="0">
      <alignment horizontal="centerContinuous"/>
    </xf>
    <xf numFmtId="38" fontId="19" fillId="0" borderId="34" applyNumberFormat="0" applyFont="0" applyFill="0" applyBorder="0" applyAlignment="0">
      <alignment horizontal="center"/>
    </xf>
    <xf numFmtId="38" fontId="79" fillId="0" borderId="34" applyNumberFormat="0" applyFont="0" applyFill="0" applyBorder="0" applyAlignment="0">
      <alignment horizontal="center"/>
    </xf>
    <xf numFmtId="9" fontId="19"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9" fillId="0" borderId="0" applyFont="0" applyFill="0" applyBorder="0" applyAlignment="0" applyProtection="0"/>
    <xf numFmtId="9" fontId="49" fillId="0" borderId="0" applyFont="0" applyFill="0" applyBorder="0" applyAlignment="0" applyProtection="0"/>
    <xf numFmtId="9" fontId="6"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0" fontId="19" fillId="0" borderId="0">
      <protection locked="0"/>
    </xf>
    <xf numFmtId="0" fontId="19" fillId="0" borderId="0">
      <protection locked="0"/>
    </xf>
    <xf numFmtId="0" fontId="19" fillId="0" borderId="0">
      <protection locked="0"/>
    </xf>
    <xf numFmtId="0" fontId="19" fillId="0" borderId="0">
      <protection locked="0"/>
    </xf>
    <xf numFmtId="0" fontId="19" fillId="0" borderId="0">
      <protection locked="0"/>
    </xf>
    <xf numFmtId="0" fontId="80" fillId="0" borderId="0">
      <protection locked="0"/>
    </xf>
    <xf numFmtId="0" fontId="80" fillId="0" borderId="0">
      <protection locked="0"/>
    </xf>
    <xf numFmtId="0" fontId="19" fillId="0" borderId="0">
      <protection locked="0"/>
    </xf>
    <xf numFmtId="0" fontId="19" fillId="0" borderId="0">
      <protection locked="0"/>
    </xf>
    <xf numFmtId="0" fontId="19" fillId="0" borderId="0">
      <protection locked="0"/>
    </xf>
    <xf numFmtId="0" fontId="19" fillId="0" borderId="0">
      <protection locked="0"/>
    </xf>
    <xf numFmtId="0" fontId="19" fillId="0" borderId="0">
      <protection locked="0"/>
    </xf>
    <xf numFmtId="0" fontId="28" fillId="0" borderId="0">
      <protection locked="0"/>
    </xf>
    <xf numFmtId="0" fontId="28" fillId="0" borderId="0">
      <protection locked="0"/>
    </xf>
    <xf numFmtId="217" fontId="52" fillId="0" borderId="0">
      <protection locked="0"/>
    </xf>
    <xf numFmtId="9" fontId="50" fillId="0" borderId="0" applyFont="0" applyFill="0" applyBorder="0" applyAlignment="0" applyProtection="0"/>
    <xf numFmtId="9" fontId="19" fillId="0" borderId="0" applyFont="0" applyFill="0" applyBorder="0" applyAlignment="0" applyProtection="0"/>
    <xf numFmtId="217" fontId="52" fillId="0" borderId="0">
      <protection locked="0"/>
    </xf>
    <xf numFmtId="9" fontId="50" fillId="0" borderId="0" applyFont="0" applyFill="0" applyBorder="0" applyAlignment="0" applyProtection="0"/>
    <xf numFmtId="9" fontId="19" fillId="0" borderId="0" applyFont="0" applyFill="0" applyBorder="0" applyAlignment="0" applyProtection="0"/>
    <xf numFmtId="217" fontId="52" fillId="0" borderId="0">
      <protection locked="0"/>
    </xf>
    <xf numFmtId="9" fontId="19" fillId="0" borderId="0" applyFont="0" applyFill="0" applyBorder="0" applyAlignment="0" applyProtection="0"/>
    <xf numFmtId="217" fontId="52" fillId="0" borderId="0">
      <protection locked="0"/>
    </xf>
    <xf numFmtId="9" fontId="19" fillId="0" borderId="0" applyFont="0" applyFill="0" applyBorder="0" applyAlignment="0" applyProtection="0"/>
    <xf numFmtId="217" fontId="52" fillId="0" borderId="0">
      <protection locked="0"/>
    </xf>
    <xf numFmtId="217" fontId="52" fillId="0" borderId="0">
      <protection locked="0"/>
    </xf>
    <xf numFmtId="9" fontId="6"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4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6"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6" fillId="0" borderId="0" applyFont="0" applyFill="0" applyBorder="0" applyAlignment="0" applyProtection="0"/>
    <xf numFmtId="218" fontId="19" fillId="0" borderId="0" applyFont="0" applyFill="0" applyBorder="0" applyProtection="0">
      <alignment horizontal="right"/>
    </xf>
    <xf numFmtId="218" fontId="19" fillId="0" borderId="0" applyFont="0" applyFill="0" applyBorder="0" applyProtection="0">
      <alignment horizontal="right"/>
    </xf>
    <xf numFmtId="192" fontId="81" fillId="0" borderId="0" applyNumberFormat="0" applyFill="0" applyBorder="0" applyAlignment="0" applyProtection="0"/>
    <xf numFmtId="0" fontId="82" fillId="0" borderId="0" applyProtection="0">
      <alignment horizontal="center" vertical="center" wrapText="1"/>
    </xf>
    <xf numFmtId="0" fontId="82" fillId="0" borderId="0" applyProtection="0">
      <alignment horizontal="center" vertical="center" wrapText="1"/>
    </xf>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83"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4" fillId="22" borderId="35" applyNumberFormat="0" applyProtection="0">
      <alignment vertical="center"/>
    </xf>
    <xf numFmtId="4" fontId="4" fillId="22" borderId="26"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5" fillId="22" borderId="35" applyNumberFormat="0" applyProtection="0">
      <alignment vertical="center"/>
    </xf>
    <xf numFmtId="4" fontId="86" fillId="27" borderId="26"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4" fillId="22" borderId="35" applyNumberFormat="0" applyProtection="0">
      <alignment horizontal="left" vertical="center" indent="1"/>
    </xf>
    <xf numFmtId="4" fontId="4" fillId="27" borderId="26"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84" fillId="22" borderId="35" applyNumberFormat="0" applyProtection="0">
      <alignment horizontal="left" vertical="top" indent="1"/>
    </xf>
    <xf numFmtId="0" fontId="24" fillId="22" borderId="35" applyNumberFormat="0" applyProtection="0">
      <alignment horizontal="left" vertical="top" indent="1"/>
    </xf>
    <xf numFmtId="0" fontId="84" fillId="22"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4" fillId="69" borderId="0" applyNumberFormat="0" applyProtection="0">
      <alignment horizontal="left" vertical="center" indent="1"/>
    </xf>
    <xf numFmtId="4" fontId="4" fillId="14" borderId="26"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3" borderId="35" applyNumberFormat="0" applyProtection="0">
      <alignment horizontal="right" vertical="center"/>
    </xf>
    <xf numFmtId="4" fontId="36" fillId="3"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3" borderId="35" applyNumberFormat="0" applyProtection="0">
      <alignment horizontal="right" vertical="center"/>
    </xf>
    <xf numFmtId="4" fontId="4" fillId="3"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9" borderId="35" applyNumberFormat="0" applyProtection="0">
      <alignment horizontal="right" vertical="center"/>
    </xf>
    <xf numFmtId="4" fontId="36" fillId="9"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9" borderId="35" applyNumberFormat="0" applyProtection="0">
      <alignment horizontal="right" vertical="center"/>
    </xf>
    <xf numFmtId="4" fontId="4" fillId="70"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7" borderId="35" applyNumberFormat="0" applyProtection="0">
      <alignment horizontal="right" vertical="center"/>
    </xf>
    <xf numFmtId="4" fontId="36" fillId="17"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7" borderId="35" applyNumberFormat="0" applyProtection="0">
      <alignment horizontal="right" vertical="center"/>
    </xf>
    <xf numFmtId="4" fontId="4" fillId="17" borderId="33"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1" borderId="35" applyNumberFormat="0" applyProtection="0">
      <alignment horizontal="right" vertical="center"/>
    </xf>
    <xf numFmtId="4" fontId="36" fillId="11"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1" borderId="35" applyNumberFormat="0" applyProtection="0">
      <alignment horizontal="right" vertical="center"/>
    </xf>
    <xf numFmtId="4" fontId="4" fillId="11"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5" borderId="35" applyNumberFormat="0" applyProtection="0">
      <alignment horizontal="right" vertical="center"/>
    </xf>
    <xf numFmtId="4" fontId="36" fillId="15"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5" borderId="35" applyNumberFormat="0" applyProtection="0">
      <alignment horizontal="right" vertical="center"/>
    </xf>
    <xf numFmtId="4" fontId="4" fillId="15"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9" borderId="35" applyNumberFormat="0" applyProtection="0">
      <alignment horizontal="right" vertical="center"/>
    </xf>
    <xf numFmtId="4" fontId="36" fillId="19"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9" borderId="35" applyNumberFormat="0" applyProtection="0">
      <alignment horizontal="right" vertical="center"/>
    </xf>
    <xf numFmtId="4" fontId="4" fillId="19"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8" borderId="35" applyNumberFormat="0" applyProtection="0">
      <alignment horizontal="right" vertical="center"/>
    </xf>
    <xf numFmtId="4" fontId="36" fillId="18"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8" borderId="35" applyNumberFormat="0" applyProtection="0">
      <alignment horizontal="right" vertical="center"/>
    </xf>
    <xf numFmtId="4" fontId="4" fillId="18"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71" borderId="35" applyNumberFormat="0" applyProtection="0">
      <alignment horizontal="right" vertical="center"/>
    </xf>
    <xf numFmtId="4" fontId="36" fillId="71"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71" borderId="35" applyNumberFormat="0" applyProtection="0">
      <alignment horizontal="right" vertical="center"/>
    </xf>
    <xf numFmtId="4" fontId="4" fillId="71"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0" borderId="35" applyNumberFormat="0" applyProtection="0">
      <alignment horizontal="right" vertical="center"/>
    </xf>
    <xf numFmtId="4" fontId="36" fillId="10"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0" borderId="35" applyNumberFormat="0" applyProtection="0">
      <alignment horizontal="right" vertical="center"/>
    </xf>
    <xf numFmtId="4" fontId="4" fillId="10"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4" fillId="72" borderId="36" applyNumberFormat="0" applyProtection="0">
      <alignment horizontal="left" vertical="center" indent="1"/>
    </xf>
    <xf numFmtId="4" fontId="4" fillId="72" borderId="33"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73" borderId="0" applyNumberFormat="0" applyProtection="0">
      <alignment horizontal="left" vertical="center" indent="1"/>
    </xf>
    <xf numFmtId="4" fontId="36" fillId="73" borderId="0"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4" fontId="36" fillId="73" borderId="0" applyNumberFormat="0" applyProtection="0">
      <alignment horizontal="left" vertical="center" indent="1"/>
    </xf>
    <xf numFmtId="4" fontId="19" fillId="74" borderId="33"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7" fillId="74" borderId="0" applyNumberFormat="0" applyProtection="0">
      <alignment horizontal="left" vertical="center" indent="1"/>
    </xf>
    <xf numFmtId="4" fontId="19" fillId="74" borderId="33"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69" borderId="35" applyNumberFormat="0" applyProtection="0">
      <alignment horizontal="right" vertical="center"/>
    </xf>
    <xf numFmtId="4" fontId="36" fillId="69"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69" borderId="35" applyNumberFormat="0" applyProtection="0">
      <alignment horizontal="right" vertical="center"/>
    </xf>
    <xf numFmtId="4" fontId="4" fillId="69"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73" borderId="0" applyNumberFormat="0" applyProtection="0">
      <alignment horizontal="left" vertical="center" indent="1"/>
    </xf>
    <xf numFmtId="4" fontId="4" fillId="73" borderId="33" applyNumberFormat="0" applyProtection="0">
      <alignment horizontal="left" vertical="center" indent="1"/>
    </xf>
    <xf numFmtId="4" fontId="36" fillId="73" borderId="0" applyNumberFormat="0" applyProtection="0">
      <alignment horizontal="left" vertical="center" indent="1"/>
    </xf>
    <xf numFmtId="4" fontId="36" fillId="73" borderId="0" applyNumberFormat="0" applyProtection="0">
      <alignment horizontal="left" vertical="center" indent="1"/>
    </xf>
    <xf numFmtId="4" fontId="36" fillId="73" borderId="0" applyNumberFormat="0" applyProtection="0">
      <alignment horizontal="left" vertical="center" indent="1"/>
    </xf>
    <xf numFmtId="4" fontId="36" fillId="73" borderId="0" applyNumberFormat="0" applyProtection="0">
      <alignment horizontal="left" vertical="center" indent="1"/>
    </xf>
    <xf numFmtId="0" fontId="19" fillId="0" borderId="0"/>
    <xf numFmtId="0" fontId="19" fillId="0" borderId="0"/>
    <xf numFmtId="0" fontId="19" fillId="0" borderId="0"/>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4" fontId="36" fillId="69" borderId="0" applyNumberFormat="0" applyProtection="0">
      <alignment horizontal="left" vertical="center" indent="1"/>
    </xf>
    <xf numFmtId="4" fontId="4" fillId="69" borderId="33"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4" borderId="35" applyNumberFormat="0" applyProtection="0">
      <alignment horizontal="left" vertical="center" indent="1"/>
    </xf>
    <xf numFmtId="0" fontId="4" fillId="20" borderId="26" applyNumberFormat="0" applyProtection="0">
      <alignment horizontal="left" vertical="center" indent="1"/>
    </xf>
    <xf numFmtId="0" fontId="19" fillId="74"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4" borderId="35" applyNumberFormat="0" applyProtection="0">
      <alignment horizontal="left" vertical="top" indent="1"/>
    </xf>
    <xf numFmtId="0" fontId="4" fillId="74" borderId="35" applyNumberFormat="0" applyProtection="0">
      <alignment horizontal="left" vertical="top" indent="1"/>
    </xf>
    <xf numFmtId="0" fontId="19" fillId="74"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69" borderId="35" applyNumberFormat="0" applyProtection="0">
      <alignment horizontal="left" vertical="center" indent="1"/>
    </xf>
    <xf numFmtId="0" fontId="4" fillId="76" borderId="26" applyNumberFormat="0" applyProtection="0">
      <alignment horizontal="left" vertical="center" indent="1"/>
    </xf>
    <xf numFmtId="0" fontId="19" fillId="69"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69" borderId="35" applyNumberFormat="0" applyProtection="0">
      <alignment horizontal="left" vertical="top" indent="1"/>
    </xf>
    <xf numFmtId="0" fontId="4" fillId="69" borderId="35" applyNumberFormat="0" applyProtection="0">
      <alignment horizontal="left" vertical="top" indent="1"/>
    </xf>
    <xf numFmtId="0" fontId="19" fillId="69"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 borderId="35" applyNumberFormat="0" applyProtection="0">
      <alignment horizontal="left" vertical="center" indent="1"/>
    </xf>
    <xf numFmtId="0" fontId="4" fillId="8" borderId="26" applyNumberFormat="0" applyProtection="0">
      <alignment horizontal="left" vertical="center" indent="1"/>
    </xf>
    <xf numFmtId="0" fontId="19" fillId="8"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 borderId="35" applyNumberFormat="0" applyProtection="0">
      <alignment horizontal="left" vertical="top" indent="1"/>
    </xf>
    <xf numFmtId="0" fontId="4" fillId="8" borderId="35" applyNumberFormat="0" applyProtection="0">
      <alignment horizontal="left" vertical="top" indent="1"/>
    </xf>
    <xf numFmtId="0" fontId="19" fillId="8"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3" borderId="35" applyNumberFormat="0" applyProtection="0">
      <alignment horizontal="left" vertical="center" indent="1"/>
    </xf>
    <xf numFmtId="0" fontId="4" fillId="73" borderId="26" applyNumberFormat="0" applyProtection="0">
      <alignment horizontal="left" vertical="center" indent="1"/>
    </xf>
    <xf numFmtId="0" fontId="19" fillId="73"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3" borderId="35" applyNumberFormat="0" applyProtection="0">
      <alignment horizontal="left" vertical="top" indent="1"/>
    </xf>
    <xf numFmtId="0" fontId="4" fillId="73" borderId="35" applyNumberFormat="0" applyProtection="0">
      <alignment horizontal="left" vertical="top" indent="1"/>
    </xf>
    <xf numFmtId="0" fontId="19" fillId="73"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7" borderId="24" applyNumberFormat="0">
      <protection locked="0"/>
    </xf>
    <xf numFmtId="0" fontId="4" fillId="77" borderId="37" applyNumberFormat="0">
      <protection locked="0"/>
    </xf>
    <xf numFmtId="0" fontId="19" fillId="77" borderId="24" applyNumberFormat="0">
      <protection locked="0"/>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5" fillId="74" borderId="38" applyBorder="0"/>
    <xf numFmtId="0" fontId="19" fillId="0" borderId="0"/>
    <xf numFmtId="0" fontId="19" fillId="0" borderId="0"/>
    <xf numFmtId="0" fontId="19" fillId="0" borderId="0"/>
    <xf numFmtId="4" fontId="36" fillId="23" borderId="35" applyNumberFormat="0" applyProtection="0">
      <alignment vertical="center"/>
    </xf>
    <xf numFmtId="4" fontId="36" fillId="23" borderId="35"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23" borderId="35" applyNumberFormat="0" applyProtection="0">
      <alignment vertical="center"/>
    </xf>
    <xf numFmtId="4" fontId="30" fillId="23" borderId="35"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8" fillId="23" borderId="35" applyNumberFormat="0" applyProtection="0">
      <alignment vertical="center"/>
    </xf>
    <xf numFmtId="4" fontId="86" fillId="61" borderId="24"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23" borderId="35" applyNumberFormat="0" applyProtection="0">
      <alignment horizontal="left" vertical="center" indent="1"/>
    </xf>
    <xf numFmtId="4" fontId="36" fillId="23"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4" fontId="36" fillId="23" borderId="35" applyNumberFormat="0" applyProtection="0">
      <alignment horizontal="left" vertical="center" indent="1"/>
    </xf>
    <xf numFmtId="4" fontId="30" fillId="20"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36" fillId="23" borderId="35" applyNumberFormat="0" applyProtection="0">
      <alignment horizontal="left" vertical="top" indent="1"/>
    </xf>
    <xf numFmtId="0" fontId="36" fillId="23"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36" fillId="23" borderId="35" applyNumberFormat="0" applyProtection="0">
      <alignment horizontal="left" vertical="top" indent="1"/>
    </xf>
    <xf numFmtId="0" fontId="30" fillId="23" borderId="35" applyNumberFormat="0" applyProtection="0">
      <alignment horizontal="left" vertical="top" indent="1"/>
    </xf>
    <xf numFmtId="0" fontId="36" fillId="23"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9" fillId="0" borderId="0" applyNumberFormat="0" applyProtection="0">
      <alignment horizontal="right" vertical="center"/>
    </xf>
    <xf numFmtId="0" fontId="19" fillId="0" borderId="0"/>
    <xf numFmtId="0" fontId="19" fillId="0" borderId="0"/>
    <xf numFmtId="4" fontId="36" fillId="73" borderId="35" applyNumberFormat="0" applyProtection="0">
      <alignment horizontal="right" vertical="center"/>
    </xf>
    <xf numFmtId="4" fontId="36" fillId="73" borderId="35" applyNumberFormat="0" applyProtection="0">
      <alignment horizontal="right" vertical="center"/>
    </xf>
    <xf numFmtId="4" fontId="36" fillId="73" borderId="35" applyNumberFormat="0" applyProtection="0">
      <alignment horizontal="right" vertical="center"/>
    </xf>
    <xf numFmtId="4" fontId="4" fillId="0" borderId="26" applyNumberFormat="0" applyProtection="0">
      <alignment horizontal="right" vertical="center"/>
    </xf>
    <xf numFmtId="4" fontId="4" fillId="0"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89" fillId="0" borderId="0" applyNumberFormat="0" applyProtection="0">
      <alignment horizontal="right" vertical="center"/>
    </xf>
    <xf numFmtId="4" fontId="90" fillId="0" borderId="0" applyNumberFormat="0" applyProtection="0">
      <alignment horizontal="right" vertical="center"/>
    </xf>
    <xf numFmtId="0" fontId="19" fillId="0" borderId="0"/>
    <xf numFmtId="0" fontId="19" fillId="0" borderId="0"/>
    <xf numFmtId="4" fontId="88" fillId="73" borderId="35" applyNumberFormat="0" applyProtection="0">
      <alignment horizontal="right" vertical="center"/>
    </xf>
    <xf numFmtId="4" fontId="86" fillId="62" borderId="26" applyNumberFormat="0" applyProtection="0">
      <alignment horizontal="right" vertical="center"/>
    </xf>
    <xf numFmtId="4" fontId="86" fillId="62"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90" fillId="0" borderId="0" applyNumberFormat="0" applyProtection="0">
      <alignment horizontal="right" vertical="center"/>
    </xf>
    <xf numFmtId="4" fontId="90" fillId="0" borderId="0" applyNumberFormat="0" applyProtection="0">
      <alignment horizontal="left" vertical="center" indent="1"/>
    </xf>
    <xf numFmtId="0" fontId="19" fillId="0" borderId="0"/>
    <xf numFmtId="0" fontId="19" fillId="0" borderId="0"/>
    <xf numFmtId="4" fontId="36" fillId="69" borderId="35" applyNumberFormat="0" applyProtection="0">
      <alignment horizontal="left" vertical="center" indent="1"/>
    </xf>
    <xf numFmtId="4" fontId="36" fillId="69" borderId="35" applyNumberFormat="0" applyProtection="0">
      <alignment horizontal="left" vertical="center" indent="1"/>
    </xf>
    <xf numFmtId="4" fontId="36" fillId="69" borderId="35" applyNumberFormat="0" applyProtection="0">
      <alignment horizontal="left" vertical="center" indent="1"/>
    </xf>
    <xf numFmtId="4" fontId="4" fillId="14" borderId="26" applyNumberFormat="0" applyProtection="0">
      <alignment horizontal="left" vertical="center" indent="1"/>
    </xf>
    <xf numFmtId="4" fontId="4" fillId="14" borderId="26"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4" fontId="90" fillId="0" borderId="0" applyNumberFormat="0" applyProtection="0">
      <alignment horizontal="left" vertical="center" indent="1"/>
    </xf>
    <xf numFmtId="0" fontId="19" fillId="0" borderId="0"/>
    <xf numFmtId="0" fontId="19" fillId="0" borderId="0"/>
    <xf numFmtId="0" fontId="19" fillId="0" borderId="0"/>
    <xf numFmtId="0" fontId="36" fillId="69" borderId="35" applyNumberFormat="0" applyProtection="0">
      <alignment horizontal="left" vertical="top" indent="1"/>
    </xf>
    <xf numFmtId="0" fontId="36" fillId="69"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36" fillId="69" borderId="35" applyNumberFormat="0" applyProtection="0">
      <alignment horizontal="left" vertical="top" indent="1"/>
    </xf>
    <xf numFmtId="0" fontId="30" fillId="69" borderId="35" applyNumberFormat="0" applyProtection="0">
      <alignment horizontal="left" vertical="top" indent="1"/>
    </xf>
    <xf numFmtId="0" fontId="36" fillId="69"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91" fillId="78" borderId="0" applyNumberFormat="0" applyProtection="0">
      <alignment horizontal="left" vertical="center" indent="1"/>
    </xf>
    <xf numFmtId="4" fontId="92" fillId="78" borderId="33"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4" fillId="79" borderId="24"/>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93" fillId="73" borderId="35" applyNumberFormat="0" applyProtection="0">
      <alignment horizontal="right" vertical="center"/>
    </xf>
    <xf numFmtId="4" fontId="94" fillId="77"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167" fontId="19" fillId="0" borderId="0" applyFont="0" applyFill="0" applyBorder="0" applyAlignment="0" applyProtection="0"/>
    <xf numFmtId="168" fontId="19" fillId="0" borderId="0" applyFon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19" fillId="0" borderId="39"/>
    <xf numFmtId="0" fontId="62" fillId="0" borderId="39"/>
    <xf numFmtId="0" fontId="19" fillId="0" borderId="0"/>
    <xf numFmtId="0" fontId="19" fillId="0" borderId="0"/>
    <xf numFmtId="0" fontId="19" fillId="0" borderId="0"/>
    <xf numFmtId="0" fontId="19" fillId="0" borderId="0"/>
    <xf numFmtId="0" fontId="19" fillId="0" borderId="0"/>
    <xf numFmtId="0" fontId="36" fillId="0" borderId="0" applyNumberFormat="0" applyBorder="0" applyAlignment="0"/>
    <xf numFmtId="0" fontId="36" fillId="0" borderId="0" applyNumberFormat="0" applyBorder="0" applyAlignment="0"/>
    <xf numFmtId="0" fontId="84" fillId="0" borderId="0" applyNumberFormat="0" applyBorder="0" applyAlignment="0"/>
    <xf numFmtId="0" fontId="84" fillId="0" borderId="0" applyNumberFormat="0" applyBorder="0" applyAlignment="0"/>
    <xf numFmtId="0" fontId="96" fillId="20" borderId="0" applyNumberFormat="0" applyBorder="0" applyAlignment="0"/>
    <xf numFmtId="0" fontId="96" fillId="20" borderId="0" applyNumberFormat="0" applyBorder="0" applyAlignment="0"/>
    <xf numFmtId="0" fontId="97" fillId="20" borderId="0" applyNumberFormat="0" applyBorder="0" applyAlignment="0"/>
    <xf numFmtId="0" fontId="97" fillId="20" borderId="0" applyNumberFormat="0" applyBorder="0" applyAlignment="0"/>
    <xf numFmtId="0" fontId="98" fillId="0" borderId="0" applyNumberFormat="0" applyBorder="0" applyAlignment="0"/>
    <xf numFmtId="0" fontId="98" fillId="0" borderId="0" applyNumberFormat="0" applyBorder="0" applyAlignment="0"/>
    <xf numFmtId="0" fontId="99" fillId="0" borderId="0" applyNumberFormat="0" applyBorder="0" applyAlignment="0"/>
    <xf numFmtId="0" fontId="99" fillId="0" borderId="0" applyNumberFormat="0" applyBorder="0" applyAlignment="0"/>
    <xf numFmtId="0" fontId="87" fillId="20" borderId="0" applyNumberFormat="0" applyBorder="0" applyAlignment="0"/>
    <xf numFmtId="0" fontId="87" fillId="20" borderId="0" applyNumberFormat="0" applyBorder="0" applyAlignment="0"/>
    <xf numFmtId="0" fontId="100" fillId="0" borderId="0" applyNumberFormat="0" applyBorder="0" applyAlignment="0"/>
    <xf numFmtId="0" fontId="100" fillId="0" borderId="0" applyNumberFormat="0" applyBorder="0" applyAlignment="0"/>
    <xf numFmtId="0" fontId="101" fillId="0" borderId="0" applyNumberFormat="0" applyBorder="0" applyAlignment="0"/>
    <xf numFmtId="0" fontId="101" fillId="0" borderId="0" applyNumberFormat="0" applyBorder="0" applyAlignment="0"/>
    <xf numFmtId="0" fontId="96" fillId="0" borderId="0" applyNumberFormat="0" applyBorder="0" applyAlignment="0"/>
    <xf numFmtId="0" fontId="96" fillId="0" borderId="0" applyNumberFormat="0" applyBorder="0" applyAlignment="0"/>
    <xf numFmtId="0" fontId="102" fillId="0" borderId="0" applyNumberFormat="0" applyBorder="0" applyAlignment="0"/>
    <xf numFmtId="0" fontId="102" fillId="0" borderId="0" applyNumberFormat="0" applyBorder="0" applyAlignment="0"/>
    <xf numFmtId="0" fontId="103" fillId="0" borderId="0" applyNumberFormat="0" applyBorder="0" applyAlignment="0"/>
    <xf numFmtId="0" fontId="103" fillId="0" borderId="0" applyNumberFormat="0" applyBorder="0" applyAlignment="0"/>
    <xf numFmtId="38" fontId="28" fillId="24" borderId="40"/>
    <xf numFmtId="37" fontId="28" fillId="80" borderId="24"/>
    <xf numFmtId="37" fontId="28" fillId="80" borderId="24"/>
    <xf numFmtId="37" fontId="28" fillId="80" borderId="24"/>
    <xf numFmtId="37" fontId="28" fillId="80" borderId="24"/>
    <xf numFmtId="37" fontId="28" fillId="80" borderId="24"/>
    <xf numFmtId="1" fontId="29"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9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04"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05"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06"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56"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2" fillId="0" borderId="9" applyNumberFormat="0" applyFill="0" applyAlignment="0" applyProtection="0"/>
    <xf numFmtId="0" fontId="22" fillId="0" borderId="9" applyNumberFormat="0" applyFill="0" applyAlignment="0" applyProtection="0"/>
    <xf numFmtId="3" fontId="28" fillId="81" borderId="23">
      <alignment horizontal="center"/>
    </xf>
    <xf numFmtId="0" fontId="22" fillId="0" borderId="9" applyNumberFormat="0" applyFill="0" applyAlignment="0" applyProtection="0"/>
    <xf numFmtId="3" fontId="28" fillId="81" borderId="23">
      <alignment horizontal="center"/>
    </xf>
    <xf numFmtId="0" fontId="22" fillId="0" borderId="9" applyNumberFormat="0" applyFill="0" applyAlignment="0" applyProtection="0"/>
    <xf numFmtId="3" fontId="28" fillId="81" borderId="23">
      <alignment horizontal="center"/>
    </xf>
    <xf numFmtId="0" fontId="22" fillId="0" borderId="9" applyNumberFormat="0" applyFill="0" applyAlignment="0" applyProtection="0"/>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8" fontId="19" fillId="27" borderId="41"/>
    <xf numFmtId="0" fontId="22" fillId="0" borderId="9" applyNumberFormat="0" applyFill="0" applyAlignment="0" applyProtection="0"/>
    <xf numFmtId="0" fontId="22" fillId="0" borderId="42" applyNumberFormat="0" applyFill="0" applyAlignment="0" applyProtection="0"/>
    <xf numFmtId="3" fontId="28" fillId="81" borderId="23">
      <alignment horizontal="center"/>
    </xf>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9" applyNumberFormat="0" applyFill="0" applyAlignment="0" applyProtection="0"/>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8" fontId="107" fillId="27" borderId="41"/>
    <xf numFmtId="0" fontId="22" fillId="0" borderId="9" applyNumberFormat="0" applyFill="0" applyAlignment="0" applyProtection="0"/>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0" fontId="22" fillId="0" borderId="9" applyNumberFormat="0" applyFill="0" applyAlignment="0" applyProtection="0"/>
    <xf numFmtId="0" fontId="22" fillId="0" borderId="9" applyNumberFormat="0" applyFill="0" applyAlignment="0" applyProtection="0"/>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108" fillId="0" borderId="43"/>
    <xf numFmtId="0" fontId="108" fillId="0" borderId="43"/>
    <xf numFmtId="37" fontId="28" fillId="82" borderId="24">
      <protection locked="0"/>
    </xf>
    <xf numFmtId="37" fontId="28" fillId="82" borderId="24">
      <protection locked="0"/>
    </xf>
    <xf numFmtId="37" fontId="28" fillId="82" borderId="24">
      <protection locked="0"/>
    </xf>
    <xf numFmtId="37" fontId="28" fillId="82" borderId="24">
      <protection locked="0"/>
    </xf>
    <xf numFmtId="37" fontId="28" fillId="82" borderId="24">
      <protection locked="0"/>
    </xf>
    <xf numFmtId="0" fontId="19" fillId="0" borderId="0" applyNumberFormat="0" applyFill="0" applyBorder="0" applyAlignment="0" applyProtection="0"/>
    <xf numFmtId="0" fontId="23"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19"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 fillId="0" borderId="0"/>
    <xf numFmtId="0" fontId="4" fillId="0" borderId="0"/>
    <xf numFmtId="0" fontId="4" fillId="0" borderId="0"/>
    <xf numFmtId="0" fontId="2" fillId="90" borderId="0" applyNumberFormat="0" applyBorder="0" applyAlignment="0" applyProtection="0"/>
    <xf numFmtId="0" fontId="6" fillId="2" borderId="0" applyNumberFormat="0" applyBorder="0" applyAlignment="0" applyProtection="0"/>
    <xf numFmtId="0" fontId="2" fillId="90" borderId="0" applyNumberFormat="0" applyBorder="0" applyAlignment="0" applyProtection="0"/>
    <xf numFmtId="0" fontId="2" fillId="94" borderId="0" applyNumberFormat="0" applyBorder="0" applyAlignment="0" applyProtection="0"/>
    <xf numFmtId="0" fontId="6" fillId="3" borderId="0" applyNumberFormat="0" applyBorder="0" applyAlignment="0" applyProtection="0"/>
    <xf numFmtId="0" fontId="2" fillId="94" borderId="0" applyNumberFormat="0" applyBorder="0" applyAlignment="0" applyProtection="0"/>
    <xf numFmtId="0" fontId="2" fillId="98" borderId="0" applyNumberFormat="0" applyBorder="0" applyAlignment="0" applyProtection="0"/>
    <xf numFmtId="0" fontId="6" fillId="4" borderId="0" applyNumberFormat="0" applyBorder="0" applyAlignment="0" applyProtection="0"/>
    <xf numFmtId="0" fontId="2" fillId="98" borderId="0" applyNumberFormat="0" applyBorder="0" applyAlignment="0" applyProtection="0"/>
    <xf numFmtId="0" fontId="2" fillId="102" borderId="0" applyNumberFormat="0" applyBorder="0" applyAlignment="0" applyProtection="0"/>
    <xf numFmtId="0" fontId="6" fillId="5" borderId="0" applyNumberFormat="0" applyBorder="0" applyAlignment="0" applyProtection="0"/>
    <xf numFmtId="0" fontId="2" fillId="102" borderId="0" applyNumberFormat="0" applyBorder="0" applyAlignment="0" applyProtection="0"/>
    <xf numFmtId="0" fontId="2" fillId="106" borderId="0" applyNumberFormat="0" applyBorder="0" applyAlignment="0" applyProtection="0"/>
    <xf numFmtId="0" fontId="6" fillId="6" borderId="0" applyNumberFormat="0" applyBorder="0" applyAlignment="0" applyProtection="0"/>
    <xf numFmtId="0" fontId="2" fillId="106" borderId="0" applyNumberFormat="0" applyBorder="0" applyAlignment="0" applyProtection="0"/>
    <xf numFmtId="0" fontId="2" fillId="110" borderId="0" applyNumberFormat="0" applyBorder="0" applyAlignment="0" applyProtection="0"/>
    <xf numFmtId="0" fontId="6" fillId="7" borderId="0" applyNumberFormat="0" applyBorder="0" applyAlignment="0" applyProtection="0"/>
    <xf numFmtId="0" fontId="2" fillId="110" borderId="0" applyNumberFormat="0" applyBorder="0" applyAlignment="0" applyProtection="0"/>
    <xf numFmtId="0" fontId="2" fillId="91" borderId="0" applyNumberFormat="0" applyBorder="0" applyAlignment="0" applyProtection="0"/>
    <xf numFmtId="0" fontId="6" fillId="8" borderId="0" applyNumberFormat="0" applyBorder="0" applyAlignment="0" applyProtection="0"/>
    <xf numFmtId="0" fontId="2" fillId="91" borderId="0" applyNumberFormat="0" applyBorder="0" applyAlignment="0" applyProtection="0"/>
    <xf numFmtId="0" fontId="2" fillId="95" borderId="0" applyNumberFormat="0" applyBorder="0" applyAlignment="0" applyProtection="0"/>
    <xf numFmtId="0" fontId="6" fillId="9" borderId="0" applyNumberFormat="0" applyBorder="0" applyAlignment="0" applyProtection="0"/>
    <xf numFmtId="0" fontId="2" fillId="95" borderId="0" applyNumberFormat="0" applyBorder="0" applyAlignment="0" applyProtection="0"/>
    <xf numFmtId="0" fontId="2" fillId="99" borderId="0" applyNumberFormat="0" applyBorder="0" applyAlignment="0" applyProtection="0"/>
    <xf numFmtId="0" fontId="6" fillId="10" borderId="0" applyNumberFormat="0" applyBorder="0" applyAlignment="0" applyProtection="0"/>
    <xf numFmtId="0" fontId="2" fillId="99" borderId="0" applyNumberFormat="0" applyBorder="0" applyAlignment="0" applyProtection="0"/>
    <xf numFmtId="0" fontId="2" fillId="103" borderId="0" applyNumberFormat="0" applyBorder="0" applyAlignment="0" applyProtection="0"/>
    <xf numFmtId="0" fontId="6" fillId="5" borderId="0" applyNumberFormat="0" applyBorder="0" applyAlignment="0" applyProtection="0"/>
    <xf numFmtId="0" fontId="2" fillId="103" borderId="0" applyNumberFormat="0" applyBorder="0" applyAlignment="0" applyProtection="0"/>
    <xf numFmtId="0" fontId="2" fillId="107" borderId="0" applyNumberFormat="0" applyBorder="0" applyAlignment="0" applyProtection="0"/>
    <xf numFmtId="0" fontId="6" fillId="8" borderId="0" applyNumberFormat="0" applyBorder="0" applyAlignment="0" applyProtection="0"/>
    <xf numFmtId="0" fontId="2" fillId="107" borderId="0" applyNumberFormat="0" applyBorder="0" applyAlignment="0" applyProtection="0"/>
    <xf numFmtId="0" fontId="2" fillId="111" borderId="0" applyNumberFormat="0" applyBorder="0" applyAlignment="0" applyProtection="0"/>
    <xf numFmtId="0" fontId="6" fillId="11" borderId="0" applyNumberFormat="0" applyBorder="0" applyAlignment="0" applyProtection="0"/>
    <xf numFmtId="0" fontId="2" fillId="111" borderId="0" applyNumberFormat="0" applyBorder="0" applyAlignment="0" applyProtection="0"/>
    <xf numFmtId="0" fontId="7" fillId="12" borderId="0" applyNumberFormat="0" applyBorder="0" applyAlignment="0" applyProtection="0"/>
    <xf numFmtId="0" fontId="126" fillId="92"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126" fillId="96"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126" fillId="10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126" fillId="104"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126" fillId="108"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126" fillId="112"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38" borderId="0" applyNumberFormat="0" applyBorder="0" applyAlignment="0" applyProtection="0"/>
    <xf numFmtId="0" fontId="126" fillId="89"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44" borderId="0" applyNumberFormat="0" applyBorder="0" applyAlignment="0" applyProtection="0"/>
    <xf numFmtId="0" fontId="126" fillId="9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43" borderId="0" applyNumberFormat="0" applyBorder="0" applyAlignment="0" applyProtection="0"/>
    <xf numFmtId="0" fontId="126" fillId="9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50" borderId="0" applyNumberFormat="0" applyBorder="0" applyAlignment="0" applyProtection="0"/>
    <xf numFmtId="0" fontId="126" fillId="101"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52" borderId="0" applyNumberFormat="0" applyBorder="0" applyAlignment="0" applyProtection="0"/>
    <xf numFmtId="0" fontId="126" fillId="105"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56" borderId="0" applyNumberFormat="0" applyBorder="0" applyAlignment="0" applyProtection="0"/>
    <xf numFmtId="0" fontId="126" fillId="10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39" fillId="41" borderId="0" applyNumberFormat="0" applyBorder="0" applyAlignment="0" applyProtection="0"/>
    <xf numFmtId="0" fontId="118" fillId="85" borderId="0" applyNumberFormat="0" applyBorder="0" applyAlignment="0" applyProtection="0"/>
    <xf numFmtId="0" fontId="8" fillId="3" borderId="0" applyNumberFormat="0" applyBorder="0" applyAlignment="0" applyProtection="0"/>
    <xf numFmtId="0" fontId="117" fillId="84" borderId="0" applyNumberFormat="0" applyBorder="0" applyAlignment="0" applyProtection="0"/>
    <xf numFmtId="0" fontId="9" fillId="20" borderId="1" applyNumberFormat="0" applyAlignment="0" applyProtection="0"/>
    <xf numFmtId="0" fontId="42" fillId="59" borderId="1" applyNumberFormat="0" applyAlignment="0" applyProtection="0"/>
    <xf numFmtId="0" fontId="121" fillId="87" borderId="47" applyNumberFormat="0" applyAlignment="0" applyProtection="0"/>
    <xf numFmtId="0" fontId="9" fillId="20" borderId="1" applyNumberFormat="0" applyAlignment="0" applyProtection="0"/>
    <xf numFmtId="0" fontId="123" fillId="88" borderId="50" applyNumberFormat="0" applyAlignment="0" applyProtection="0"/>
    <xf numFmtId="0" fontId="122" fillId="0" borderId="49" applyNumberFormat="0" applyFill="0" applyAlignment="0" applyProtection="0"/>
    <xf numFmtId="0" fontId="10" fillId="21" borderId="2" applyNumberFormat="0" applyAlignment="0" applyProtection="0"/>
    <xf numFmtId="0" fontId="19" fillId="21" borderId="2" applyNumberFormat="0" applyAlignment="0" applyProtection="0"/>
    <xf numFmtId="183" fontId="19" fillId="0" borderId="0" applyFont="0" applyFill="0" applyBorder="0" applyAlignment="0" applyProtection="0"/>
    <xf numFmtId="168" fontId="4"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50"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84" fontId="19" fillId="0" borderId="0" applyFont="0" applyFill="0" applyBorder="0" applyAlignment="0" applyProtection="0"/>
    <xf numFmtId="167" fontId="2" fillId="0" borderId="0" applyFont="0" applyFill="0" applyBorder="0" applyAlignment="0" applyProtection="0"/>
    <xf numFmtId="181" fontId="19" fillId="0" borderId="0" applyFont="0" applyFill="0" applyBorder="0" applyAlignment="0" applyProtection="0"/>
    <xf numFmtId="167" fontId="2" fillId="0" borderId="0" applyFont="0" applyFill="0" applyBorder="0" applyAlignment="0" applyProtection="0"/>
    <xf numFmtId="181" fontId="19"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8" fontId="4" fillId="0" borderId="0" applyFont="0" applyFill="0" applyBorder="0" applyAlignment="0" applyProtection="0"/>
    <xf numFmtId="167" fontId="2" fillId="0" borderId="0" applyFont="0" applyFill="0" applyBorder="0" applyAlignment="0" applyProtection="0"/>
    <xf numFmtId="167" fontId="50" fillId="0" borderId="0" applyFont="0" applyFill="0" applyBorder="0" applyAlignment="0" applyProtection="0"/>
    <xf numFmtId="167" fontId="2" fillId="0" borderId="0" applyFont="0" applyFill="0" applyBorder="0" applyAlignment="0" applyProtection="0"/>
    <xf numFmtId="167" fontId="50" fillId="0" borderId="0" applyFont="0" applyFill="0" applyBorder="0" applyAlignment="0" applyProtection="0"/>
    <xf numFmtId="167" fontId="2" fillId="0" borderId="0" applyFont="0" applyFill="0" applyBorder="0" applyAlignment="0" applyProtection="0"/>
    <xf numFmtId="168" fontId="19" fillId="0" borderId="0" applyFont="0" applyFill="0" applyBorder="0" applyAlignment="0" applyProtection="0"/>
    <xf numFmtId="167" fontId="2" fillId="0" borderId="0" applyFont="0" applyFill="0" applyBorder="0" applyAlignment="0" applyProtection="0"/>
    <xf numFmtId="168" fontId="19" fillId="0" borderId="0" applyFont="0" applyFill="0" applyBorder="0" applyAlignment="0" applyProtection="0"/>
    <xf numFmtId="167" fontId="2" fillId="0" borderId="0" applyFont="0" applyFill="0" applyBorder="0" applyAlignment="0" applyProtection="0"/>
    <xf numFmtId="181" fontId="19" fillId="0" borderId="0" applyFont="0" applyFill="0" applyBorder="0" applyAlignment="0" applyProtection="0"/>
    <xf numFmtId="167" fontId="2" fillId="0" borderId="0" applyFont="0" applyFill="0" applyBorder="0" applyAlignment="0" applyProtection="0"/>
    <xf numFmtId="168" fontId="4"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2"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 fillId="0" borderId="0" applyFont="0" applyFill="0" applyBorder="0" applyAlignment="0" applyProtection="0"/>
    <xf numFmtId="167" fontId="25" fillId="0" borderId="0" applyFont="0" applyFill="0" applyBorder="0" applyAlignment="0" applyProtection="0"/>
    <xf numFmtId="167" fontId="2" fillId="0" borderId="0" applyFont="0" applyFill="0" applyBorder="0" applyAlignment="0" applyProtection="0"/>
    <xf numFmtId="168" fontId="19" fillId="0" borderId="0" applyFont="0" applyFill="0" applyBorder="0" applyAlignment="0" applyProtection="0"/>
    <xf numFmtId="167" fontId="25" fillId="0" borderId="0" applyFont="0" applyFill="0" applyBorder="0" applyAlignment="0" applyProtection="0"/>
    <xf numFmtId="168" fontId="19"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 fillId="0" borderId="0" applyFont="0" applyFill="0" applyBorder="0" applyAlignment="0" applyProtection="0"/>
    <xf numFmtId="0" fontId="116" fillId="0" borderId="0" applyNumberFormat="0" applyFill="0" applyBorder="0" applyAlignment="0" applyProtection="0"/>
    <xf numFmtId="0" fontId="119" fillId="86" borderId="47" applyNumberFormat="0" applyAlignment="0" applyProtection="0"/>
    <xf numFmtId="195" fontId="59" fillId="0" borderId="0" applyFont="0" applyFill="0" applyBorder="0" applyAlignment="0" applyProtection="0"/>
    <xf numFmtId="0" fontId="19" fillId="0" borderId="0" applyFont="0" applyFill="0" applyBorder="0" applyAlignment="0" applyProtection="0"/>
    <xf numFmtId="0" fontId="11" fillId="0" borderId="0" applyNumberFormat="0" applyFill="0" applyBorder="0" applyAlignment="0" applyProtection="0"/>
    <xf numFmtId="0" fontId="60"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9" fillId="4" borderId="0" applyNumberFormat="0" applyBorder="0" applyAlignment="0" applyProtection="0"/>
    <xf numFmtId="0" fontId="13" fillId="0" borderId="3" applyNumberFormat="0" applyFill="0" applyAlignment="0" applyProtection="0"/>
    <xf numFmtId="0" fontId="64" fillId="0" borderId="27" applyNumberFormat="0" applyFill="0" applyAlignment="0" applyProtection="0"/>
    <xf numFmtId="0" fontId="114" fillId="0" borderId="44"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65" fillId="0" borderId="4" applyNumberFormat="0" applyFill="0" applyAlignment="0" applyProtection="0"/>
    <xf numFmtId="0" fontId="115" fillId="0" borderId="45"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66" fillId="0" borderId="29" applyNumberFormat="0" applyFill="0" applyAlignment="0" applyProtection="0"/>
    <xf numFmtId="0" fontId="116" fillId="0" borderId="46"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9" fillId="0" borderId="0" applyNumberFormat="0" applyFill="0" applyBorder="0" applyAlignment="0" applyProtection="0"/>
    <xf numFmtId="0" fontId="127" fillId="0" borderId="0" applyNumberFormat="0" applyFill="0" applyBorder="0" applyAlignment="0" applyProtection="0"/>
    <xf numFmtId="0" fontId="16" fillId="7" borderId="1" applyNumberFormat="0" applyAlignment="0" applyProtection="0"/>
    <xf numFmtId="0" fontId="19" fillId="7" borderId="1" applyNumberFormat="0" applyAlignment="0" applyProtection="0"/>
    <xf numFmtId="0" fontId="17" fillId="0" borderId="6" applyNumberFormat="0" applyFill="0" applyAlignment="0" applyProtection="0"/>
    <xf numFmtId="0" fontId="19" fillId="0" borderId="6" applyNumberFormat="0" applyFill="0" applyAlignment="0" applyProtection="0"/>
    <xf numFmtId="0" fontId="18" fillId="22" borderId="0" applyNumberFormat="0" applyBorder="0" applyAlignment="0" applyProtection="0"/>
    <xf numFmtId="0" fontId="18" fillId="54" borderId="0" applyNumberFormat="0" applyBorder="0" applyAlignment="0" applyProtection="0"/>
    <xf numFmtId="0" fontId="25" fillId="0" borderId="0"/>
    <xf numFmtId="0" fontId="4" fillId="0" borderId="0"/>
    <xf numFmtId="0" fontId="25" fillId="0" borderId="0"/>
    <xf numFmtId="0" fontId="4" fillId="0" borderId="0"/>
    <xf numFmtId="0" fontId="2" fillId="0" borderId="0"/>
    <xf numFmtId="0" fontId="4" fillId="0" borderId="0"/>
    <xf numFmtId="0" fontId="2" fillId="0" borderId="0"/>
    <xf numFmtId="0" fontId="4" fillId="0" borderId="0"/>
    <xf numFmtId="0" fontId="25" fillId="0" borderId="0"/>
    <xf numFmtId="0" fontId="4" fillId="0" borderId="0"/>
    <xf numFmtId="0" fontId="25" fillId="0" borderId="0"/>
    <xf numFmtId="0" fontId="4" fillId="0" borderId="0"/>
    <xf numFmtId="0" fontId="25" fillId="0" borderId="0"/>
    <xf numFmtId="0" fontId="4" fillId="0" borderId="0"/>
    <xf numFmtId="0" fontId="4" fillId="0" borderId="0"/>
    <xf numFmtId="0" fontId="50" fillId="0" borderId="0"/>
    <xf numFmtId="0" fontId="50" fillId="0" borderId="0"/>
    <xf numFmtId="0" fontId="4" fillId="0" borderId="0"/>
    <xf numFmtId="0" fontId="25" fillId="0" borderId="0"/>
    <xf numFmtId="0" fontId="50" fillId="0" borderId="0"/>
    <xf numFmtId="0" fontId="50" fillId="0" borderId="0"/>
    <xf numFmtId="0" fontId="50" fillId="0" borderId="0"/>
    <xf numFmtId="0" fontId="19" fillId="0" borderId="0"/>
    <xf numFmtId="0" fontId="19" fillId="0" borderId="0"/>
    <xf numFmtId="0" fontId="19" fillId="0" borderId="0"/>
    <xf numFmtId="0" fontId="19" fillId="0" borderId="0"/>
    <xf numFmtId="0" fontId="50" fillId="0" borderId="0"/>
    <xf numFmtId="0" fontId="19" fillId="0" borderId="0"/>
    <xf numFmtId="0" fontId="25" fillId="0" borderId="0"/>
    <xf numFmtId="0" fontId="19" fillId="0" borderId="0"/>
    <xf numFmtId="0" fontId="25" fillId="0" borderId="0"/>
    <xf numFmtId="0" fontId="19" fillId="0" borderId="0"/>
    <xf numFmtId="0" fontId="2" fillId="0" borderId="0"/>
    <xf numFmtId="0" fontId="25" fillId="0" borderId="0"/>
    <xf numFmtId="0" fontId="19" fillId="0" borderId="0"/>
    <xf numFmtId="0" fontId="19"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5" fillId="0" borderId="0"/>
    <xf numFmtId="0" fontId="19" fillId="0" borderId="0"/>
    <xf numFmtId="0" fontId="19" fillId="0" borderId="0"/>
    <xf numFmtId="0" fontId="25" fillId="0" borderId="0"/>
    <xf numFmtId="0" fontId="50" fillId="0" borderId="0"/>
    <xf numFmtId="0" fontId="25" fillId="0" borderId="0"/>
    <xf numFmtId="0" fontId="25" fillId="0" borderId="0"/>
    <xf numFmtId="0" fontId="25" fillId="0" borderId="0"/>
    <xf numFmtId="0" fontId="19" fillId="0" borderId="0"/>
    <xf numFmtId="0" fontId="25" fillId="0" borderId="0"/>
    <xf numFmtId="0" fontId="19" fillId="0" borderId="0"/>
    <xf numFmtId="0" fontId="25" fillId="0" borderId="0"/>
    <xf numFmtId="0" fontId="19" fillId="0" borderId="0"/>
    <xf numFmtId="0" fontId="58" fillId="0" borderId="0"/>
    <xf numFmtId="0" fontId="58" fillId="0" borderId="0"/>
    <xf numFmtId="0" fontId="58" fillId="0" borderId="0"/>
    <xf numFmtId="0" fontId="58" fillId="0" borderId="0"/>
    <xf numFmtId="0" fontId="2" fillId="0" borderId="0"/>
    <xf numFmtId="0" fontId="19" fillId="0" borderId="0"/>
    <xf numFmtId="0" fontId="19" fillId="0" borderId="0"/>
    <xf numFmtId="0" fontId="19" fillId="0" borderId="0"/>
    <xf numFmtId="0" fontId="2" fillId="0" borderId="0"/>
    <xf numFmtId="0" fontId="2" fillId="0" borderId="0"/>
    <xf numFmtId="0" fontId="19" fillId="0" borderId="0"/>
    <xf numFmtId="0" fontId="2" fillId="0" borderId="0"/>
    <xf numFmtId="0" fontId="19" fillId="0" borderId="0"/>
    <xf numFmtId="0" fontId="2" fillId="0" borderId="0"/>
    <xf numFmtId="0" fontId="19" fillId="0" borderId="0"/>
    <xf numFmtId="0" fontId="2" fillId="0" borderId="0"/>
    <xf numFmtId="0" fontId="19" fillId="0" borderId="0"/>
    <xf numFmtId="0" fontId="19" fillId="0" borderId="0">
      <alignment wrapText="1"/>
    </xf>
    <xf numFmtId="0" fontId="2" fillId="0" borderId="0"/>
    <xf numFmtId="0" fontId="2" fillId="0" borderId="0"/>
    <xf numFmtId="0" fontId="2" fillId="0" borderId="0"/>
    <xf numFmtId="0" fontId="19" fillId="0" borderId="0"/>
    <xf numFmtId="0" fontId="2" fillId="0" borderId="0"/>
    <xf numFmtId="0" fontId="6" fillId="0" borderId="0"/>
    <xf numFmtId="0" fontId="2" fillId="0" borderId="0"/>
    <xf numFmtId="0" fontId="4" fillId="0" borderId="0"/>
    <xf numFmtId="0" fontId="2" fillId="0" borderId="0"/>
    <xf numFmtId="195" fontId="2" fillId="0" borderId="0"/>
    <xf numFmtId="0" fontId="2" fillId="0" borderId="0"/>
    <xf numFmtId="0" fontId="19" fillId="0" borderId="0"/>
    <xf numFmtId="0" fontId="2" fillId="0" borderId="0"/>
    <xf numFmtId="0" fontId="19" fillId="0" borderId="0"/>
    <xf numFmtId="0" fontId="25" fillId="0" borderId="0"/>
    <xf numFmtId="0" fontId="19" fillId="0" borderId="0"/>
    <xf numFmtId="0" fontId="19" fillId="0" borderId="0"/>
    <xf numFmtId="0" fontId="25" fillId="0" borderId="0"/>
    <xf numFmtId="0" fontId="19" fillId="0" borderId="0" applyNumberFormat="0" applyFont="0" applyFill="0" applyBorder="0" applyAlignment="0" applyProtection="0">
      <alignment vertical="top"/>
    </xf>
    <xf numFmtId="0" fontId="25" fillId="0" borderId="0"/>
    <xf numFmtId="0" fontId="19" fillId="0" borderId="0"/>
    <xf numFmtId="0" fontId="25"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25" fillId="0" borderId="0"/>
    <xf numFmtId="0" fontId="19" fillId="0" borderId="0"/>
    <xf numFmtId="0" fontId="19" fillId="0" borderId="0"/>
    <xf numFmtId="0" fontId="25" fillId="0" borderId="0"/>
    <xf numFmtId="0" fontId="19" fillId="0" borderId="0" applyNumberFormat="0" applyFont="0" applyFill="0" applyBorder="0" applyAlignment="0" applyProtection="0">
      <alignment vertical="top"/>
    </xf>
    <xf numFmtId="0" fontId="25" fillId="0" borderId="0"/>
    <xf numFmtId="0" fontId="19" fillId="0" borderId="0"/>
    <xf numFmtId="0" fontId="25"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4" fillId="0" borderId="0"/>
    <xf numFmtId="0" fontId="4" fillId="0" borderId="0"/>
    <xf numFmtId="0" fontId="25" fillId="0" borderId="0"/>
    <xf numFmtId="0" fontId="25" fillId="0" borderId="0"/>
    <xf numFmtId="0" fontId="4" fillId="0" borderId="0"/>
    <xf numFmtId="0" fontId="25" fillId="0" borderId="0"/>
    <xf numFmtId="0" fontId="4" fillId="0" borderId="0"/>
    <xf numFmtId="0" fontId="25" fillId="0" borderId="0"/>
    <xf numFmtId="0" fontId="4" fillId="0" borderId="0"/>
    <xf numFmtId="0" fontId="25" fillId="0" borderId="0"/>
    <xf numFmtId="0" fontId="25" fillId="0" borderId="0"/>
    <xf numFmtId="0" fontId="19" fillId="0" borderId="0"/>
    <xf numFmtId="0" fontId="19" fillId="0" borderId="0"/>
    <xf numFmtId="0" fontId="19" fillId="0" borderId="0"/>
    <xf numFmtId="0" fontId="4" fillId="0" borderId="0"/>
    <xf numFmtId="0" fontId="4" fillId="0" borderId="0"/>
    <xf numFmtId="0" fontId="19" fillId="0" borderId="0"/>
    <xf numFmtId="0" fontId="19" fillId="0" borderId="0"/>
    <xf numFmtId="0" fontId="4" fillId="0" borderId="0"/>
    <xf numFmtId="0" fontId="19" fillId="0" borderId="0"/>
    <xf numFmtId="0" fontId="4"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2" fillId="0" borderId="0"/>
    <xf numFmtId="0" fontId="19" fillId="0" borderId="0" applyNumberFormat="0" applyFont="0" applyFill="0" applyBorder="0" applyAlignment="0" applyProtection="0">
      <alignment vertical="top"/>
    </xf>
    <xf numFmtId="0" fontId="19" fillId="23" borderId="7" applyNumberFormat="0" applyFont="0" applyAlignment="0" applyProtection="0"/>
    <xf numFmtId="0" fontId="19" fillId="53" borderId="7" applyNumberFormat="0" applyFont="0" applyAlignment="0" applyProtection="0"/>
    <xf numFmtId="0" fontId="2" fillId="26" borderId="21" applyNumberFormat="0" applyFont="0" applyAlignment="0" applyProtection="0"/>
    <xf numFmtId="0" fontId="2" fillId="26" borderId="21" applyNumberFormat="0" applyFont="0" applyAlignment="0" applyProtection="0"/>
    <xf numFmtId="0" fontId="2" fillId="26" borderId="21" applyNumberFormat="0" applyFont="0" applyAlignment="0" applyProtection="0"/>
    <xf numFmtId="0" fontId="20" fillId="20" borderId="8" applyNumberFormat="0" applyAlignment="0" applyProtection="0"/>
    <xf numFmtId="0" fontId="20" fillId="59" borderId="8" applyNumberFormat="0" applyAlignment="0" applyProtection="0"/>
    <xf numFmtId="0" fontId="120" fillId="87" borderId="48" applyNumberFormat="0" applyAlignment="0" applyProtection="0"/>
    <xf numFmtId="0" fontId="20" fillId="20" borderId="8" applyNumberFormat="0" applyAlignment="0" applyProtection="0"/>
    <xf numFmtId="0" fontId="124" fillId="0" borderId="0" applyNumberFormat="0" applyFill="0" applyBorder="0" applyAlignment="0" applyProtection="0"/>
    <xf numFmtId="0" fontId="21" fillId="0" borderId="0" applyNumberFormat="0" applyFill="0" applyBorder="0" applyAlignment="0" applyProtection="0"/>
    <xf numFmtId="0" fontId="113" fillId="0" borderId="0" applyNumberFormat="0" applyFill="0" applyBorder="0" applyAlignment="0" applyProtection="0"/>
    <xf numFmtId="0" fontId="21" fillId="0" borderId="0" applyNumberFormat="0" applyFill="0" applyBorder="0" applyAlignment="0" applyProtection="0"/>
    <xf numFmtId="0" fontId="22" fillId="0" borderId="9" applyNumberFormat="0" applyFill="0" applyAlignment="0" applyProtection="0"/>
    <xf numFmtId="0" fontId="22" fillId="0" borderId="42" applyNumberFormat="0" applyFill="0" applyAlignment="0" applyProtection="0"/>
    <xf numFmtId="0" fontId="125" fillId="0" borderId="51" applyNumberFormat="0" applyFill="0" applyAlignment="0" applyProtection="0"/>
    <xf numFmtId="0" fontId="19" fillId="0" borderId="0" applyNumberForma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20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6" borderId="2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0" fontId="128" fillId="0" borderId="0"/>
    <xf numFmtId="0" fontId="19" fillId="0" borderId="0"/>
  </cellStyleXfs>
  <cellXfs count="381">
    <xf numFmtId="0" fontId="0" fillId="0" borderId="0" xfId="0"/>
    <xf numFmtId="169" fontId="0" fillId="0" borderId="0" xfId="0" applyNumberFormat="1" applyFont="1"/>
    <xf numFmtId="172" fontId="0" fillId="0" borderId="0" xfId="0" applyNumberFormat="1" applyFont="1"/>
    <xf numFmtId="0" fontId="0" fillId="25" borderId="17" xfId="0" applyFill="1" applyBorder="1"/>
    <xf numFmtId="0" fontId="3" fillId="0" borderId="20" xfId="0" applyFont="1" applyBorder="1"/>
    <xf numFmtId="0" fontId="3" fillId="25" borderId="15" xfId="0" applyFont="1" applyFill="1" applyBorder="1"/>
    <xf numFmtId="0" fontId="3" fillId="25" borderId="13" xfId="0" applyFont="1" applyFill="1" applyBorder="1"/>
    <xf numFmtId="0" fontId="3" fillId="25" borderId="10" xfId="0" applyFont="1" applyFill="1" applyBorder="1"/>
    <xf numFmtId="169" fontId="0" fillId="25" borderId="16" xfId="0" applyNumberFormat="1" applyFont="1" applyFill="1" applyBorder="1"/>
    <xf numFmtId="0" fontId="0" fillId="25" borderId="14" xfId="0" applyFill="1" applyBorder="1"/>
    <xf numFmtId="169" fontId="0" fillId="25" borderId="0" xfId="0" applyNumberFormat="1" applyFont="1" applyFill="1" applyBorder="1"/>
    <xf numFmtId="0" fontId="0" fillId="25" borderId="12" xfId="0" applyFill="1" applyBorder="1"/>
    <xf numFmtId="0" fontId="0" fillId="25" borderId="11" xfId="0" applyFill="1" applyBorder="1"/>
    <xf numFmtId="0" fontId="0" fillId="0" borderId="0" xfId="0"/>
    <xf numFmtId="0" fontId="32" fillId="0" borderId="0" xfId="0" applyFont="1" applyBorder="1"/>
    <xf numFmtId="0" fontId="0" fillId="0" borderId="0" xfId="0" applyFill="1" applyBorder="1"/>
    <xf numFmtId="0" fontId="32" fillId="0" borderId="0" xfId="0" applyNumberFormat="1" applyFont="1" applyFill="1" applyBorder="1"/>
    <xf numFmtId="14" fontId="32" fillId="0" borderId="0" xfId="0" applyNumberFormat="1" applyFont="1" applyBorder="1"/>
    <xf numFmtId="0" fontId="32" fillId="0" borderId="0" xfId="0" applyFont="1" applyFill="1" applyBorder="1"/>
    <xf numFmtId="171" fontId="0" fillId="0" borderId="0" xfId="0" applyNumberFormat="1"/>
    <xf numFmtId="0" fontId="31" fillId="0" borderId="18" xfId="0" applyFont="1" applyFill="1" applyBorder="1"/>
    <xf numFmtId="0" fontId="0" fillId="0" borderId="19" xfId="0" applyBorder="1"/>
    <xf numFmtId="171" fontId="26" fillId="29" borderId="24" xfId="0" applyNumberFormat="1" applyFont="1" applyFill="1" applyBorder="1" applyAlignment="1">
      <alignment horizontal="center"/>
    </xf>
    <xf numFmtId="9" fontId="0" fillId="0" borderId="0" xfId="0" applyNumberFormat="1"/>
    <xf numFmtId="0" fontId="3" fillId="0" borderId="0" xfId="0" applyFont="1"/>
    <xf numFmtId="4" fontId="24" fillId="0" borderId="24" xfId="44" applyNumberFormat="1" applyFont="1" applyFill="1" applyBorder="1" applyAlignment="1" applyProtection="1">
      <alignment horizontal="right" indent="3"/>
    </xf>
    <xf numFmtId="0" fontId="3" fillId="0" borderId="18" xfId="0" applyFont="1" applyBorder="1"/>
    <xf numFmtId="171" fontId="0" fillId="0" borderId="20" xfId="0" applyNumberFormat="1" applyFont="1" applyBorder="1"/>
    <xf numFmtId="171" fontId="0" fillId="0" borderId="19" xfId="0" applyNumberFormat="1" applyFont="1" applyBorder="1"/>
    <xf numFmtId="0" fontId="3" fillId="0" borderId="18" xfId="0" applyFont="1" applyFill="1" applyBorder="1"/>
    <xf numFmtId="0" fontId="0" fillId="0" borderId="0" xfId="0" quotePrefix="1"/>
    <xf numFmtId="0" fontId="0" fillId="0" borderId="0" xfId="0"/>
    <xf numFmtId="0" fontId="3" fillId="0" borderId="0" xfId="0" applyFont="1"/>
    <xf numFmtId="0" fontId="0" fillId="0" borderId="14" xfId="0" applyBorder="1"/>
    <xf numFmtId="0" fontId="0" fillId="0" borderId="24" xfId="0" applyBorder="1"/>
    <xf numFmtId="4" fontId="0" fillId="0" borderId="0" xfId="0" applyNumberFormat="1"/>
    <xf numFmtId="0" fontId="0" fillId="0" borderId="12" xfId="0" applyBorder="1"/>
    <xf numFmtId="169" fontId="32" fillId="0" borderId="13" xfId="0" applyNumberFormat="1" applyFont="1" applyBorder="1" applyAlignment="1">
      <alignment horizontal="right"/>
    </xf>
    <xf numFmtId="169" fontId="32" fillId="0" borderId="0" xfId="0" applyNumberFormat="1" applyFont="1" applyBorder="1" applyAlignment="1">
      <alignment horizontal="right"/>
    </xf>
    <xf numFmtId="169" fontId="32" fillId="30" borderId="13" xfId="0" applyNumberFormat="1" applyFont="1" applyFill="1" applyBorder="1" applyAlignment="1">
      <alignment horizontal="right"/>
    </xf>
    <xf numFmtId="169" fontId="32" fillId="30" borderId="0" xfId="0" applyNumberFormat="1" applyFont="1" applyFill="1" applyBorder="1" applyAlignment="1">
      <alignment horizontal="right"/>
    </xf>
    <xf numFmtId="169" fontId="32" fillId="0" borderId="15" xfId="0" applyNumberFormat="1" applyFont="1" applyBorder="1" applyAlignment="1">
      <alignment horizontal="right"/>
    </xf>
    <xf numFmtId="169" fontId="32" fillId="0" borderId="16" xfId="0" applyNumberFormat="1" applyFont="1" applyBorder="1" applyAlignment="1">
      <alignment horizontal="right"/>
    </xf>
    <xf numFmtId="0" fontId="32" fillId="0" borderId="10" xfId="0" applyFont="1" applyBorder="1"/>
    <xf numFmtId="0" fontId="32" fillId="0" borderId="12" xfId="0" applyFont="1" applyBorder="1"/>
    <xf numFmtId="0" fontId="32" fillId="30" borderId="13" xfId="0" applyFont="1" applyFill="1" applyBorder="1"/>
    <xf numFmtId="0" fontId="32" fillId="30" borderId="14" xfId="0" applyFont="1" applyFill="1" applyBorder="1"/>
    <xf numFmtId="0" fontId="32" fillId="0" borderId="13" xfId="0" applyFont="1" applyBorder="1"/>
    <xf numFmtId="0" fontId="32" fillId="0" borderId="14" xfId="0" applyFont="1" applyBorder="1"/>
    <xf numFmtId="0" fontId="32" fillId="113" borderId="13" xfId="0" applyFont="1" applyFill="1" applyBorder="1"/>
    <xf numFmtId="0" fontId="32" fillId="113" borderId="14" xfId="0" applyFont="1" applyFill="1" applyBorder="1"/>
    <xf numFmtId="0" fontId="32" fillId="113" borderId="15" xfId="0" applyFont="1" applyFill="1" applyBorder="1"/>
    <xf numFmtId="0" fontId="32" fillId="113" borderId="17" xfId="0" applyFont="1" applyFill="1" applyBorder="1"/>
    <xf numFmtId="0" fontId="26" fillId="116" borderId="18" xfId="0" applyFont="1" applyFill="1" applyBorder="1"/>
    <xf numFmtId="0" fontId="26" fillId="116" borderId="19" xfId="0" applyFont="1" applyFill="1" applyBorder="1"/>
    <xf numFmtId="0" fontId="0" fillId="0" borderId="18" xfId="0" applyBorder="1" applyAlignment="1">
      <alignment horizontal="right"/>
    </xf>
    <xf numFmtId="0" fontId="0" fillId="0" borderId="20" xfId="0" applyBorder="1" applyAlignment="1">
      <alignment horizontal="right"/>
    </xf>
    <xf numFmtId="175" fontId="31" fillId="0" borderId="10" xfId="0" applyNumberFormat="1" applyFont="1" applyFill="1" applyBorder="1" applyAlignment="1">
      <alignment horizontal="right"/>
    </xf>
    <xf numFmtId="175" fontId="31" fillId="0" borderId="11" xfId="0" applyNumberFormat="1" applyFont="1" applyBorder="1" applyAlignment="1">
      <alignment horizontal="right"/>
    </xf>
    <xf numFmtId="175" fontId="31" fillId="0" borderId="11" xfId="0" applyNumberFormat="1" applyFont="1" applyFill="1" applyBorder="1" applyAlignment="1">
      <alignment horizontal="right"/>
    </xf>
    <xf numFmtId="1" fontId="131" fillId="0" borderId="13" xfId="0" applyNumberFormat="1" applyFont="1" applyBorder="1" applyAlignment="1">
      <alignment horizontal="right"/>
    </xf>
    <xf numFmtId="0" fontId="131" fillId="0" borderId="0" xfId="0" applyNumberFormat="1" applyFont="1" applyBorder="1" applyAlignment="1">
      <alignment horizontal="right"/>
    </xf>
    <xf numFmtId="0" fontId="33" fillId="0" borderId="15" xfId="0" applyFont="1" applyFill="1" applyBorder="1"/>
    <xf numFmtId="14" fontId="3" fillId="0" borderId="17" xfId="0" applyNumberFormat="1" applyFont="1" applyBorder="1" applyAlignment="1">
      <alignment vertical="center" wrapText="1"/>
    </xf>
    <xf numFmtId="0" fontId="0" fillId="0" borderId="10" xfId="0" applyBorder="1"/>
    <xf numFmtId="0" fontId="3" fillId="0" borderId="13" xfId="0" applyFont="1" applyBorder="1" applyAlignment="1">
      <alignment vertical="center" wrapText="1"/>
    </xf>
    <xf numFmtId="14" fontId="3" fillId="0" borderId="14" xfId="0" applyNumberFormat="1" applyFont="1" applyBorder="1" applyAlignment="1">
      <alignment vertical="center" wrapText="1"/>
    </xf>
    <xf numFmtId="0" fontId="0" fillId="0" borderId="22" xfId="0" applyBorder="1"/>
    <xf numFmtId="0" fontId="25" fillId="0" borderId="23" xfId="0" applyFont="1" applyBorder="1"/>
    <xf numFmtId="220" fontId="32" fillId="0" borderId="10" xfId="0" applyNumberFormat="1" applyFont="1" applyBorder="1" applyAlignment="1">
      <alignment horizontal="right"/>
    </xf>
    <xf numFmtId="220" fontId="32" fillId="0" borderId="11" xfId="0" applyNumberFormat="1" applyFont="1" applyBorder="1" applyAlignment="1">
      <alignment horizontal="right"/>
    </xf>
    <xf numFmtId="0" fontId="3" fillId="31" borderId="13" xfId="0" applyFont="1" applyFill="1" applyBorder="1"/>
    <xf numFmtId="169" fontId="0" fillId="31" borderId="0" xfId="0" applyNumberFormat="1" applyFont="1" applyFill="1" applyBorder="1"/>
    <xf numFmtId="0" fontId="0" fillId="31" borderId="14" xfId="0" applyFill="1" applyBorder="1"/>
    <xf numFmtId="221" fontId="26" fillId="116" borderId="18" xfId="0" applyNumberFormat="1" applyFont="1" applyFill="1" applyBorder="1" applyAlignment="1">
      <alignment horizontal="right"/>
    </xf>
    <xf numFmtId="221" fontId="26" fillId="116" borderId="20" xfId="0" applyNumberFormat="1" applyFont="1" applyFill="1" applyBorder="1" applyAlignment="1">
      <alignment horizontal="right"/>
    </xf>
    <xf numFmtId="0" fontId="32" fillId="113" borderId="0" xfId="0" applyFont="1" applyFill="1" applyBorder="1"/>
    <xf numFmtId="169" fontId="31" fillId="0" borderId="14" xfId="0" applyNumberFormat="1" applyFont="1" applyBorder="1" applyAlignment="1">
      <alignment horizontal="right"/>
    </xf>
    <xf numFmtId="0" fontId="3" fillId="0" borderId="10" xfId="0" applyFont="1" applyBorder="1" applyAlignment="1">
      <alignment vertical="center" wrapText="1"/>
    </xf>
    <xf numFmtId="14" fontId="3" fillId="0" borderId="11" xfId="0" applyNumberFormat="1" applyFont="1" applyBorder="1" applyAlignment="1">
      <alignment vertical="center" wrapText="1"/>
    </xf>
    <xf numFmtId="14" fontId="3" fillId="0" borderId="16" xfId="0" applyNumberFormat="1" applyFont="1" applyBorder="1" applyAlignment="1">
      <alignment vertical="center" wrapText="1"/>
    </xf>
    <xf numFmtId="0" fontId="32" fillId="0" borderId="11" xfId="0" applyFont="1" applyBorder="1"/>
    <xf numFmtId="0" fontId="32" fillId="113" borderId="16" xfId="0" applyFont="1" applyFill="1" applyBorder="1"/>
    <xf numFmtId="169" fontId="31" fillId="0" borderId="0" xfId="0" applyNumberFormat="1" applyFont="1" applyBorder="1" applyAlignment="1">
      <alignment horizontal="right"/>
    </xf>
    <xf numFmtId="169" fontId="31" fillId="0" borderId="13" xfId="0" applyNumberFormat="1" applyFont="1" applyBorder="1" applyAlignment="1">
      <alignment horizontal="right"/>
    </xf>
    <xf numFmtId="169" fontId="31" fillId="0" borderId="15" xfId="0" applyNumberFormat="1" applyFont="1" applyBorder="1" applyAlignment="1">
      <alignment horizontal="right"/>
    </xf>
    <xf numFmtId="169" fontId="31" fillId="0" borderId="16" xfId="0" applyNumberFormat="1" applyFont="1" applyBorder="1" applyAlignment="1">
      <alignment horizontal="right"/>
    </xf>
    <xf numFmtId="169" fontId="31" fillId="0" borderId="17" xfId="0" applyNumberFormat="1" applyFont="1" applyBorder="1" applyAlignment="1">
      <alignment horizontal="right"/>
    </xf>
    <xf numFmtId="0" fontId="32" fillId="28" borderId="0" xfId="0" applyFont="1" applyFill="1" applyBorder="1"/>
    <xf numFmtId="169" fontId="31" fillId="28" borderId="13" xfId="0" applyNumberFormat="1" applyFont="1" applyFill="1" applyBorder="1" applyAlignment="1">
      <alignment horizontal="right"/>
    </xf>
    <xf numFmtId="169" fontId="31" fillId="28" borderId="0" xfId="0" applyNumberFormat="1" applyFont="1" applyFill="1" applyBorder="1" applyAlignment="1">
      <alignment horizontal="right"/>
    </xf>
    <xf numFmtId="169" fontId="31" fillId="28" borderId="14" xfId="0" applyNumberFormat="1" applyFont="1" applyFill="1" applyBorder="1" applyAlignment="1">
      <alignment horizontal="right"/>
    </xf>
    <xf numFmtId="0" fontId="32" fillId="0" borderId="10" xfId="0" applyFont="1" applyFill="1" applyBorder="1"/>
    <xf numFmtId="0" fontId="32" fillId="0" borderId="13" xfId="0" applyFont="1" applyFill="1" applyBorder="1"/>
    <xf numFmtId="2" fontId="0" fillId="0" borderId="14" xfId="0" applyNumberFormat="1" applyBorder="1"/>
    <xf numFmtId="0" fontId="32" fillId="0" borderId="15" xfId="0" applyFont="1" applyFill="1" applyBorder="1"/>
    <xf numFmtId="0" fontId="0" fillId="0" borderId="17" xfId="0" applyBorder="1"/>
    <xf numFmtId="171" fontId="0" fillId="0" borderId="10" xfId="0" applyNumberFormat="1" applyBorder="1"/>
    <xf numFmtId="171" fontId="0" fillId="0" borderId="11" xfId="0" applyNumberFormat="1" applyBorder="1"/>
    <xf numFmtId="171" fontId="0" fillId="0" borderId="12" xfId="0" applyNumberFormat="1" applyBorder="1"/>
    <xf numFmtId="171" fontId="0" fillId="0" borderId="13" xfId="0" applyNumberFormat="1" applyBorder="1"/>
    <xf numFmtId="171" fontId="0" fillId="0" borderId="0" xfId="0" applyNumberFormat="1" applyBorder="1"/>
    <xf numFmtId="171" fontId="0" fillId="0" borderId="14" xfId="0" applyNumberFormat="1" applyBorder="1"/>
    <xf numFmtId="171" fontId="0" fillId="0" borderId="15" xfId="0" applyNumberFormat="1" applyBorder="1"/>
    <xf numFmtId="171" fontId="0" fillId="0" borderId="16" xfId="0" applyNumberFormat="1" applyBorder="1"/>
    <xf numFmtId="171" fontId="0" fillId="0" borderId="17" xfId="0" applyNumberFormat="1" applyBorder="1"/>
    <xf numFmtId="171" fontId="32" fillId="119" borderId="22" xfId="0" applyNumberFormat="1" applyFont="1" applyFill="1" applyBorder="1" applyAlignment="1">
      <alignment horizontal="center"/>
    </xf>
    <xf numFmtId="175" fontId="31" fillId="0" borderId="12" xfId="0" applyNumberFormat="1" applyFont="1" applyFill="1" applyBorder="1" applyAlignment="1">
      <alignment horizontal="right"/>
    </xf>
    <xf numFmtId="0" fontId="131" fillId="0" borderId="16" xfId="0" applyNumberFormat="1" applyFont="1" applyBorder="1" applyAlignment="1">
      <alignment horizontal="right"/>
    </xf>
    <xf numFmtId="0" fontId="131" fillId="0" borderId="17" xfId="0" applyNumberFormat="1" applyFont="1" applyBorder="1" applyAlignment="1">
      <alignment horizontal="right"/>
    </xf>
    <xf numFmtId="0" fontId="3" fillId="117" borderId="18" xfId="0" applyFont="1" applyFill="1" applyBorder="1"/>
    <xf numFmtId="169" fontId="31" fillId="115" borderId="18" xfId="0" applyNumberFormat="1" applyFont="1" applyFill="1" applyBorder="1" applyAlignment="1">
      <alignment horizontal="right"/>
    </xf>
    <xf numFmtId="169" fontId="31" fillId="115" borderId="20" xfId="0" applyNumberFormat="1" applyFont="1" applyFill="1" applyBorder="1" applyAlignment="1">
      <alignment horizontal="right"/>
    </xf>
    <xf numFmtId="169" fontId="31" fillId="115" borderId="19" xfId="0" applyNumberFormat="1" applyFont="1" applyFill="1" applyBorder="1" applyAlignment="1">
      <alignment horizontal="right"/>
    </xf>
    <xf numFmtId="0" fontId="31" fillId="28" borderId="13" xfId="0" applyFont="1" applyFill="1" applyBorder="1"/>
    <xf numFmtId="0" fontId="25" fillId="0" borderId="10" xfId="0" applyFont="1" applyBorder="1"/>
    <xf numFmtId="0" fontId="32" fillId="0" borderId="11" xfId="0" applyFont="1" applyFill="1" applyBorder="1"/>
    <xf numFmtId="0" fontId="32" fillId="0" borderId="16" xfId="0" applyFont="1" applyFill="1" applyBorder="1"/>
    <xf numFmtId="0" fontId="31" fillId="0" borderId="20" xfId="0" applyFont="1" applyFill="1" applyBorder="1"/>
    <xf numFmtId="0" fontId="3" fillId="0" borderId="20" xfId="0" applyFont="1" applyFill="1" applyBorder="1"/>
    <xf numFmtId="0" fontId="25" fillId="0" borderId="12" xfId="0" applyFont="1" applyBorder="1"/>
    <xf numFmtId="4" fontId="129" fillId="118" borderId="18" xfId="44" applyNumberFormat="1" applyFont="1" applyFill="1" applyBorder="1" applyAlignment="1" applyProtection="1">
      <alignment horizontal="right"/>
    </xf>
    <xf numFmtId="4" fontId="24" fillId="0" borderId="10" xfId="44" applyNumberFormat="1" applyFont="1" applyFill="1" applyBorder="1" applyAlignment="1" applyProtection="1">
      <alignment horizontal="right"/>
    </xf>
    <xf numFmtId="4" fontId="24" fillId="28" borderId="13" xfId="44" applyNumberFormat="1" applyFont="1" applyFill="1" applyBorder="1" applyAlignment="1" applyProtection="1">
      <alignment horizontal="right"/>
    </xf>
    <xf numFmtId="4" fontId="24" fillId="0" borderId="13" xfId="44" applyNumberFormat="1" applyFont="1" applyFill="1" applyBorder="1" applyAlignment="1" applyProtection="1">
      <alignment horizontal="right"/>
    </xf>
    <xf numFmtId="4" fontId="24" fillId="0" borderId="15" xfId="44" applyNumberFormat="1" applyFont="1" applyFill="1" applyBorder="1" applyAlignment="1" applyProtection="1">
      <alignment horizontal="right"/>
    </xf>
    <xf numFmtId="177" fontId="132" fillId="118" borderId="19" xfId="44" applyNumberFormat="1" applyFont="1" applyFill="1" applyBorder="1" applyAlignment="1" applyProtection="1">
      <alignment horizontal="right"/>
    </xf>
    <xf numFmtId="178" fontId="30" fillId="0" borderId="12" xfId="44" applyNumberFormat="1" applyFont="1" applyFill="1" applyBorder="1" applyAlignment="1" applyProtection="1">
      <alignment horizontal="right"/>
    </xf>
    <xf numFmtId="178" fontId="30" fillId="28" borderId="14" xfId="44" applyNumberFormat="1" applyFont="1" applyFill="1" applyBorder="1" applyAlignment="1" applyProtection="1">
      <alignment horizontal="right"/>
    </xf>
    <xf numFmtId="178" fontId="30" fillId="0" borderId="14" xfId="44" applyNumberFormat="1" applyFont="1" applyFill="1" applyBorder="1" applyAlignment="1" applyProtection="1">
      <alignment horizontal="right"/>
    </xf>
    <xf numFmtId="0" fontId="0" fillId="117" borderId="20" xfId="0" applyFont="1" applyFill="1" applyBorder="1"/>
    <xf numFmtId="0" fontId="31" fillId="0" borderId="10" xfId="0" applyFont="1" applyBorder="1"/>
    <xf numFmtId="0" fontId="31" fillId="0" borderId="13" xfId="0" applyFont="1" applyBorder="1"/>
    <xf numFmtId="0" fontId="31" fillId="113" borderId="13" xfId="0" applyFont="1" applyFill="1" applyBorder="1"/>
    <xf numFmtId="0" fontId="31" fillId="113" borderId="15" xfId="0" applyFont="1" applyFill="1" applyBorder="1"/>
    <xf numFmtId="0" fontId="33" fillId="0" borderId="15" xfId="0" applyFont="1" applyFill="1" applyBorder="1" applyAlignment="1">
      <alignment horizontal="left" indent="1"/>
    </xf>
    <xf numFmtId="0" fontId="33" fillId="0" borderId="17" xfId="0" applyFont="1" applyFill="1" applyBorder="1" applyAlignment="1">
      <alignment horizontal="left" indent="1"/>
    </xf>
    <xf numFmtId="0" fontId="133" fillId="0" borderId="16" xfId="0" applyFont="1" applyBorder="1"/>
    <xf numFmtId="0" fontId="133" fillId="0" borderId="16" xfId="0" applyFont="1" applyBorder="1" applyAlignment="1">
      <alignment horizontal="right"/>
    </xf>
    <xf numFmtId="0" fontId="134" fillId="0" borderId="0" xfId="0" applyFont="1"/>
    <xf numFmtId="0" fontId="133" fillId="0" borderId="0" xfId="0" applyFont="1"/>
    <xf numFmtId="0" fontId="134" fillId="120" borderId="0" xfId="0" applyFont="1" applyFill="1"/>
    <xf numFmtId="0" fontId="134" fillId="0" borderId="0" xfId="0" applyFont="1" applyAlignment="1">
      <alignment horizontal="right"/>
    </xf>
    <xf numFmtId="4" fontId="134" fillId="0" borderId="0" xfId="0" applyNumberFormat="1" applyFont="1"/>
    <xf numFmtId="0" fontId="0" fillId="0" borderId="11" xfId="0" applyBorder="1"/>
    <xf numFmtId="4" fontId="32" fillId="0" borderId="10" xfId="0" applyNumberFormat="1" applyFont="1" applyBorder="1" applyAlignment="1">
      <alignment horizontal="right"/>
    </xf>
    <xf numFmtId="4" fontId="32" fillId="0" borderId="11" xfId="0" applyNumberFormat="1" applyFont="1" applyBorder="1" applyAlignment="1">
      <alignment horizontal="right"/>
    </xf>
    <xf numFmtId="4" fontId="134" fillId="0" borderId="13" xfId="0" applyNumberFormat="1" applyFont="1" applyFill="1" applyBorder="1"/>
    <xf numFmtId="0" fontId="0" fillId="0" borderId="10" xfId="0" applyFill="1" applyBorder="1"/>
    <xf numFmtId="14" fontId="32" fillId="0" borderId="12" xfId="0" applyNumberFormat="1" applyFont="1" applyBorder="1"/>
    <xf numFmtId="0" fontId="0" fillId="0" borderId="13" xfId="0" applyFill="1" applyBorder="1"/>
    <xf numFmtId="14" fontId="32" fillId="0" borderId="14" xfId="0" applyNumberFormat="1" applyFont="1" applyBorder="1"/>
    <xf numFmtId="0" fontId="0" fillId="0" borderId="15" xfId="0" applyFill="1" applyBorder="1"/>
    <xf numFmtId="0" fontId="32" fillId="0" borderId="16" xfId="0" applyFont="1" applyBorder="1"/>
    <xf numFmtId="14" fontId="32" fillId="0" borderId="17" xfId="0" applyNumberFormat="1" applyFont="1" applyBorder="1"/>
    <xf numFmtId="222" fontId="31" fillId="0" borderId="13" xfId="0" applyNumberFormat="1" applyFont="1" applyFill="1" applyBorder="1" applyAlignment="1">
      <alignment horizontal="right"/>
    </xf>
    <xf numFmtId="222" fontId="31" fillId="0" borderId="0" xfId="0" applyNumberFormat="1" applyFont="1" applyBorder="1" applyAlignment="1">
      <alignment horizontal="right"/>
    </xf>
    <xf numFmtId="222" fontId="31" fillId="0" borderId="0" xfId="0" applyNumberFormat="1" applyFont="1" applyFill="1" applyBorder="1" applyAlignment="1">
      <alignment horizontal="right"/>
    </xf>
    <xf numFmtId="0" fontId="0" fillId="0" borderId="0" xfId="0" applyAlignment="1">
      <alignment horizontal="right"/>
    </xf>
    <xf numFmtId="223" fontId="131" fillId="0" borderId="0" xfId="0" applyNumberFormat="1" applyFont="1" applyBorder="1" applyAlignment="1">
      <alignment horizontal="right"/>
    </xf>
    <xf numFmtId="0" fontId="0" fillId="120" borderId="0" xfId="0" applyFill="1" applyAlignment="1">
      <alignment horizontal="right"/>
    </xf>
    <xf numFmtId="0" fontId="0" fillId="0" borderId="0" xfId="0" applyFill="1"/>
    <xf numFmtId="224" fontId="0" fillId="0" borderId="0" xfId="0" applyNumberFormat="1"/>
    <xf numFmtId="0" fontId="0" fillId="0" borderId="11" xfId="0" applyBorder="1" applyAlignment="1">
      <alignment horizontal="right"/>
    </xf>
    <xf numFmtId="0" fontId="0" fillId="0" borderId="0" xfId="0" applyBorder="1"/>
    <xf numFmtId="0" fontId="0" fillId="0" borderId="0" xfId="0" applyBorder="1" applyAlignment="1">
      <alignment horizontal="right"/>
    </xf>
    <xf numFmtId="0" fontId="3" fillId="0" borderId="20" xfId="0" applyFont="1" applyBorder="1" applyAlignment="1">
      <alignment horizontal="right"/>
    </xf>
    <xf numFmtId="0" fontId="3" fillId="0" borderId="19" xfId="0" applyFont="1" applyBorder="1" applyAlignment="1">
      <alignment horizontal="right"/>
    </xf>
    <xf numFmtId="0" fontId="0" fillId="0" borderId="53" xfId="0" applyBorder="1" applyAlignment="1">
      <alignment horizontal="right"/>
    </xf>
    <xf numFmtId="0" fontId="0" fillId="0" borderId="52" xfId="0" applyBorder="1" applyAlignment="1">
      <alignment horizontal="right"/>
    </xf>
    <xf numFmtId="0" fontId="0" fillId="0" borderId="57" xfId="0" applyBorder="1" applyAlignment="1">
      <alignment horizontal="right"/>
    </xf>
    <xf numFmtId="0" fontId="0" fillId="0" borderId="57" xfId="0" applyBorder="1"/>
    <xf numFmtId="0" fontId="0" fillId="0" borderId="58" xfId="0" applyBorder="1" applyAlignment="1">
      <alignment horizontal="right"/>
    </xf>
    <xf numFmtId="0" fontId="33" fillId="0" borderId="25" xfId="0" applyFont="1" applyFill="1" applyBorder="1" applyAlignment="1">
      <alignment horizontal="right" indent="1"/>
    </xf>
    <xf numFmtId="4" fontId="130" fillId="116" borderId="24" xfId="44" applyNumberFormat="1" applyFont="1" applyFill="1" applyBorder="1" applyAlignment="1" applyProtection="1">
      <alignment horizontal="right" indent="1"/>
    </xf>
    <xf numFmtId="4" fontId="24" fillId="0" borderId="22" xfId="44" applyNumberFormat="1" applyFont="1" applyFill="1" applyBorder="1" applyAlignment="1" applyProtection="1">
      <alignment horizontal="right" indent="1"/>
    </xf>
    <xf numFmtId="4" fontId="24" fillId="0" borderId="23" xfId="44" applyNumberFormat="1" applyFont="1" applyFill="1" applyBorder="1" applyAlignment="1" applyProtection="1">
      <alignment horizontal="right" indent="1"/>
    </xf>
    <xf numFmtId="4" fontId="24" fillId="0" borderId="25" xfId="44" applyNumberFormat="1" applyFont="1" applyFill="1" applyBorder="1" applyAlignment="1" applyProtection="1">
      <alignment horizontal="right" indent="1"/>
    </xf>
    <xf numFmtId="0" fontId="0" fillId="114" borderId="0" xfId="0" applyFill="1" applyAlignment="1">
      <alignment horizontal="right"/>
    </xf>
    <xf numFmtId="0" fontId="3" fillId="0" borderId="18" xfId="0" applyFont="1" applyBorder="1" applyAlignment="1">
      <alignment horizontal="left"/>
    </xf>
    <xf numFmtId="0" fontId="0" fillId="0" borderId="54" xfId="0" applyBorder="1" applyAlignment="1">
      <alignment horizontal="left"/>
    </xf>
    <xf numFmtId="0" fontId="0" fillId="0" borderId="55" xfId="0" applyBorder="1" applyAlignment="1">
      <alignment horizontal="left"/>
    </xf>
    <xf numFmtId="0" fontId="0" fillId="0" borderId="56" xfId="0" applyBorder="1" applyAlignment="1">
      <alignment horizontal="left"/>
    </xf>
    <xf numFmtId="0" fontId="0" fillId="0" borderId="0" xfId="0" applyAlignment="1">
      <alignment horizontal="left"/>
    </xf>
    <xf numFmtId="4" fontId="0" fillId="120" borderId="11" xfId="0" applyNumberFormat="1" applyFill="1" applyBorder="1" applyAlignment="1">
      <alignment horizontal="right"/>
    </xf>
    <xf numFmtId="4" fontId="0" fillId="120" borderId="0" xfId="0" applyNumberFormat="1" applyFill="1" applyBorder="1" applyAlignment="1">
      <alignment horizontal="right"/>
    </xf>
    <xf numFmtId="4" fontId="0" fillId="0" borderId="57" xfId="0" applyNumberFormat="1" applyBorder="1" applyAlignment="1">
      <alignment horizontal="right"/>
    </xf>
    <xf numFmtId="0" fontId="0" fillId="0" borderId="11" xfId="0" applyFill="1" applyBorder="1"/>
    <xf numFmtId="0" fontId="0" fillId="0" borderId="16" xfId="0" applyFill="1" applyBorder="1"/>
    <xf numFmtId="0" fontId="1" fillId="0" borderId="10" xfId="0" applyFont="1" applyBorder="1"/>
    <xf numFmtId="0" fontId="1" fillId="0" borderId="11" xfId="0" applyFont="1" applyBorder="1"/>
    <xf numFmtId="0" fontId="1" fillId="0" borderId="13" xfId="0" applyFont="1" applyBorder="1"/>
    <xf numFmtId="0" fontId="125" fillId="0" borderId="13" xfId="0" applyFont="1" applyBorder="1" applyAlignment="1">
      <alignment vertical="center" wrapText="1"/>
    </xf>
    <xf numFmtId="14" fontId="125" fillId="0" borderId="14" xfId="0" applyNumberFormat="1" applyFont="1" applyBorder="1" applyAlignment="1">
      <alignment vertical="center" wrapText="1"/>
    </xf>
    <xf numFmtId="0" fontId="125" fillId="0" borderId="15" xfId="0" applyFont="1" applyFill="1" applyBorder="1"/>
    <xf numFmtId="14" fontId="125" fillId="0" borderId="17" xfId="0" applyNumberFormat="1" applyFont="1" applyBorder="1" applyAlignment="1">
      <alignment vertical="center" wrapText="1"/>
    </xf>
    <xf numFmtId="0" fontId="1" fillId="0" borderId="12" xfId="0" applyFont="1" applyBorder="1"/>
    <xf numFmtId="0" fontId="1" fillId="0" borderId="14" xfId="0" applyFont="1" applyBorder="1"/>
    <xf numFmtId="0" fontId="125" fillId="0" borderId="17" xfId="0" applyFont="1" applyFill="1" applyBorder="1"/>
    <xf numFmtId="4" fontId="130" fillId="116" borderId="18" xfId="44" applyNumberFormat="1" applyFont="1" applyFill="1" applyBorder="1" applyAlignment="1" applyProtection="1">
      <alignment horizontal="right"/>
    </xf>
    <xf numFmtId="177" fontId="130" fillId="116" borderId="19" xfId="44" applyNumberFormat="1" applyFont="1" applyFill="1" applyBorder="1" applyAlignment="1" applyProtection="1">
      <alignment horizontal="right"/>
    </xf>
    <xf numFmtId="178" fontId="24" fillId="0" borderId="12" xfId="44" applyNumberFormat="1" applyFont="1" applyFill="1" applyBorder="1" applyAlignment="1" applyProtection="1">
      <alignment horizontal="right"/>
    </xf>
    <xf numFmtId="179" fontId="24" fillId="0" borderId="14" xfId="44" applyNumberFormat="1" applyFont="1" applyFill="1" applyBorder="1" applyAlignment="1" applyProtection="1">
      <alignment horizontal="right"/>
    </xf>
    <xf numFmtId="179" fontId="24" fillId="0" borderId="17" xfId="44" applyNumberFormat="1" applyFont="1" applyFill="1" applyBorder="1" applyAlignment="1" applyProtection="1">
      <alignment horizontal="right"/>
    </xf>
    <xf numFmtId="178" fontId="24" fillId="28" borderId="14" xfId="44" applyNumberFormat="1" applyFont="1" applyFill="1" applyBorder="1" applyAlignment="1" applyProtection="1">
      <alignment horizontal="right"/>
    </xf>
    <xf numFmtId="0" fontId="32" fillId="28" borderId="13" xfId="0" applyFont="1" applyFill="1" applyBorder="1"/>
    <xf numFmtId="0" fontId="32" fillId="28" borderId="14" xfId="0" applyFont="1" applyFill="1" applyBorder="1"/>
    <xf numFmtId="169" fontId="32" fillId="28" borderId="13" xfId="0" applyNumberFormat="1" applyFont="1" applyFill="1" applyBorder="1" applyAlignment="1">
      <alignment horizontal="right"/>
    </xf>
    <xf numFmtId="169" fontId="32" fillId="28" borderId="0" xfId="0" applyNumberFormat="1" applyFont="1" applyFill="1" applyBorder="1" applyAlignment="1">
      <alignment horizontal="right"/>
    </xf>
    <xf numFmtId="0" fontId="32" fillId="0" borderId="12" xfId="0" applyFont="1" applyFill="1" applyBorder="1"/>
    <xf numFmtId="4" fontId="134" fillId="0" borderId="0" xfId="0" applyNumberFormat="1" applyFont="1" applyFill="1" applyBorder="1"/>
    <xf numFmtId="0" fontId="135" fillId="0" borderId="0" xfId="0" applyFont="1"/>
    <xf numFmtId="0" fontId="0" fillId="28" borderId="18" xfId="0" applyFont="1" applyFill="1" applyBorder="1" applyAlignment="1">
      <alignment horizontal="center"/>
    </xf>
    <xf numFmtId="175" fontId="3" fillId="28" borderId="10" xfId="0" applyNumberFormat="1" applyFont="1" applyFill="1" applyBorder="1" applyAlignment="1">
      <alignment horizontal="center"/>
    </xf>
    <xf numFmtId="1" fontId="0" fillId="28" borderId="13" xfId="0" applyNumberFormat="1" applyFont="1" applyFill="1" applyBorder="1" applyAlignment="1">
      <alignment horizontal="center"/>
    </xf>
    <xf numFmtId="221" fontId="3" fillId="28" borderId="18" xfId="0" applyNumberFormat="1" applyFont="1" applyFill="1" applyBorder="1" applyAlignment="1">
      <alignment horizontal="center"/>
    </xf>
    <xf numFmtId="169" fontId="0" fillId="28" borderId="13" xfId="0" applyNumberFormat="1" applyFont="1" applyFill="1" applyBorder="1" applyAlignment="1">
      <alignment horizontal="center"/>
    </xf>
    <xf numFmtId="220" fontId="0" fillId="28" borderId="10" xfId="0" applyNumberFormat="1" applyFont="1" applyFill="1" applyBorder="1" applyAlignment="1">
      <alignment horizontal="center"/>
    </xf>
    <xf numFmtId="169" fontId="0" fillId="28" borderId="15" xfId="0" applyNumberFormat="1" applyFont="1" applyFill="1" applyBorder="1" applyAlignment="1">
      <alignment horizontal="center"/>
    </xf>
    <xf numFmtId="0" fontId="134" fillId="28" borderId="24" xfId="0" applyFont="1" applyFill="1" applyBorder="1" applyAlignment="1">
      <alignment horizontal="center"/>
    </xf>
    <xf numFmtId="225" fontId="134" fillId="0" borderId="0" xfId="0" applyNumberFormat="1" applyFont="1"/>
    <xf numFmtId="169" fontId="134" fillId="0" borderId="0" xfId="0" applyNumberFormat="1" applyFont="1"/>
    <xf numFmtId="223" fontId="134" fillId="0" borderId="0" xfId="0" applyNumberFormat="1" applyFont="1"/>
    <xf numFmtId="226" fontId="134" fillId="0" borderId="0" xfId="44" applyNumberFormat="1" applyFont="1"/>
    <xf numFmtId="226" fontId="134" fillId="0" borderId="0" xfId="0" applyNumberFormat="1" applyFont="1"/>
    <xf numFmtId="0" fontId="0" fillId="0" borderId="13" xfId="0" applyBorder="1"/>
    <xf numFmtId="0" fontId="0" fillId="0" borderId="15" xfId="0" applyBorder="1"/>
    <xf numFmtId="0" fontId="0" fillId="0" borderId="16" xfId="0" applyBorder="1"/>
    <xf numFmtId="0" fontId="3" fillId="28" borderId="18" xfId="0" applyFont="1" applyFill="1" applyBorder="1"/>
    <xf numFmtId="0" fontId="3" fillId="28" borderId="20" xfId="0" applyFont="1" applyFill="1" applyBorder="1"/>
    <xf numFmtId="0" fontId="3" fillId="28" borderId="19" xfId="0" applyFont="1" applyFill="1" applyBorder="1"/>
    <xf numFmtId="0" fontId="133" fillId="28" borderId="0" xfId="0" applyFont="1" applyFill="1"/>
    <xf numFmtId="0" fontId="134" fillId="0" borderId="10" xfId="0" applyFont="1" applyBorder="1"/>
    <xf numFmtId="0" fontId="134" fillId="0" borderId="11" xfId="0" applyFont="1" applyBorder="1"/>
    <xf numFmtId="0" fontId="134" fillId="0" borderId="12" xfId="0" applyFont="1" applyBorder="1"/>
    <xf numFmtId="0" fontId="134" fillId="0" borderId="13" xfId="0" applyFont="1" applyBorder="1"/>
    <xf numFmtId="0" fontId="134" fillId="0" borderId="0" xfId="0" applyFont="1" applyBorder="1"/>
    <xf numFmtId="0" fontId="134" fillId="0" borderId="14" xfId="0" applyFont="1" applyBorder="1"/>
    <xf numFmtId="0" fontId="134" fillId="0" borderId="15" xfId="0" applyFont="1" applyBorder="1"/>
    <xf numFmtId="0" fontId="134" fillId="0" borderId="16" xfId="0" applyFont="1" applyBorder="1"/>
    <xf numFmtId="0" fontId="134" fillId="0" borderId="17" xfId="0" applyFont="1" applyBorder="1"/>
    <xf numFmtId="0" fontId="136" fillId="0" borderId="0" xfId="0" applyFont="1" applyAlignment="1">
      <alignment horizontal="left"/>
    </xf>
    <xf numFmtId="0" fontId="3" fillId="0" borderId="18" xfId="0" applyFont="1" applyBorder="1" applyAlignment="1">
      <alignment horizontal="right"/>
    </xf>
    <xf numFmtId="171" fontId="31" fillId="0" borderId="24" xfId="0" applyNumberFormat="1" applyFont="1" applyFill="1" applyBorder="1" applyAlignment="1">
      <alignment horizontal="center"/>
    </xf>
    <xf numFmtId="4" fontId="0" fillId="0" borderId="0" xfId="0" applyNumberFormat="1" applyAlignment="1">
      <alignment horizontal="right"/>
    </xf>
    <xf numFmtId="169" fontId="0" fillId="0" borderId="0" xfId="0" applyNumberFormat="1" applyFill="1"/>
    <xf numFmtId="225" fontId="0" fillId="0" borderId="0" xfId="0" applyNumberFormat="1"/>
    <xf numFmtId="227" fontId="131" fillId="0" borderId="15" xfId="0" applyNumberFormat="1" applyFont="1" applyBorder="1" applyAlignment="1">
      <alignment horizontal="right"/>
    </xf>
    <xf numFmtId="0" fontId="33" fillId="0" borderId="10" xfId="0" applyFont="1" applyBorder="1" applyAlignment="1">
      <alignment vertical="center"/>
    </xf>
    <xf numFmtId="171" fontId="0" fillId="0" borderId="0" xfId="0" applyNumberFormat="1" applyFont="1" applyBorder="1"/>
    <xf numFmtId="171" fontId="0" fillId="0" borderId="14" xfId="0" applyNumberFormat="1" applyFont="1" applyBorder="1"/>
    <xf numFmtId="169" fontId="0" fillId="0" borderId="0" xfId="0" applyNumberFormat="1" applyFont="1" applyBorder="1"/>
    <xf numFmtId="169" fontId="0" fillId="0" borderId="14" xfId="0" applyNumberFormat="1" applyFont="1" applyBorder="1"/>
    <xf numFmtId="171" fontId="0" fillId="0" borderId="16" xfId="0" applyNumberFormat="1" applyFont="1" applyBorder="1"/>
    <xf numFmtId="171" fontId="0" fillId="0" borderId="17" xfId="0" applyNumberFormat="1" applyFont="1" applyBorder="1"/>
    <xf numFmtId="175" fontId="31" fillId="0" borderId="20" xfId="0" applyNumberFormat="1" applyFont="1" applyBorder="1" applyAlignment="1">
      <alignment horizontal="right"/>
    </xf>
    <xf numFmtId="175" fontId="31" fillId="0" borderId="20" xfId="0" applyNumberFormat="1" applyFont="1" applyFill="1" applyBorder="1" applyAlignment="1">
      <alignment horizontal="right"/>
    </xf>
    <xf numFmtId="175" fontId="31" fillId="0" borderId="19" xfId="0" applyNumberFormat="1" applyFont="1" applyFill="1" applyBorder="1" applyAlignment="1">
      <alignment horizontal="right"/>
    </xf>
    <xf numFmtId="0" fontId="33" fillId="113" borderId="18" xfId="0" applyFont="1" applyFill="1" applyBorder="1" applyAlignment="1">
      <alignment vertical="center"/>
    </xf>
    <xf numFmtId="0" fontId="33" fillId="113" borderId="20" xfId="0" applyFont="1" applyFill="1" applyBorder="1" applyAlignment="1">
      <alignment vertical="center"/>
    </xf>
    <xf numFmtId="4" fontId="24" fillId="113" borderId="13" xfId="44" applyNumberFormat="1" applyFont="1" applyFill="1" applyBorder="1" applyAlignment="1" applyProtection="1">
      <alignment horizontal="right"/>
    </xf>
    <xf numFmtId="178" fontId="30" fillId="113" borderId="14" xfId="44" applyNumberFormat="1" applyFont="1" applyFill="1" applyBorder="1" applyAlignment="1" applyProtection="1">
      <alignment horizontal="right"/>
    </xf>
    <xf numFmtId="4" fontId="24" fillId="113" borderId="15" xfId="44" applyNumberFormat="1" applyFont="1" applyFill="1" applyBorder="1" applyAlignment="1" applyProtection="1">
      <alignment horizontal="right"/>
    </xf>
    <xf numFmtId="178" fontId="30" fillId="113" borderId="17" xfId="44" applyNumberFormat="1" applyFont="1" applyFill="1" applyBorder="1" applyAlignment="1" applyProtection="1">
      <alignment horizontal="right"/>
    </xf>
    <xf numFmtId="219" fontId="31" fillId="0" borderId="0" xfId="0" applyNumberFormat="1" applyFont="1" applyBorder="1" applyAlignment="1">
      <alignment horizontal="right"/>
    </xf>
    <xf numFmtId="0" fontId="110" fillId="0" borderId="11" xfId="0" applyFont="1" applyBorder="1" applyAlignment="1">
      <alignment vertical="center"/>
    </xf>
    <xf numFmtId="4" fontId="24" fillId="0" borderId="14" xfId="44" applyNumberFormat="1" applyFont="1" applyFill="1" applyBorder="1" applyAlignment="1" applyProtection="1">
      <alignment horizontal="right" indent="3"/>
    </xf>
    <xf numFmtId="4" fontId="24" fillId="0" borderId="17" xfId="44" applyNumberFormat="1" applyFont="1" applyFill="1" applyBorder="1" applyAlignment="1" applyProtection="1">
      <alignment horizontal="right" indent="3"/>
    </xf>
    <xf numFmtId="175" fontId="31" fillId="0" borderId="0" xfId="0" applyNumberFormat="1" applyFont="1" applyBorder="1" applyAlignment="1">
      <alignment horizontal="right"/>
    </xf>
    <xf numFmtId="175" fontId="31" fillId="0" borderId="0" xfId="0" applyNumberFormat="1" applyFont="1" applyFill="1" applyBorder="1" applyAlignment="1">
      <alignment horizontal="right"/>
    </xf>
    <xf numFmtId="175" fontId="31" fillId="0" borderId="14" xfId="0" applyNumberFormat="1" applyFont="1" applyFill="1" applyBorder="1" applyAlignment="1">
      <alignment horizontal="right"/>
    </xf>
    <xf numFmtId="0" fontId="3" fillId="119" borderId="59" xfId="0" applyFont="1" applyFill="1" applyBorder="1" applyAlignment="1">
      <alignment vertical="center"/>
    </xf>
    <xf numFmtId="0" fontId="3" fillId="119" borderId="60" xfId="0" applyFont="1" applyFill="1" applyBorder="1" applyAlignment="1">
      <alignment vertical="center"/>
    </xf>
    <xf numFmtId="0" fontId="0" fillId="0" borderId="13" xfId="0" applyFont="1" applyBorder="1"/>
    <xf numFmtId="0" fontId="0" fillId="0" borderId="0" xfId="0" applyFont="1" applyBorder="1"/>
    <xf numFmtId="0" fontId="0" fillId="0" borderId="15" xfId="0" applyFont="1" applyBorder="1"/>
    <xf numFmtId="0" fontId="0" fillId="0" borderId="16" xfId="0" applyFont="1" applyBorder="1"/>
    <xf numFmtId="0" fontId="3" fillId="119" borderId="60" xfId="0" applyFont="1" applyFill="1" applyBorder="1" applyAlignment="1">
      <alignment horizontal="right" vertical="center" indent="1"/>
    </xf>
    <xf numFmtId="228" fontId="3" fillId="119" borderId="61" xfId="0" applyNumberFormat="1" applyFont="1" applyFill="1" applyBorder="1" applyAlignment="1">
      <alignment horizontal="right" vertical="center" indent="1"/>
    </xf>
    <xf numFmtId="0" fontId="0" fillId="0" borderId="0" xfId="0" applyFont="1" applyBorder="1" applyAlignment="1">
      <alignment horizontal="right" indent="1"/>
    </xf>
    <xf numFmtId="0" fontId="0" fillId="0" borderId="0" xfId="0" applyFont="1" applyAlignment="1">
      <alignment horizontal="right" indent="1"/>
    </xf>
    <xf numFmtId="0" fontId="0" fillId="0" borderId="16" xfId="0" applyFont="1" applyBorder="1" applyAlignment="1">
      <alignment horizontal="right" indent="1"/>
    </xf>
    <xf numFmtId="228" fontId="3" fillId="28" borderId="24" xfId="0" applyNumberFormat="1" applyFont="1" applyFill="1" applyBorder="1" applyAlignment="1">
      <alignment horizontal="center" vertical="center"/>
    </xf>
    <xf numFmtId="175" fontId="31" fillId="0" borderId="62" xfId="0" applyNumberFormat="1" applyFont="1" applyFill="1" applyBorder="1" applyAlignment="1">
      <alignment horizontal="right"/>
    </xf>
    <xf numFmtId="175" fontId="31" fillId="0" borderId="63" xfId="0" applyNumberFormat="1" applyFont="1" applyFill="1" applyBorder="1" applyAlignment="1">
      <alignment horizontal="right"/>
    </xf>
    <xf numFmtId="169" fontId="0" fillId="0" borderId="63" xfId="0" applyNumberFormat="1" applyFont="1" applyBorder="1"/>
    <xf numFmtId="171" fontId="0" fillId="0" borderId="64" xfId="0" applyNumberFormat="1" applyFont="1" applyBorder="1"/>
    <xf numFmtId="171" fontId="3" fillId="120" borderId="63" xfId="0" applyNumberFormat="1" applyFont="1" applyFill="1" applyBorder="1"/>
    <xf numFmtId="171" fontId="0" fillId="120" borderId="63" xfId="0" applyNumberFormat="1" applyFont="1" applyFill="1" applyBorder="1"/>
    <xf numFmtId="4" fontId="24" fillId="115" borderId="20" xfId="44" applyNumberFormat="1" applyFont="1" applyFill="1" applyBorder="1" applyAlignment="1" applyProtection="1">
      <alignment horizontal="right" indent="3"/>
    </xf>
    <xf numFmtId="0" fontId="31" fillId="115" borderId="18" xfId="0" applyFont="1" applyFill="1" applyBorder="1"/>
    <xf numFmtId="0" fontId="31" fillId="115" borderId="20" xfId="0" applyFont="1" applyFill="1" applyBorder="1"/>
    <xf numFmtId="4" fontId="24" fillId="28" borderId="14" xfId="44" applyNumberFormat="1" applyFont="1" applyFill="1" applyBorder="1" applyAlignment="1" applyProtection="1">
      <alignment horizontal="right" indent="3"/>
    </xf>
    <xf numFmtId="0" fontId="131" fillId="0" borderId="65" xfId="0" applyFont="1" applyBorder="1"/>
    <xf numFmtId="0" fontId="131" fillId="0" borderId="66" xfId="0" applyFont="1" applyBorder="1"/>
    <xf numFmtId="0" fontId="131" fillId="0" borderId="67" xfId="0" applyFont="1" applyBorder="1"/>
    <xf numFmtId="0" fontId="131" fillId="0" borderId="55" xfId="0" applyFont="1" applyBorder="1"/>
    <xf numFmtId="0" fontId="131" fillId="0" borderId="0" xfId="0" applyFont="1" applyBorder="1"/>
    <xf numFmtId="0" fontId="131" fillId="0" borderId="52" xfId="0" applyFont="1" applyBorder="1"/>
    <xf numFmtId="175" fontId="131" fillId="0" borderId="55" xfId="0" applyNumberFormat="1" applyFont="1" applyBorder="1"/>
    <xf numFmtId="175" fontId="131" fillId="0" borderId="0" xfId="0" applyNumberFormat="1" applyFont="1" applyBorder="1"/>
    <xf numFmtId="175" fontId="131" fillId="0" borderId="52" xfId="0" applyNumberFormat="1" applyFont="1" applyBorder="1"/>
    <xf numFmtId="0" fontId="131" fillId="0" borderId="56" xfId="0" applyFont="1" applyBorder="1"/>
    <xf numFmtId="0" fontId="131" fillId="0" borderId="57" xfId="0" applyFont="1" applyBorder="1"/>
    <xf numFmtId="0" fontId="131" fillId="0" borderId="58" xfId="0" applyFont="1" applyBorder="1"/>
    <xf numFmtId="0" fontId="137" fillId="0" borderId="0" xfId="0" applyFont="1"/>
    <xf numFmtId="0" fontId="136" fillId="0" borderId="0" xfId="0" applyFont="1"/>
    <xf numFmtId="4" fontId="24" fillId="0" borderId="0" xfId="44" applyNumberFormat="1" applyFont="1" applyFill="1" applyBorder="1" applyAlignment="1" applyProtection="1">
      <alignment horizontal="right" indent="3"/>
    </xf>
    <xf numFmtId="0" fontId="3" fillId="0" borderId="20" xfId="0" applyFont="1" applyBorder="1" applyAlignment="1">
      <alignment horizontal="center"/>
    </xf>
    <xf numFmtId="0" fontId="3" fillId="0" borderId="19" xfId="0" applyFont="1" applyBorder="1" applyAlignment="1">
      <alignment horizontal="center"/>
    </xf>
    <xf numFmtId="0" fontId="3" fillId="113" borderId="18" xfId="0" applyFont="1" applyFill="1" applyBorder="1"/>
    <xf numFmtId="0" fontId="3" fillId="113" borderId="20" xfId="0" applyFont="1" applyFill="1" applyBorder="1" applyAlignment="1">
      <alignment horizontal="right"/>
    </xf>
    <xf numFmtId="0" fontId="3" fillId="113" borderId="20" xfId="0" applyFont="1" applyFill="1" applyBorder="1"/>
    <xf numFmtId="0" fontId="125" fillId="0" borderId="18" xfId="0" applyFont="1" applyBorder="1"/>
    <xf numFmtId="0" fontId="3" fillId="120" borderId="20" xfId="0" applyFont="1" applyFill="1" applyBorder="1" applyAlignment="1">
      <alignment horizontal="center"/>
    </xf>
    <xf numFmtId="0" fontId="3" fillId="119" borderId="20" xfId="0" applyFont="1" applyFill="1" applyBorder="1" applyAlignment="1">
      <alignment horizontal="right"/>
    </xf>
    <xf numFmtId="0" fontId="3" fillId="119" borderId="19" xfId="0" applyFont="1" applyFill="1" applyBorder="1" applyAlignment="1">
      <alignment horizontal="right"/>
    </xf>
    <xf numFmtId="0" fontId="3" fillId="119" borderId="18" xfId="0" applyFont="1" applyFill="1" applyBorder="1" applyAlignment="1">
      <alignment horizontal="right"/>
    </xf>
    <xf numFmtId="4" fontId="3" fillId="119" borderId="20" xfId="0" applyNumberFormat="1" applyFont="1" applyFill="1" applyBorder="1" applyAlignment="1">
      <alignment horizontal="right"/>
    </xf>
    <xf numFmtId="0" fontId="3" fillId="0" borderId="0" xfId="0" applyFont="1" applyAlignment="1">
      <alignment horizontal="right"/>
    </xf>
    <xf numFmtId="0" fontId="3" fillId="0" borderId="54" xfId="0" applyFont="1" applyBorder="1"/>
    <xf numFmtId="4" fontId="136" fillId="83" borderId="11" xfId="0" applyNumberFormat="1" applyFont="1" applyFill="1" applyBorder="1"/>
    <xf numFmtId="0" fontId="137" fillId="0" borderId="53" xfId="0" applyFont="1" applyBorder="1"/>
    <xf numFmtId="0" fontId="3" fillId="0" borderId="55" xfId="0" applyFont="1" applyBorder="1"/>
    <xf numFmtId="4" fontId="136" fillId="83" borderId="0" xfId="0" applyNumberFormat="1" applyFont="1" applyFill="1" applyBorder="1"/>
    <xf numFmtId="0" fontId="137" fillId="0" borderId="52" xfId="0" applyFont="1" applyBorder="1"/>
    <xf numFmtId="0" fontId="3" fillId="0" borderId="56" xfId="0" applyFont="1" applyBorder="1"/>
    <xf numFmtId="4" fontId="136" fillId="83" borderId="57" xfId="0" applyNumberFormat="1" applyFont="1" applyFill="1" applyBorder="1"/>
    <xf numFmtId="0" fontId="137" fillId="0" borderId="58" xfId="0" applyFont="1" applyBorder="1"/>
    <xf numFmtId="4" fontId="3" fillId="0" borderId="54" xfId="0" applyNumberFormat="1" applyFont="1" applyBorder="1" applyAlignment="1">
      <alignment horizontal="right"/>
    </xf>
    <xf numFmtId="4" fontId="3" fillId="0" borderId="53" xfId="0" applyNumberFormat="1" applyFont="1" applyBorder="1" applyAlignment="1">
      <alignment horizontal="right"/>
    </xf>
    <xf numFmtId="4" fontId="3" fillId="0" borderId="55" xfId="0" applyNumberFormat="1" applyFont="1" applyBorder="1" applyAlignment="1">
      <alignment horizontal="right"/>
    </xf>
    <xf numFmtId="4" fontId="3" fillId="0" borderId="52" xfId="0" applyNumberFormat="1" applyFont="1" applyBorder="1" applyAlignment="1">
      <alignment horizontal="right"/>
    </xf>
    <xf numFmtId="4" fontId="3" fillId="0" borderId="56" xfId="0" applyNumberFormat="1" applyFont="1" applyBorder="1" applyAlignment="1">
      <alignment horizontal="right"/>
    </xf>
    <xf numFmtId="4" fontId="3" fillId="0" borderId="58" xfId="0" applyNumberFormat="1" applyFont="1" applyBorder="1" applyAlignment="1">
      <alignment horizontal="right"/>
    </xf>
    <xf numFmtId="4" fontId="0" fillId="0" borderId="54" xfId="0" applyNumberFormat="1" applyBorder="1" applyAlignment="1">
      <alignment horizontal="right"/>
    </xf>
    <xf numFmtId="4" fontId="0" fillId="0" borderId="11" xfId="0" applyNumberFormat="1" applyBorder="1" applyAlignment="1">
      <alignment horizontal="right"/>
    </xf>
    <xf numFmtId="4" fontId="0" fillId="0" borderId="53" xfId="0" applyNumberFormat="1" applyBorder="1" applyAlignment="1">
      <alignment horizontal="right"/>
    </xf>
    <xf numFmtId="4" fontId="0" fillId="0" borderId="55" xfId="0" applyNumberFormat="1" applyBorder="1" applyAlignment="1">
      <alignment horizontal="right"/>
    </xf>
    <xf numFmtId="4" fontId="0" fillId="0" borderId="0" xfId="0" applyNumberFormat="1" applyBorder="1" applyAlignment="1">
      <alignment horizontal="right"/>
    </xf>
    <xf numFmtId="4" fontId="0" fillId="0" borderId="52" xfId="0" applyNumberFormat="1" applyBorder="1" applyAlignment="1">
      <alignment horizontal="right"/>
    </xf>
    <xf numFmtId="4" fontId="0" fillId="0" borderId="55" xfId="0" applyNumberFormat="1" applyFont="1" applyBorder="1" applyAlignment="1">
      <alignment horizontal="right"/>
    </xf>
    <xf numFmtId="4" fontId="0" fillId="0" borderId="0" xfId="0" applyNumberFormat="1" applyFont="1" applyBorder="1" applyAlignment="1">
      <alignment horizontal="right"/>
    </xf>
    <xf numFmtId="4" fontId="0" fillId="0" borderId="56" xfId="0" applyNumberFormat="1" applyBorder="1" applyAlignment="1">
      <alignment horizontal="right"/>
    </xf>
    <xf numFmtId="4" fontId="0" fillId="0" borderId="58" xfId="0" applyNumberFormat="1" applyBorder="1" applyAlignment="1">
      <alignment horizontal="right"/>
    </xf>
    <xf numFmtId="4" fontId="138" fillId="121" borderId="11" xfId="0" applyNumberFormat="1" applyFont="1" applyFill="1" applyBorder="1" applyAlignment="1">
      <alignment horizontal="right"/>
    </xf>
    <xf numFmtId="4" fontId="138" fillId="121" borderId="0" xfId="0" applyNumberFormat="1" applyFont="1" applyFill="1" applyBorder="1" applyAlignment="1">
      <alignment horizontal="right"/>
    </xf>
    <xf numFmtId="4" fontId="138" fillId="121" borderId="57" xfId="0" applyNumberFormat="1" applyFont="1" applyFill="1" applyBorder="1" applyAlignment="1">
      <alignment horizontal="right"/>
    </xf>
    <xf numFmtId="0" fontId="3" fillId="113" borderId="19" xfId="0" applyFont="1" applyFill="1" applyBorder="1" applyAlignment="1">
      <alignment horizontal="right"/>
    </xf>
    <xf numFmtId="0" fontId="3" fillId="113" borderId="68" xfId="0" applyFont="1" applyFill="1" applyBorder="1" applyAlignment="1">
      <alignment horizontal="right"/>
    </xf>
    <xf numFmtId="175" fontId="31" fillId="0" borderId="18" xfId="0" applyNumberFormat="1" applyFont="1" applyFill="1" applyBorder="1" applyAlignment="1">
      <alignment horizontal="right"/>
    </xf>
    <xf numFmtId="219" fontId="32" fillId="115" borderId="16" xfId="0" applyNumberFormat="1" applyFont="1" applyFill="1" applyBorder="1" applyAlignment="1">
      <alignment horizontal="right"/>
    </xf>
    <xf numFmtId="219" fontId="32" fillId="115" borderId="17" xfId="0" applyNumberFormat="1" applyFont="1" applyFill="1" applyBorder="1" applyAlignment="1">
      <alignment horizontal="right"/>
    </xf>
    <xf numFmtId="219" fontId="32" fillId="28" borderId="0" xfId="0" applyNumberFormat="1" applyFont="1" applyFill="1" applyBorder="1" applyAlignment="1">
      <alignment horizontal="right"/>
    </xf>
    <xf numFmtId="219" fontId="32" fillId="28" borderId="14" xfId="0" applyNumberFormat="1" applyFont="1" applyFill="1" applyBorder="1" applyAlignment="1">
      <alignment horizontal="right"/>
    </xf>
    <xf numFmtId="219" fontId="32" fillId="0" borderId="0" xfId="0" applyNumberFormat="1" applyFont="1" applyBorder="1" applyAlignment="1">
      <alignment horizontal="right"/>
    </xf>
    <xf numFmtId="219" fontId="32" fillId="0" borderId="14" xfId="0" applyNumberFormat="1" applyFont="1" applyBorder="1" applyAlignment="1">
      <alignment horizontal="right"/>
    </xf>
    <xf numFmtId="219" fontId="32" fillId="0" borderId="16" xfId="0" applyNumberFormat="1" applyFont="1" applyBorder="1" applyAlignment="1">
      <alignment horizontal="right"/>
    </xf>
    <xf numFmtId="219" fontId="32" fillId="0" borderId="17" xfId="0" applyNumberFormat="1" applyFont="1" applyBorder="1" applyAlignment="1">
      <alignment horizontal="right"/>
    </xf>
    <xf numFmtId="231" fontId="0" fillId="0" borderId="0" xfId="0" applyNumberFormat="1"/>
    <xf numFmtId="231" fontId="0" fillId="0" borderId="0" xfId="0" applyNumberFormat="1" applyAlignment="1">
      <alignment horizontal="right"/>
    </xf>
    <xf numFmtId="0" fontId="0" fillId="0" borderId="65" xfId="0" applyBorder="1"/>
    <xf numFmtId="0" fontId="0" fillId="0" borderId="67" xfId="0" applyBorder="1" applyAlignment="1">
      <alignment horizontal="right"/>
    </xf>
    <xf numFmtId="0" fontId="0" fillId="0" borderId="55" xfId="0" applyBorder="1"/>
    <xf numFmtId="0" fontId="0" fillId="0" borderId="56" xfId="0" applyBorder="1"/>
    <xf numFmtId="0" fontId="0" fillId="0" borderId="66" xfId="0" applyBorder="1" applyAlignment="1">
      <alignment horizontal="right"/>
    </xf>
    <xf numFmtId="232" fontId="0" fillId="0" borderId="10" xfId="0" applyNumberFormat="1" applyBorder="1"/>
    <xf numFmtId="232" fontId="0" fillId="0" borderId="11" xfId="0" applyNumberFormat="1" applyBorder="1"/>
    <xf numFmtId="232" fontId="0" fillId="0" borderId="12" xfId="0" applyNumberFormat="1" applyBorder="1"/>
    <xf numFmtId="0" fontId="0" fillId="0" borderId="25" xfId="0" applyBorder="1"/>
    <xf numFmtId="0" fontId="137" fillId="0" borderId="15" xfId="0" applyFont="1" applyBorder="1"/>
    <xf numFmtId="0" fontId="137" fillId="0" borderId="16" xfId="0" applyFont="1" applyBorder="1"/>
    <xf numFmtId="0" fontId="137" fillId="0" borderId="17" xfId="0" applyFont="1" applyBorder="1"/>
    <xf numFmtId="4" fontId="0" fillId="83" borderId="10" xfId="0" applyNumberFormat="1" applyFill="1" applyBorder="1"/>
    <xf numFmtId="4" fontId="0" fillId="83" borderId="11" xfId="0" applyNumberFormat="1" applyFill="1" applyBorder="1"/>
    <xf numFmtId="4" fontId="0" fillId="83" borderId="12" xfId="0" applyNumberFormat="1" applyFill="1" applyBorder="1"/>
    <xf numFmtId="4" fontId="0" fillId="0" borderId="15" xfId="0" applyNumberFormat="1" applyBorder="1"/>
    <xf numFmtId="4" fontId="0" fillId="0" borderId="16" xfId="0" applyNumberFormat="1" applyBorder="1"/>
    <xf numFmtId="4" fontId="0" fillId="0" borderId="17" xfId="0" applyNumberFormat="1" applyBorder="1"/>
    <xf numFmtId="0" fontId="139" fillId="122" borderId="18" xfId="0" applyFont="1" applyFill="1" applyBorder="1"/>
    <xf numFmtId="0" fontId="139" fillId="122" borderId="19" xfId="0" applyFont="1" applyFill="1" applyBorder="1" applyAlignment="1">
      <alignment horizontal="center"/>
    </xf>
  </cellXfs>
  <cellStyles count="4622">
    <cellStyle name="_02 Evol Inver Amort y Obras en Curso SAL 2007" xfId="45"/>
    <cellStyle name="_02 Evol Inver Amort y Obras en Curso SAL 2007 2" xfId="46"/>
    <cellStyle name="_02 Evol Inver Amort y Obras en Curso SAN 2007" xfId="47"/>
    <cellStyle name="_02 Evol Inver Amort y Obras en Curso SAN 2007 2" xfId="48"/>
    <cellStyle name="_02 Resumen, detalle inversiones y dep 2007" xfId="49"/>
    <cellStyle name="_02 Resumen, detalle inversiones y dep 2007 2" xfId="50"/>
    <cellStyle name="_02 Resumen,detalle inver y dep SAL 2007" xfId="51"/>
    <cellStyle name="_03 ACTIVACION CAPEX Y OBRAS EN CURSO 2007" xfId="52"/>
    <cellStyle name="_03 ACTIVACION CAPEX Y OBRAS EN CURSO 2007 2" xfId="53"/>
    <cellStyle name="_03 ACTIVACION CAPEX Y OBRAS EN CURSO 2007 2 2" xfId="54"/>
    <cellStyle name="_03 ACTIVACION CAPEX Y OBRAS EN CURSO 2007 2 2 2" xfId="55"/>
    <cellStyle name="_03 ACTIVACION CAPEX Y OBRAS EN CURSO 2007 2 3" xfId="56"/>
    <cellStyle name="_03 ACTIVACION CAPEX Y OBRAS EN CURSO 2007 2_20110401_SAL_Rev#1_ PTP 2011" xfId="57"/>
    <cellStyle name="_03 ACTIVACION CAPEX Y OBRAS EN CURSO 2007 2_20110401_SAN_Rev#1_ PTP 2012" xfId="58"/>
    <cellStyle name="_03 ACTIVACION CAPEX Y OBRAS EN CURSO 2007 2_20110401_SAN_Rev#2_ PTP 2012" xfId="59"/>
    <cellStyle name="_03 ACTIVACION CAPEX Y OBRAS EN CURSO 2007 2_PERF SAL101i" xfId="60"/>
    <cellStyle name="_03 ACTIVACION CAPEX Y OBRAS EN CURSO 2007 2_PERF SAL16" xfId="61"/>
    <cellStyle name="_03 ACTIVACION CAPEX Y OBRAS EN CURSO 2007 2_PERF SBL101i" xfId="62"/>
    <cellStyle name="_03 ACTIVACION CAPEX Y OBRAS EN CURSO 2007 2_REENTRY SAL X11" xfId="63"/>
    <cellStyle name="_03 ACTIVACION CAPEX Y OBRAS EN CURSO 2007 2_TERM REENTRY SAL X11" xfId="64"/>
    <cellStyle name="_03 ACTIVACION CAPEX Y OBRAS EN CURSO 2007 2_TERM SBL101i" xfId="65"/>
    <cellStyle name="_03 ACTIVACION CAPEX Y OBRAS EN CURSO 2007 3" xfId="66"/>
    <cellStyle name="_03 ACTIVACION CAPEX Y OBRAS EN CURSO 2007_20110401_SAL_Rev#1_ PTP 2011" xfId="67"/>
    <cellStyle name="_03 ACTIVACION CAPEX Y OBRAS EN CURSO 2007_20110401_SAN_Rev#1_ PTP 2012" xfId="68"/>
    <cellStyle name="_03 ACTIVACION CAPEX Y OBRAS EN CURSO 2007_DESCARTE AGUA" xfId="69"/>
    <cellStyle name="_03 ACTIVACION CAPEX Y OBRAS EN CURSO 2007_DESCARTE AGUA 2" xfId="70"/>
    <cellStyle name="_03 ACTIVACION CAPEX Y OBRAS EN CURSO 2007_DNCR T-03 TOTAL" xfId="71"/>
    <cellStyle name="_03 ACTIVACION CAPEX Y OBRAS EN CURSO 2007_DNCR-AUX-01-SEG." xfId="72"/>
    <cellStyle name="_03 ACTIVACION CAPEX Y OBRAS EN CURSO 2007_DNCR-AUX-01-SEG._DNCR T-03 TOTAL" xfId="73"/>
    <cellStyle name="_03 ACTIVACION CAPEX Y OBRAS EN CURSO 2007_DNCR-AUX-01-SEG._FORM. DNCR T-03 2008" xfId="74"/>
    <cellStyle name="_03 ACTIVACION CAPEX Y OBRAS EN CURSO 2007_FORM. DNCR T-03 2008" xfId="75"/>
    <cellStyle name="_03 ACTIVACION CAPEX Y OBRAS EN CURSO 2007_PERF SAL101i" xfId="76"/>
    <cellStyle name="_03 ACTIVACION CAPEX Y OBRAS EN CURSO 2007_PERF SAL16" xfId="77"/>
    <cellStyle name="_03 ACTIVACION CAPEX Y OBRAS EN CURSO 2007_REENTRY SAL X11" xfId="78"/>
    <cellStyle name="_03 ACTIVACION CAPEX Y OBRAS EN CURSO 2007_Revisión Seguros 2008_ DNCR-AUX-01-SEG" xfId="79"/>
    <cellStyle name="_03 ACTIVACION CAPEX Y OBRAS EN CURSO 2007_Revisión Seguros 2008_ DNCR-AUX-01-SEG_DNCR T-03 TOTAL" xfId="80"/>
    <cellStyle name="_03 ACTIVACION CAPEX Y OBRAS EN CURSO 2007_Revisión Seguros 2008_ DNCR-AUX-01-SEG_FORM. DNCR T-03 2008" xfId="81"/>
    <cellStyle name="_03 ACTIVACION CAPEX Y OBRAS EN CURSO 2007_Seguro médico" xfId="82"/>
    <cellStyle name="_03 ACTIVACION CAPEX Y OBRAS EN CURSO 2007_Seguro médico_DNCR T-03 TOTAL" xfId="83"/>
    <cellStyle name="_03 ACTIVACION CAPEX Y OBRAS EN CURSO 2007_Seguro médico_FORM. DNCR T-03 2008" xfId="84"/>
    <cellStyle name="_03 ACTIVACION CAPEX Y OBRAS EN CURSO 2007_Seguros" xfId="85"/>
    <cellStyle name="_03 ACTIVACION CAPEX Y OBRAS EN CURSO 2007_TERM REENTRY SAL X11" xfId="86"/>
    <cellStyle name="_2 Evol Inver Amort y Obras en Curso BG 2007" xfId="87"/>
    <cellStyle name="_2 Evol Inver Amort y Obras en Curso SAL 2007" xfId="88"/>
    <cellStyle name="_2 Evol Inver Amort y Obras en Curso SAL 2007 2" xfId="89"/>
    <cellStyle name="_20 centralizador Capex BGL mayo dic-2007" xfId="90"/>
    <cellStyle name="_20 centralizador Capex BGL mayo dic-2007_20 Revis Costos Recup BG may dic-2007 VER 2" xfId="91"/>
    <cellStyle name="_20 centralizador Capex BGL mayo dic-2007_20 Revis Costos Recup BG may dic-2007 VER 2_DNCR T-03 TOTAL" xfId="92"/>
    <cellStyle name="_20 centralizador Capex BGL mayo dic-2007_20 Revis Costos Recup BG may dic-2007 VER 2_DNCR-AUX-01-SEG." xfId="93"/>
    <cellStyle name="_20 centralizador Capex BGL mayo dic-2007_20 Revis Costos Recup BG may dic-2007 VER 2_DNCR-AUX-01-SEG._DNCR T-03 TOTAL" xfId="94"/>
    <cellStyle name="_20 centralizador Capex BGL mayo dic-2007_20 Revis Costos Recup BG may dic-2007 VER 2_DNCR-AUX-01-SEG._FORM. DNCR T-03 2008" xfId="95"/>
    <cellStyle name="_20 centralizador Capex BGL mayo dic-2007_20 Revis Costos Recup BG may dic-2007 VER 2_FORM. DNCR T-03 2008" xfId="96"/>
    <cellStyle name="_20 centralizador Capex BGL mayo dic-2007_20 Revis Costos Recup BG may dic-2007 VER 2_Revisión Seguros 2008_ DNCR-AUX-01-SEG" xfId="97"/>
    <cellStyle name="_20 centralizador Capex BGL mayo dic-2007_20 Revis Costos Recup BG may dic-2007 VER 2_Revisión Seguros 2008_ DNCR-AUX-01-SEG_DNCR T-03 TOTAL" xfId="98"/>
    <cellStyle name="_20 centralizador Capex BGL mayo dic-2007_20 Revis Costos Recup BG may dic-2007 VER 2_Revisión Seguros 2008_ DNCR-AUX-01-SEG_FORM. DNCR T-03 2008" xfId="99"/>
    <cellStyle name="_20 centralizador Capex BGL mayo dic-2007_20 Revis Costos Recup BG may dic-2007 VER 2_Seguro médico" xfId="100"/>
    <cellStyle name="_20 centralizador Capex BGL mayo dic-2007_20 Revis Costos Recup BG may dic-2007 VER 2_Seguro médico_DNCR T-03 TOTAL" xfId="101"/>
    <cellStyle name="_20 centralizador Capex BGL mayo dic-2007_20 Revis Costos Recup BG may dic-2007 VER 2_Seguro médico_FORM. DNCR T-03 2008" xfId="102"/>
    <cellStyle name="_20 centralizador Capex BGL mayo dic-2007_20 REVIS COSTOS RECUP PESA may dic-2007 VER 2" xfId="103"/>
    <cellStyle name="_20 centralizador Capex BGL mayo dic-2007_20 REVIS COSTOS RECUP PESA may dic-2007 VER 2_DNCR T-03 TOTAL" xfId="104"/>
    <cellStyle name="_20 centralizador Capex BGL mayo dic-2007_20 REVIS COSTOS RECUP PESA may dic-2007 VER 2_FORM. DNCR T-03 2008" xfId="105"/>
    <cellStyle name="_20 centralizador Capex BGL mayo dic-2007_DNCR T-03 TOTAL" xfId="106"/>
    <cellStyle name="_20 centralizador Capex BGL mayo dic-2007_DNCR-AUX-01-SEG." xfId="107"/>
    <cellStyle name="_20 centralizador Capex BGL mayo dic-2007_DNCR-AUX-01-SEG._DNCR T-03 TOTAL" xfId="108"/>
    <cellStyle name="_20 centralizador Capex BGL mayo dic-2007_DNCR-AUX-01-SEG._FORM. DNCR T-03 2008" xfId="109"/>
    <cellStyle name="_20 centralizador Capex BGL mayo dic-2007_FORM. DNCR T-03 2008" xfId="110"/>
    <cellStyle name="_20 centralizador Capex BGL mayo dic-2007_Revisión Seguros 2008_ DNCR-AUX-01-SEG" xfId="111"/>
    <cellStyle name="_20 centralizador Capex BGL mayo dic-2007_Revisión Seguros 2008_ DNCR-AUX-01-SEG_DNCR T-03 TOTAL" xfId="112"/>
    <cellStyle name="_20 centralizador Capex BGL mayo dic-2007_Revisión Seguros 2008_ DNCR-AUX-01-SEG_FORM. DNCR T-03 2008" xfId="113"/>
    <cellStyle name="_20 centralizador Capex BGL mayo dic-2007_Seguro médico" xfId="114"/>
    <cellStyle name="_20 centralizador Capex BGL mayo dic-2007_Seguro médico_DNCR T-03 TOTAL" xfId="115"/>
    <cellStyle name="_20 centralizador Capex BGL mayo dic-2007_Seguro médico_FORM. DNCR T-03 2008" xfId="116"/>
    <cellStyle name="_20 centralizador Capex BGL mayo dic-2007_Seguros" xfId="117"/>
    <cellStyle name="_20 centralizador Capex BGL mayo dic-2007_SEGUROS PEB MAY DIC 07" xfId="118"/>
    <cellStyle name="_20 centralizador Capex BGL mayo dic-2007_SEGUROS PEB MAY DIC 07_20 Revis Costos Recup BG may dic-2007 VER 2" xfId="119"/>
    <cellStyle name="_20 centralizador Capex BGL mayo dic-2007_SEGUROS PEB MAY DIC 07_20 Revis Costos Recup BG may dic-2007 VER 2_DNCR T-03 TOTAL" xfId="120"/>
    <cellStyle name="_20 centralizador Capex BGL mayo dic-2007_SEGUROS PEB MAY DIC 07_20 Revis Costos Recup BG may dic-2007 VER 2_FORM. DNCR T-03 2008" xfId="121"/>
    <cellStyle name="_20 centralizador Capex BGL mayo dic-2007_SEGUROS PEB MAY DIC 07_DNCR T-03 TOTAL" xfId="122"/>
    <cellStyle name="_20 centralizador Capex BGL mayo dic-2007_SEGUROS PEB MAY DIC 07_DNCR-AUX-01-SEG." xfId="123"/>
    <cellStyle name="_20 centralizador Capex BGL mayo dic-2007_SEGUROS PEB MAY DIC 07_DNCR-AUX-01-SEG._DNCR T-03 TOTAL" xfId="124"/>
    <cellStyle name="_20 centralizador Capex BGL mayo dic-2007_SEGUROS PEB MAY DIC 07_DNCR-AUX-01-SEG._FORM. DNCR T-03 2008" xfId="125"/>
    <cellStyle name="_20 centralizador Capex BGL mayo dic-2007_SEGUROS PEB MAY DIC 07_FORM. DNCR T-03 2008" xfId="126"/>
    <cellStyle name="_20 centralizador Capex BGL mayo dic-2007_SEGUROS PEB MAY DIC 07_Revisión Seguros 2008_ DNCR-AUX-01-SEG" xfId="127"/>
    <cellStyle name="_20 centralizador Capex BGL mayo dic-2007_SEGUROS PEB MAY DIC 07_Revisión Seguros 2008_ DNCR-AUX-01-SEG_DNCR T-03 TOTAL" xfId="128"/>
    <cellStyle name="_20 centralizador Capex BGL mayo dic-2007_SEGUROS PEB MAY DIC 07_Revisión Seguros 2008_ DNCR-AUX-01-SEG_FORM. DNCR T-03 2008" xfId="129"/>
    <cellStyle name="_20 centralizador Capex BGL mayo dic-2007_SEGUROS PEB MAY DIC 07_Seguro médico" xfId="130"/>
    <cellStyle name="_20 centralizador Capex BGL mayo dic-2007_SEGUROS PEB MAY DIC 07_Seguro médico_DNCR T-03 TOTAL" xfId="131"/>
    <cellStyle name="_20 centralizador Capex BGL mayo dic-2007_SEGUROS PEB MAY DIC 07_Seguro médico_FORM. DNCR T-03 2008" xfId="132"/>
    <cellStyle name="_20 centralizador Capex BGL mayo dic-2007_seguros PEB v. final 2" xfId="133"/>
    <cellStyle name="_20 centralizador Capex BGL mayo dic-2007_seguros PEB v. final 2_DNCR T-03 TOTAL" xfId="134"/>
    <cellStyle name="_20 centralizador Capex BGL mayo dic-2007_seguros PEB v. final 2_DNCR-AUX-01-SEG." xfId="135"/>
    <cellStyle name="_20 centralizador Capex BGL mayo dic-2007_seguros PEB v. final 2_DNCR-AUX-01-SEG._DNCR T-03 TOTAL" xfId="136"/>
    <cellStyle name="_20 centralizador Capex BGL mayo dic-2007_seguros PEB v. final 2_DNCR-AUX-01-SEG._FORM. DNCR T-03 2008" xfId="137"/>
    <cellStyle name="_20 centralizador Capex BGL mayo dic-2007_seguros PEB v. final 2_FORM. DNCR T-03 2008" xfId="138"/>
    <cellStyle name="_20 centralizador Capex BGL mayo dic-2007_seguros PEB v. final 2_Revisión Seguros 2008_ DNCR-AUX-01-SEG" xfId="139"/>
    <cellStyle name="_20 centralizador Capex BGL mayo dic-2007_seguros PEB v. final 2_Revisión Seguros 2008_ DNCR-AUX-01-SEG_DNCR T-03 TOTAL" xfId="140"/>
    <cellStyle name="_20 centralizador Capex BGL mayo dic-2007_seguros PEB v. final 2_Revisión Seguros 2008_ DNCR-AUX-01-SEG_FORM. DNCR T-03 2008" xfId="141"/>
    <cellStyle name="_20 centralizador Capex BGL mayo dic-2007_seguros PEB v. final 2_Seguro médico" xfId="142"/>
    <cellStyle name="_20 centralizador Capex BGL mayo dic-2007_seguros PEB v. final 2_Seguro médico_DNCR T-03 TOTAL" xfId="143"/>
    <cellStyle name="_20 centralizador Capex BGL mayo dic-2007_seguros PEB v. final 2_Seguro médico_FORM. DNCR T-03 2008" xfId="144"/>
    <cellStyle name="_20 centralizador Capex SAL mayo jul-2007" xfId="145"/>
    <cellStyle name="_20 centralizador Capex SAL mayo jul-2007 2" xfId="146"/>
    <cellStyle name="_20 centralizador Capex SAL mayo jul-2007 2 2" xfId="147"/>
    <cellStyle name="_20 centralizador Capex SAL mayo jul-2007 2 2 2" xfId="148"/>
    <cellStyle name="_20 centralizador Capex SAL mayo jul-2007 2 3" xfId="149"/>
    <cellStyle name="_20 centralizador Capex SAL mayo jul-2007 2_20110401_SAL_Rev#1_ PTP 2011" xfId="150"/>
    <cellStyle name="_20 centralizador Capex SAL mayo jul-2007 2_20110401_SAN_Rev#1_ PTP 2012" xfId="151"/>
    <cellStyle name="_20 centralizador Capex SAL mayo jul-2007 2_20110401_SAN_Rev#2_ PTP 2012" xfId="152"/>
    <cellStyle name="_20 centralizador Capex SAL mayo jul-2007 2_PERF SAL101i" xfId="153"/>
    <cellStyle name="_20 centralizador Capex SAL mayo jul-2007 2_PERF SAL16" xfId="154"/>
    <cellStyle name="_20 centralizador Capex SAL mayo jul-2007 2_PERF SBL101i" xfId="155"/>
    <cellStyle name="_20 centralizador Capex SAL mayo jul-2007 2_REENTRY SAL X11" xfId="156"/>
    <cellStyle name="_20 centralizador Capex SAL mayo jul-2007 2_TERM REENTRY SAL X11" xfId="157"/>
    <cellStyle name="_20 centralizador Capex SAL mayo jul-2007 2_TERM SBL101i" xfId="158"/>
    <cellStyle name="_20 centralizador Capex SAL mayo jul-2007 3" xfId="159"/>
    <cellStyle name="_20 centralizador Capex SAL mayo jul-2007_20110401_SAL_Rev#1_ PTP 2011" xfId="160"/>
    <cellStyle name="_20 centralizador Capex SAL mayo jul-2007_20110401_SAN_Rev#1_ PTP 2012" xfId="161"/>
    <cellStyle name="_20 centralizador Capex SAL mayo jul-2007_DESCARTE AGUA" xfId="162"/>
    <cellStyle name="_20 centralizador Capex SAL mayo jul-2007_DESCARTE AGUA 2" xfId="163"/>
    <cellStyle name="_20 centralizador Capex SAL mayo jul-2007_DNCR T-03 TOTAL" xfId="164"/>
    <cellStyle name="_20 centralizador Capex SAL mayo jul-2007_DNCR-AUX-01-SEG." xfId="165"/>
    <cellStyle name="_20 centralizador Capex SAL mayo jul-2007_DNCR-AUX-01-SEG._DNCR T-03 TOTAL" xfId="166"/>
    <cellStyle name="_20 centralizador Capex SAL mayo jul-2007_DNCR-AUX-01-SEG._FORM. DNCR T-03 2008" xfId="167"/>
    <cellStyle name="_20 centralizador Capex SAL mayo jul-2007_FORM. DNCR T-03 2008" xfId="168"/>
    <cellStyle name="_20 centralizador Capex SAL mayo jul-2007_PERF SAL101i" xfId="169"/>
    <cellStyle name="_20 centralizador Capex SAL mayo jul-2007_PERF SAL16" xfId="170"/>
    <cellStyle name="_20 centralizador Capex SAL mayo jul-2007_REENTRY SAL X11" xfId="171"/>
    <cellStyle name="_20 centralizador Capex SAL mayo jul-2007_Revisión Seguros 2008_ DNCR-AUX-01-SEG" xfId="172"/>
    <cellStyle name="_20 centralizador Capex SAL mayo jul-2007_Revisión Seguros 2008_ DNCR-AUX-01-SEG_DNCR T-03 TOTAL" xfId="173"/>
    <cellStyle name="_20 centralizador Capex SAL mayo jul-2007_Revisión Seguros 2008_ DNCR-AUX-01-SEG_FORM. DNCR T-03 2008" xfId="174"/>
    <cellStyle name="_20 centralizador Capex SAL mayo jul-2007_Seguro médico" xfId="175"/>
    <cellStyle name="_20 centralizador Capex SAL mayo jul-2007_Seguro médico_DNCR T-03 TOTAL" xfId="176"/>
    <cellStyle name="_20 centralizador Capex SAL mayo jul-2007_Seguro médico_FORM. DNCR T-03 2008" xfId="177"/>
    <cellStyle name="_20 centralizador Capex SAL mayo jul-2007_Seguros" xfId="178"/>
    <cellStyle name="_20 centralizador Capex SAL mayo jul-2007_TERM REENTRY SAL X11" xfId="179"/>
    <cellStyle name="_20 centralizador Capex SAN mayo jul-2007" xfId="180"/>
    <cellStyle name="_20 centralizador Capex SAN mayo jul-2007 2" xfId="181"/>
    <cellStyle name="_20 centralizador Capex SAN mayo jul-2007 2 2" xfId="182"/>
    <cellStyle name="_20 centralizador Capex SAN mayo jul-2007 2 2 2" xfId="183"/>
    <cellStyle name="_20 centralizador Capex SAN mayo jul-2007 2 3" xfId="184"/>
    <cellStyle name="_20 centralizador Capex SAN mayo jul-2007 2_20110401_SAL_Rev#1_ PTP 2011" xfId="185"/>
    <cellStyle name="_20 centralizador Capex SAN mayo jul-2007 2_20110401_SAN_Rev#1_ PTP 2012" xfId="186"/>
    <cellStyle name="_20 centralizador Capex SAN mayo jul-2007 2_20110401_SAN_Rev#2_ PTP 2012" xfId="187"/>
    <cellStyle name="_20 centralizador Capex SAN mayo jul-2007 2_PERF SAL101i" xfId="188"/>
    <cellStyle name="_20 centralizador Capex SAN mayo jul-2007 2_PERF SAL16" xfId="189"/>
    <cellStyle name="_20 centralizador Capex SAN mayo jul-2007 2_PERF SBL101i" xfId="190"/>
    <cellStyle name="_20 centralizador Capex SAN mayo jul-2007 2_REENTRY SAL X11" xfId="191"/>
    <cellStyle name="_20 centralizador Capex SAN mayo jul-2007 2_TERM REENTRY SAL X11" xfId="192"/>
    <cellStyle name="_20 centralizador Capex SAN mayo jul-2007 2_TERM SBL101i" xfId="193"/>
    <cellStyle name="_20 centralizador Capex SAN mayo jul-2007 3" xfId="194"/>
    <cellStyle name="_20 centralizador Capex SAN mayo jul-2007_20110401_SAL_Rev#1_ PTP 2011" xfId="195"/>
    <cellStyle name="_20 centralizador Capex SAN mayo jul-2007_20110401_SAN_Rev#1_ PTP 2012" xfId="196"/>
    <cellStyle name="_20 centralizador Capex SAN mayo jul-2007_DESCARTE AGUA" xfId="197"/>
    <cellStyle name="_20 centralizador Capex SAN mayo jul-2007_DESCARTE AGUA 2" xfId="198"/>
    <cellStyle name="_20 centralizador Capex SAN mayo jul-2007_DNCR T-03 TOTAL" xfId="199"/>
    <cellStyle name="_20 centralizador Capex SAN mayo jul-2007_DNCR-AUX-01-SEG." xfId="200"/>
    <cellStyle name="_20 centralizador Capex SAN mayo jul-2007_DNCR-AUX-01-SEG._DNCR T-03 TOTAL" xfId="201"/>
    <cellStyle name="_20 centralizador Capex SAN mayo jul-2007_DNCR-AUX-01-SEG._FORM. DNCR T-03 2008" xfId="202"/>
    <cellStyle name="_20 centralizador Capex SAN mayo jul-2007_FORM. DNCR T-03 2008" xfId="203"/>
    <cellStyle name="_20 centralizador Capex SAN mayo jul-2007_PERF SAL101i" xfId="204"/>
    <cellStyle name="_20 centralizador Capex SAN mayo jul-2007_PERF SAL16" xfId="205"/>
    <cellStyle name="_20 centralizador Capex SAN mayo jul-2007_REENTRY SAL X11" xfId="206"/>
    <cellStyle name="_20 centralizador Capex SAN mayo jul-2007_Revisión Seguros 2008_ DNCR-AUX-01-SEG" xfId="207"/>
    <cellStyle name="_20 centralizador Capex SAN mayo jul-2007_Revisión Seguros 2008_ DNCR-AUX-01-SEG_DNCR T-03 TOTAL" xfId="208"/>
    <cellStyle name="_20 centralizador Capex SAN mayo jul-2007_Revisión Seguros 2008_ DNCR-AUX-01-SEG_FORM. DNCR T-03 2008" xfId="209"/>
    <cellStyle name="_20 centralizador Capex SAN mayo jul-2007_Seguro médico" xfId="210"/>
    <cellStyle name="_20 centralizador Capex SAN mayo jul-2007_Seguro médico_DNCR T-03 TOTAL" xfId="211"/>
    <cellStyle name="_20 centralizador Capex SAN mayo jul-2007_Seguro médico_FORM. DNCR T-03 2008" xfId="212"/>
    <cellStyle name="_20 centralizador Capex SAN mayo jul-2007_Seguros" xfId="213"/>
    <cellStyle name="_20 centralizador Capex SAN mayo jul-2007_TERM REENTRY SAL X11" xfId="214"/>
    <cellStyle name="_20 revis OBC CAPEX PESA May Dic-07" xfId="215"/>
    <cellStyle name="_20 revis OBC CAPEX PESA May Dic-07_20 Revis Costos Recup BG may dic-2007 VER 2" xfId="216"/>
    <cellStyle name="_20 revis OBC CAPEX PESA May Dic-07_20 Revis Costos Recup BG may dic-2007 VER 2_DNCR T-03 TOTAL" xfId="217"/>
    <cellStyle name="_20 revis OBC CAPEX PESA May Dic-07_20 Revis Costos Recup BG may dic-2007 VER 2_DNCR-AUX-01-SEG." xfId="218"/>
    <cellStyle name="_20 revis OBC CAPEX PESA May Dic-07_20 Revis Costos Recup BG may dic-2007 VER 2_DNCR-AUX-01-SEG._DNCR T-03 TOTAL" xfId="219"/>
    <cellStyle name="_20 revis OBC CAPEX PESA May Dic-07_20 Revis Costos Recup BG may dic-2007 VER 2_DNCR-AUX-01-SEG._FORM. DNCR T-03 2008" xfId="220"/>
    <cellStyle name="_20 revis OBC CAPEX PESA May Dic-07_20 Revis Costos Recup BG may dic-2007 VER 2_FORM. DNCR T-03 2008" xfId="221"/>
    <cellStyle name="_20 revis OBC CAPEX PESA May Dic-07_20 Revis Costos Recup BG may dic-2007 VER 2_Revisión Seguros 2008_ DNCR-AUX-01-SEG" xfId="222"/>
    <cellStyle name="_20 revis OBC CAPEX PESA May Dic-07_20 Revis Costos Recup BG may dic-2007 VER 2_Revisión Seguros 2008_ DNCR-AUX-01-SEG_DNCR T-03 TOTAL" xfId="223"/>
    <cellStyle name="_20 revis OBC CAPEX PESA May Dic-07_20 Revis Costos Recup BG may dic-2007 VER 2_Revisión Seguros 2008_ DNCR-AUX-01-SEG_FORM. DNCR T-03 2008" xfId="224"/>
    <cellStyle name="_20 revis OBC CAPEX PESA May Dic-07_20 Revis Costos Recup BG may dic-2007 VER 2_Seguro médico" xfId="225"/>
    <cellStyle name="_20 revis OBC CAPEX PESA May Dic-07_20 Revis Costos Recup BG may dic-2007 VER 2_Seguro médico_DNCR T-03 TOTAL" xfId="226"/>
    <cellStyle name="_20 revis OBC CAPEX PESA May Dic-07_20 Revis Costos Recup BG may dic-2007 VER 2_Seguro médico_FORM. DNCR T-03 2008" xfId="227"/>
    <cellStyle name="_20 revis OBC CAPEX PESA May Dic-07_DNCR T-03 TOTAL" xfId="228"/>
    <cellStyle name="_20 revis OBC CAPEX PESA May Dic-07_FORM. DNCR T-03 2008" xfId="229"/>
    <cellStyle name="_Conciliación Anexo G  2007 MODIF JOBAR" xfId="230"/>
    <cellStyle name="_COSTOS RECUPERABLES-PESA May-07 a Dic-07 (conciliacion)" xfId="231"/>
    <cellStyle name="_COSTOS RECUPERABLES-PESA May-07 a Dic-07 muestra" xfId="232"/>
    <cellStyle name="_Depreciaciones Bloques modelo YPFB Gestion 2007 V2" xfId="233"/>
    <cellStyle name="_Depreciaciones Bloques modelo YPFB Gestion 2007 V2 2" xfId="234"/>
    <cellStyle name="_Depreciaciones Bloques modelo YPFB Gestion 2008" xfId="235"/>
    <cellStyle name="_Depreciaciones Bloques modelo YPFB Gestion 2008 2" xfId="236"/>
    <cellStyle name="_Depreciaciones Bloques modelo YPFB Gestion 2008 V1" xfId="237"/>
    <cellStyle name="_Depreciaciones Bloques modelo YPFB Gestion 2008 V1 2" xfId="238"/>
    <cellStyle name="_EVOLUCION INVERSIONES Y AJUSTE DEPRECIAC MAYO A DICBRE 2007" xfId="239"/>
    <cellStyle name="_EVOLUCION INVERSIONES Y AJUSTE DEPRECIAC MAYO A DICBRE 2007 (2)" xfId="240"/>
    <cellStyle name="=C:\WINNT\SYSTEM32\COMMAND.COM" xfId="241"/>
    <cellStyle name="=C:\WINNT35\SYSTEM32\COMMAND.COM" xfId="242"/>
    <cellStyle name="=C:\WINNT35\SYSTEM32\COMMAND.COM 2" xfId="243"/>
    <cellStyle name="0,0_x000d__x000a_NA_x000d__x000a_" xfId="244"/>
    <cellStyle name="0,0_x000d__x000a_NA_x000d__x000a_ 10" xfId="245"/>
    <cellStyle name="0,0_x000d__x000a_NA_x000d__x000a_ 11" xfId="246"/>
    <cellStyle name="0,0_x000d__x000a_NA_x000d__x000a_ 12" xfId="247"/>
    <cellStyle name="0,0_x000d__x000a_NA_x000d__x000a_ 2" xfId="248"/>
    <cellStyle name="0,0_x000d__x000a_NA_x000d__x000a_ 2 2" xfId="249"/>
    <cellStyle name="0,0_x000d__x000a_NA_x000d__x000a_ 2 2 2" xfId="250"/>
    <cellStyle name="0,0_x000d__x000a_NA_x000d__x000a_ 2 3" xfId="251"/>
    <cellStyle name="0,0_x000d__x000a_NA_x000d__x000a_ 2_20110401_SAL_Rev#1_ PTP 2011" xfId="252"/>
    <cellStyle name="0,0_x000d__x000a_NA_x000d__x000a_ 3" xfId="253"/>
    <cellStyle name="0,0_x000d__x000a_NA_x000d__x000a_ 3 2" xfId="254"/>
    <cellStyle name="0,0_x000d__x000a_NA_x000d__x000a_ 4" xfId="255"/>
    <cellStyle name="0,0_x000d__x000a_NA_x000d__x000a_ 4 2" xfId="256"/>
    <cellStyle name="0,0_x000d__x000a_NA_x000d__x000a_ 4 3" xfId="257"/>
    <cellStyle name="0,0_x000d__x000a_NA_x000d__x000a_ 5" xfId="258"/>
    <cellStyle name="0,0_x000d__x000a_NA_x000d__x000a_ 5 2" xfId="259"/>
    <cellStyle name="0,0_x000d__x000a_NA_x000d__x000a_ 5 3" xfId="260"/>
    <cellStyle name="0,0_x000d__x000a_NA_x000d__x000a_ 6" xfId="261"/>
    <cellStyle name="0,0_x000d__x000a_NA_x000d__x000a_ 6 2" xfId="262"/>
    <cellStyle name="0,0_x000d__x000a_NA_x000d__x000a_ 7" xfId="263"/>
    <cellStyle name="0,0_x000d__x000a_NA_x000d__x000a_ 7 2" xfId="264"/>
    <cellStyle name="0,0_x000d__x000a_NA_x000d__x000a_ 8" xfId="265"/>
    <cellStyle name="0,0_x000d__x000a_NA_x000d__x000a_ 9" xfId="266"/>
    <cellStyle name="0,0_x000d__x000a_NA_x000d__x000a__20110401_SAN_Rev#1_ PTP 2012" xfId="267"/>
    <cellStyle name="0752-93035" xfId="268"/>
    <cellStyle name="0752-93035 10" xfId="269"/>
    <cellStyle name="0752-93035 11" xfId="270"/>
    <cellStyle name="0752-93035 2" xfId="271"/>
    <cellStyle name="0752-93035 2 2" xfId="272"/>
    <cellStyle name="0752-93035 2 2 2" xfId="273"/>
    <cellStyle name="0752-93035 2 3" xfId="274"/>
    <cellStyle name="0752-93035 2_20110401_SAL_Rev#1_ PTP 2011" xfId="275"/>
    <cellStyle name="0752-93035 3" xfId="276"/>
    <cellStyle name="0752-93035 3 2" xfId="277"/>
    <cellStyle name="0752-93035 4" xfId="278"/>
    <cellStyle name="0752-93035 4 2" xfId="279"/>
    <cellStyle name="0752-93035 5" xfId="280"/>
    <cellStyle name="0752-93035 5 2" xfId="281"/>
    <cellStyle name="0752-93035 5 3" xfId="282"/>
    <cellStyle name="0752-93035 6" xfId="283"/>
    <cellStyle name="0752-93035 7" xfId="284"/>
    <cellStyle name="0752-93035 8" xfId="285"/>
    <cellStyle name="0752-93035 9" xfId="286"/>
    <cellStyle name="0752-93035_20110401_SAN_Rev#1_ PTP 2012" xfId="287"/>
    <cellStyle name="20% - Accent1 2" xfId="2"/>
    <cellStyle name="20% - Accent1 2 2" xfId="288"/>
    <cellStyle name="20% - Accent1 2 3" xfId="4152"/>
    <cellStyle name="20% - Accent1 3" xfId="289"/>
    <cellStyle name="20% - Accent1 4" xfId="4153"/>
    <cellStyle name="20% - Accent1 4 2" xfId="4154"/>
    <cellStyle name="20% - Accent2 2" xfId="3"/>
    <cellStyle name="20% - Accent2 2 2" xfId="290"/>
    <cellStyle name="20% - Accent2 2 3" xfId="4155"/>
    <cellStyle name="20% - Accent2 3" xfId="291"/>
    <cellStyle name="20% - Accent2 4" xfId="4156"/>
    <cellStyle name="20% - Accent2 4 2" xfId="4157"/>
    <cellStyle name="20% - Accent3 2" xfId="4"/>
    <cellStyle name="20% - Accent3 2 2" xfId="292"/>
    <cellStyle name="20% - Accent3 2 3" xfId="4158"/>
    <cellStyle name="20% - Accent3 3" xfId="293"/>
    <cellStyle name="20% - Accent3 4" xfId="4159"/>
    <cellStyle name="20% - Accent3 4 2" xfId="4160"/>
    <cellStyle name="20% - Accent4 2" xfId="5"/>
    <cellStyle name="20% - Accent4 2 2" xfId="294"/>
    <cellStyle name="20% - Accent4 2 3" xfId="4161"/>
    <cellStyle name="20% - Accent4 3" xfId="295"/>
    <cellStyle name="20% - Accent4 4" xfId="4162"/>
    <cellStyle name="20% - Accent4 4 2" xfId="4163"/>
    <cellStyle name="20% - Accent5 2" xfId="6"/>
    <cellStyle name="20% - Accent5 2 2" xfId="296"/>
    <cellStyle name="20% - Accent5 2 3" xfId="4164"/>
    <cellStyle name="20% - Accent5 3" xfId="297"/>
    <cellStyle name="20% - Accent5 4" xfId="4165"/>
    <cellStyle name="20% - Accent5 4 2" xfId="4166"/>
    <cellStyle name="20% - Accent6 2" xfId="7"/>
    <cellStyle name="20% - Accent6 2 2" xfId="298"/>
    <cellStyle name="20% - Accent6 2 3" xfId="4167"/>
    <cellStyle name="20% - Accent6 3" xfId="299"/>
    <cellStyle name="20% - Accent6 4" xfId="4168"/>
    <cellStyle name="20% - Accent6 4 2" xfId="4169"/>
    <cellStyle name="20% - Ênfase1" xfId="300"/>
    <cellStyle name="20% - Ênfase2" xfId="301"/>
    <cellStyle name="20% - Ênfase3" xfId="302"/>
    <cellStyle name="20% - Ênfase4" xfId="303"/>
    <cellStyle name="20% - Ênfase5" xfId="304"/>
    <cellStyle name="20% - Ênfase6" xfId="305"/>
    <cellStyle name="20% - Énfasis1" xfId="306"/>
    <cellStyle name="20% - Énfasis1 10" xfId="307"/>
    <cellStyle name="20% - Énfasis1 11" xfId="308"/>
    <cellStyle name="20% - Énfasis1 12" xfId="309"/>
    <cellStyle name="20% - Énfasis1 13" xfId="310"/>
    <cellStyle name="20% - Énfasis1 14" xfId="311"/>
    <cellStyle name="20% - Énfasis1 2" xfId="312"/>
    <cellStyle name="20% - Énfasis1 2 2" xfId="313"/>
    <cellStyle name="20% - Énfasis1 2 3" xfId="314"/>
    <cellStyle name="20% - Énfasis1 3" xfId="315"/>
    <cellStyle name="20% - Énfasis1 3 2" xfId="316"/>
    <cellStyle name="20% - Énfasis1 4" xfId="317"/>
    <cellStyle name="20% - Énfasis1 5" xfId="318"/>
    <cellStyle name="20% - Énfasis1 6" xfId="319"/>
    <cellStyle name="20% - Énfasis1 7" xfId="320"/>
    <cellStyle name="20% - Énfasis1 8" xfId="321"/>
    <cellStyle name="20% - Énfasis1 9" xfId="322"/>
    <cellStyle name="20% - Énfasis2" xfId="323"/>
    <cellStyle name="20% - Énfasis2 10" xfId="324"/>
    <cellStyle name="20% - Énfasis2 11" xfId="325"/>
    <cellStyle name="20% - Énfasis2 12" xfId="326"/>
    <cellStyle name="20% - Énfasis2 13" xfId="327"/>
    <cellStyle name="20% - Énfasis2 14" xfId="328"/>
    <cellStyle name="20% - Énfasis2 2" xfId="329"/>
    <cellStyle name="20% - Énfasis2 2 2" xfId="330"/>
    <cellStyle name="20% - Énfasis2 2 3" xfId="331"/>
    <cellStyle name="20% - Énfasis2 3" xfId="332"/>
    <cellStyle name="20% - Énfasis2 3 2" xfId="333"/>
    <cellStyle name="20% - Énfasis2 4" xfId="334"/>
    <cellStyle name="20% - Énfasis2 5" xfId="335"/>
    <cellStyle name="20% - Énfasis2 6" xfId="336"/>
    <cellStyle name="20% - Énfasis2 7" xfId="337"/>
    <cellStyle name="20% - Énfasis2 8" xfId="338"/>
    <cellStyle name="20% - Énfasis2 9" xfId="339"/>
    <cellStyle name="20% - Énfasis3" xfId="340"/>
    <cellStyle name="20% - Énfasis3 10" xfId="341"/>
    <cellStyle name="20% - Énfasis3 11" xfId="342"/>
    <cellStyle name="20% - Énfasis3 12" xfId="343"/>
    <cellStyle name="20% - Énfasis3 13" xfId="344"/>
    <cellStyle name="20% - Énfasis3 14" xfId="345"/>
    <cellStyle name="20% - Énfasis3 2" xfId="346"/>
    <cellStyle name="20% - Énfasis3 2 2" xfId="347"/>
    <cellStyle name="20% - Énfasis3 2 3" xfId="348"/>
    <cellStyle name="20% - Énfasis3 3" xfId="349"/>
    <cellStyle name="20% - Énfasis3 3 2" xfId="350"/>
    <cellStyle name="20% - Énfasis3 4" xfId="351"/>
    <cellStyle name="20% - Énfasis3 5" xfId="352"/>
    <cellStyle name="20% - Énfasis3 6" xfId="353"/>
    <cellStyle name="20% - Énfasis3 7" xfId="354"/>
    <cellStyle name="20% - Énfasis3 8" xfId="355"/>
    <cellStyle name="20% - Énfasis3 9" xfId="356"/>
    <cellStyle name="20% - Énfasis4" xfId="357"/>
    <cellStyle name="20% - Énfasis4 10" xfId="358"/>
    <cellStyle name="20% - Énfasis4 11" xfId="359"/>
    <cellStyle name="20% - Énfasis4 12" xfId="360"/>
    <cellStyle name="20% - Énfasis4 13" xfId="361"/>
    <cellStyle name="20% - Énfasis4 14" xfId="362"/>
    <cellStyle name="20% - Énfasis4 2" xfId="363"/>
    <cellStyle name="20% - Énfasis4 2 2" xfId="364"/>
    <cellStyle name="20% - Énfasis4 2 3" xfId="365"/>
    <cellStyle name="20% - Énfasis4 3" xfId="366"/>
    <cellStyle name="20% - Énfasis4 3 2" xfId="367"/>
    <cellStyle name="20% - Énfasis4 4" xfId="368"/>
    <cellStyle name="20% - Énfasis4 5" xfId="369"/>
    <cellStyle name="20% - Énfasis4 6" xfId="370"/>
    <cellStyle name="20% - Énfasis4 7" xfId="371"/>
    <cellStyle name="20% - Énfasis4 8" xfId="372"/>
    <cellStyle name="20% - Énfasis4 9" xfId="373"/>
    <cellStyle name="20% - Énfasis5" xfId="374"/>
    <cellStyle name="20% - Énfasis5 10" xfId="375"/>
    <cellStyle name="20% - Énfasis5 11" xfId="376"/>
    <cellStyle name="20% - Énfasis5 12" xfId="377"/>
    <cellStyle name="20% - Énfasis5 13" xfId="378"/>
    <cellStyle name="20% - Énfasis5 14" xfId="379"/>
    <cellStyle name="20% - Énfasis5 2" xfId="380"/>
    <cellStyle name="20% - Énfasis5 2 2" xfId="381"/>
    <cellStyle name="20% - Énfasis5 2 3" xfId="382"/>
    <cellStyle name="20% - Énfasis5 3" xfId="383"/>
    <cellStyle name="20% - Énfasis5 3 2" xfId="384"/>
    <cellStyle name="20% - Énfasis5 4" xfId="385"/>
    <cellStyle name="20% - Énfasis5 5" xfId="386"/>
    <cellStyle name="20% - Énfasis5 6" xfId="387"/>
    <cellStyle name="20% - Énfasis5 7" xfId="388"/>
    <cellStyle name="20% - Énfasis5 8" xfId="389"/>
    <cellStyle name="20% - Énfasis5 9" xfId="390"/>
    <cellStyle name="20% - Énfasis6" xfId="391"/>
    <cellStyle name="20% - Énfasis6 10" xfId="392"/>
    <cellStyle name="20% - Énfasis6 11" xfId="393"/>
    <cellStyle name="20% - Énfasis6 12" xfId="394"/>
    <cellStyle name="20% - Énfasis6 13" xfId="395"/>
    <cellStyle name="20% - Énfasis6 14" xfId="396"/>
    <cellStyle name="20% - Énfasis6 2" xfId="397"/>
    <cellStyle name="20% - Énfasis6 2 2" xfId="398"/>
    <cellStyle name="20% - Énfasis6 2 3" xfId="399"/>
    <cellStyle name="20% - Énfasis6 3" xfId="400"/>
    <cellStyle name="20% - Énfasis6 3 2" xfId="401"/>
    <cellStyle name="20% - Énfasis6 4" xfId="402"/>
    <cellStyle name="20% - Énfasis6 5" xfId="403"/>
    <cellStyle name="20% - Énfasis6 6" xfId="404"/>
    <cellStyle name="20% - Énfasis6 7" xfId="405"/>
    <cellStyle name="20% - Énfasis6 8" xfId="406"/>
    <cellStyle name="20% - Énfasis6 9" xfId="407"/>
    <cellStyle name="40% - Accent1 2" xfId="8"/>
    <cellStyle name="40% - Accent1 2 2" xfId="408"/>
    <cellStyle name="40% - Accent1 2 3" xfId="4170"/>
    <cellStyle name="40% - Accent1 3" xfId="409"/>
    <cellStyle name="40% - Accent1 4" xfId="4171"/>
    <cellStyle name="40% - Accent1 4 2" xfId="4172"/>
    <cellStyle name="40% - Accent2 2" xfId="9"/>
    <cellStyle name="40% - Accent2 2 2" xfId="410"/>
    <cellStyle name="40% - Accent2 2 3" xfId="4173"/>
    <cellStyle name="40% - Accent2 3" xfId="411"/>
    <cellStyle name="40% - Accent2 4" xfId="4174"/>
    <cellStyle name="40% - Accent2 4 2" xfId="4175"/>
    <cellStyle name="40% - Accent3 2" xfId="10"/>
    <cellStyle name="40% - Accent3 2 2" xfId="412"/>
    <cellStyle name="40% - Accent3 2 3" xfId="4176"/>
    <cellStyle name="40% - Accent3 3" xfId="413"/>
    <cellStyle name="40% - Accent3 4" xfId="4177"/>
    <cellStyle name="40% - Accent3 4 2" xfId="4178"/>
    <cellStyle name="40% - Accent4 2" xfId="11"/>
    <cellStyle name="40% - Accent4 2 2" xfId="414"/>
    <cellStyle name="40% - Accent4 2 3" xfId="4179"/>
    <cellStyle name="40% - Accent4 3" xfId="415"/>
    <cellStyle name="40% - Accent4 4" xfId="4180"/>
    <cellStyle name="40% - Accent4 4 2" xfId="4181"/>
    <cellStyle name="40% - Accent5 2" xfId="12"/>
    <cellStyle name="40% - Accent5 2 2" xfId="416"/>
    <cellStyle name="40% - Accent5 2 3" xfId="4182"/>
    <cellStyle name="40% - Accent5 3" xfId="417"/>
    <cellStyle name="40% - Accent5 4" xfId="4183"/>
    <cellStyle name="40% - Accent5 4 2" xfId="4184"/>
    <cellStyle name="40% - Accent6 2" xfId="13"/>
    <cellStyle name="40% - Accent6 2 2" xfId="418"/>
    <cellStyle name="40% - Accent6 2 3" xfId="4185"/>
    <cellStyle name="40% - Accent6 3" xfId="419"/>
    <cellStyle name="40% - Accent6 4" xfId="4186"/>
    <cellStyle name="40% - Accent6 4 2" xfId="4187"/>
    <cellStyle name="40% - Ênfase1" xfId="420"/>
    <cellStyle name="40% - Ênfase2" xfId="421"/>
    <cellStyle name="40% - Ênfase3" xfId="422"/>
    <cellStyle name="40% - Ênfase4" xfId="423"/>
    <cellStyle name="40% - Ênfase5" xfId="424"/>
    <cellStyle name="40% - Ênfase6" xfId="425"/>
    <cellStyle name="40% - Énfasis1" xfId="426"/>
    <cellStyle name="40% - Énfasis1 10" xfId="427"/>
    <cellStyle name="40% - Énfasis1 11" xfId="428"/>
    <cellStyle name="40% - Énfasis1 12" xfId="429"/>
    <cellStyle name="40% - Énfasis1 13" xfId="430"/>
    <cellStyle name="40% - Énfasis1 14" xfId="431"/>
    <cellStyle name="40% - Énfasis1 2" xfId="432"/>
    <cellStyle name="40% - Énfasis1 2 2" xfId="433"/>
    <cellStyle name="40% - Énfasis1 2 3" xfId="434"/>
    <cellStyle name="40% - Énfasis1 3" xfId="435"/>
    <cellStyle name="40% - Énfasis1 3 2" xfId="436"/>
    <cellStyle name="40% - Énfasis1 4" xfId="437"/>
    <cellStyle name="40% - Énfasis1 5" xfId="438"/>
    <cellStyle name="40% - Énfasis1 6" xfId="439"/>
    <cellStyle name="40% - Énfasis1 7" xfId="440"/>
    <cellStyle name="40% - Énfasis1 8" xfId="441"/>
    <cellStyle name="40% - Énfasis1 9" xfId="442"/>
    <cellStyle name="40% - Énfasis2" xfId="443"/>
    <cellStyle name="40% - Énfasis2 10" xfId="444"/>
    <cellStyle name="40% - Énfasis2 11" xfId="445"/>
    <cellStyle name="40% - Énfasis2 12" xfId="446"/>
    <cellStyle name="40% - Énfasis2 13" xfId="447"/>
    <cellStyle name="40% - Énfasis2 14" xfId="448"/>
    <cellStyle name="40% - Énfasis2 2" xfId="449"/>
    <cellStyle name="40% - Énfasis2 2 2" xfId="450"/>
    <cellStyle name="40% - Énfasis2 2 3" xfId="451"/>
    <cellStyle name="40% - Énfasis2 3" xfId="452"/>
    <cellStyle name="40% - Énfasis2 3 2" xfId="453"/>
    <cellStyle name="40% - Énfasis2 4" xfId="454"/>
    <cellStyle name="40% - Énfasis2 5" xfId="455"/>
    <cellStyle name="40% - Énfasis2 6" xfId="456"/>
    <cellStyle name="40% - Énfasis2 7" xfId="457"/>
    <cellStyle name="40% - Énfasis2 8" xfId="458"/>
    <cellStyle name="40% - Énfasis2 9" xfId="459"/>
    <cellStyle name="40% - Énfasis3" xfId="460"/>
    <cellStyle name="40% - Énfasis3 10" xfId="461"/>
    <cellStyle name="40% - Énfasis3 11" xfId="462"/>
    <cellStyle name="40% - Énfasis3 12" xfId="463"/>
    <cellStyle name="40% - Énfasis3 13" xfId="464"/>
    <cellStyle name="40% - Énfasis3 14" xfId="465"/>
    <cellStyle name="40% - Énfasis3 2" xfId="466"/>
    <cellStyle name="40% - Énfasis3 2 2" xfId="467"/>
    <cellStyle name="40% - Énfasis3 2 3" xfId="468"/>
    <cellStyle name="40% - Énfasis3 3" xfId="469"/>
    <cellStyle name="40% - Énfasis3 3 2" xfId="470"/>
    <cellStyle name="40% - Énfasis3 4" xfId="471"/>
    <cellStyle name="40% - Énfasis3 5" xfId="472"/>
    <cellStyle name="40% - Énfasis3 6" xfId="473"/>
    <cellStyle name="40% - Énfasis3 7" xfId="474"/>
    <cellStyle name="40% - Énfasis3 8" xfId="475"/>
    <cellStyle name="40% - Énfasis3 9" xfId="476"/>
    <cellStyle name="40% - Énfasis4" xfId="477"/>
    <cellStyle name="40% - Énfasis4 10" xfId="478"/>
    <cellStyle name="40% - Énfasis4 11" xfId="479"/>
    <cellStyle name="40% - Énfasis4 12" xfId="480"/>
    <cellStyle name="40% - Énfasis4 13" xfId="481"/>
    <cellStyle name="40% - Énfasis4 14" xfId="482"/>
    <cellStyle name="40% - Énfasis4 2" xfId="483"/>
    <cellStyle name="40% - Énfasis4 2 2" xfId="484"/>
    <cellStyle name="40% - Énfasis4 2 3" xfId="485"/>
    <cellStyle name="40% - Énfasis4 3" xfId="486"/>
    <cellStyle name="40% - Énfasis4 3 2" xfId="487"/>
    <cellStyle name="40% - Énfasis4 4" xfId="488"/>
    <cellStyle name="40% - Énfasis4 5" xfId="489"/>
    <cellStyle name="40% - Énfasis4 6" xfId="490"/>
    <cellStyle name="40% - Énfasis4 7" xfId="491"/>
    <cellStyle name="40% - Énfasis4 8" xfId="492"/>
    <cellStyle name="40% - Énfasis4 9" xfId="493"/>
    <cellStyle name="40% - Énfasis5" xfId="494"/>
    <cellStyle name="40% - Énfasis5 10" xfId="495"/>
    <cellStyle name="40% - Énfasis5 11" xfId="496"/>
    <cellStyle name="40% - Énfasis5 12" xfId="497"/>
    <cellStyle name="40% - Énfasis5 13" xfId="498"/>
    <cellStyle name="40% - Énfasis5 14" xfId="499"/>
    <cellStyle name="40% - Énfasis5 2" xfId="500"/>
    <cellStyle name="40% - Énfasis5 2 2" xfId="501"/>
    <cellStyle name="40% - Énfasis5 2 3" xfId="502"/>
    <cellStyle name="40% - Énfasis5 3" xfId="503"/>
    <cellStyle name="40% - Énfasis5 3 2" xfId="504"/>
    <cellStyle name="40% - Énfasis5 4" xfId="505"/>
    <cellStyle name="40% - Énfasis5 5" xfId="506"/>
    <cellStyle name="40% - Énfasis5 6" xfId="507"/>
    <cellStyle name="40% - Énfasis5 7" xfId="508"/>
    <cellStyle name="40% - Énfasis5 8" xfId="509"/>
    <cellStyle name="40% - Énfasis5 9" xfId="510"/>
    <cellStyle name="40% - Énfasis6" xfId="511"/>
    <cellStyle name="40% - Énfasis6 10" xfId="512"/>
    <cellStyle name="40% - Énfasis6 11" xfId="513"/>
    <cellStyle name="40% - Énfasis6 12" xfId="514"/>
    <cellStyle name="40% - Énfasis6 13" xfId="515"/>
    <cellStyle name="40% - Énfasis6 14" xfId="516"/>
    <cellStyle name="40% - Énfasis6 2" xfId="517"/>
    <cellStyle name="40% - Énfasis6 2 2" xfId="518"/>
    <cellStyle name="40% - Énfasis6 2 3" xfId="519"/>
    <cellStyle name="40% - Énfasis6 3" xfId="520"/>
    <cellStyle name="40% - Énfasis6 3 2" xfId="521"/>
    <cellStyle name="40% - Énfasis6 4" xfId="522"/>
    <cellStyle name="40% - Énfasis6 5" xfId="523"/>
    <cellStyle name="40% - Énfasis6 6" xfId="524"/>
    <cellStyle name="40% - Énfasis6 7" xfId="525"/>
    <cellStyle name="40% - Énfasis6 8" xfId="526"/>
    <cellStyle name="40% - Énfasis6 9" xfId="527"/>
    <cellStyle name="60% - Accent1 2" xfId="14"/>
    <cellStyle name="60% - Accent1 2 2" xfId="4188"/>
    <cellStyle name="60% - Accent1 2 3" xfId="4189"/>
    <cellStyle name="60% - Accent1 3" xfId="528"/>
    <cellStyle name="60% - Accent1 4" xfId="4190"/>
    <cellStyle name="60% - Accent2 2" xfId="15"/>
    <cellStyle name="60% - Accent2 2 2" xfId="4191"/>
    <cellStyle name="60% - Accent2 2 3" xfId="4192"/>
    <cellStyle name="60% - Accent2 3" xfId="529"/>
    <cellStyle name="60% - Accent2 4" xfId="4193"/>
    <cellStyle name="60% - Accent3 2" xfId="16"/>
    <cellStyle name="60% - Accent3 2 2" xfId="4194"/>
    <cellStyle name="60% - Accent3 2 3" xfId="4195"/>
    <cellStyle name="60% - Accent3 3" xfId="530"/>
    <cellStyle name="60% - Accent3 4" xfId="4196"/>
    <cellStyle name="60% - Accent4 2" xfId="17"/>
    <cellStyle name="60% - Accent4 2 2" xfId="4197"/>
    <cellStyle name="60% - Accent4 2 3" xfId="4198"/>
    <cellStyle name="60% - Accent4 3" xfId="531"/>
    <cellStyle name="60% - Accent4 4" xfId="4199"/>
    <cellStyle name="60% - Accent5 2" xfId="18"/>
    <cellStyle name="60% - Accent5 2 2" xfId="4200"/>
    <cellStyle name="60% - Accent5 2 3" xfId="4201"/>
    <cellStyle name="60% - Accent5 3" xfId="532"/>
    <cellStyle name="60% - Accent5 4" xfId="4202"/>
    <cellStyle name="60% - Accent6 2" xfId="19"/>
    <cellStyle name="60% - Accent6 2 2" xfId="4203"/>
    <cellStyle name="60% - Accent6 2 3" xfId="4204"/>
    <cellStyle name="60% - Accent6 3" xfId="533"/>
    <cellStyle name="60% - Accent6 4" xfId="4205"/>
    <cellStyle name="60% - Ênfase1" xfId="534"/>
    <cellStyle name="60% - Ênfase2" xfId="535"/>
    <cellStyle name="60% - Ênfase3" xfId="536"/>
    <cellStyle name="60% - Ênfase4" xfId="537"/>
    <cellStyle name="60% - Ênfase5" xfId="538"/>
    <cellStyle name="60% - Ênfase6" xfId="539"/>
    <cellStyle name="60% - Énfasis1" xfId="540"/>
    <cellStyle name="60% - Énfasis1 10" xfId="541"/>
    <cellStyle name="60% - Énfasis1 11" xfId="542"/>
    <cellStyle name="60% - Énfasis1 12" xfId="543"/>
    <cellStyle name="60% - Énfasis1 13" xfId="544"/>
    <cellStyle name="60% - Énfasis1 14" xfId="545"/>
    <cellStyle name="60% - Énfasis1 2" xfId="546"/>
    <cellStyle name="60% - Énfasis1 2 2" xfId="547"/>
    <cellStyle name="60% - Énfasis1 3" xfId="548"/>
    <cellStyle name="60% - Énfasis1 3 2" xfId="549"/>
    <cellStyle name="60% - Énfasis1 4" xfId="550"/>
    <cellStyle name="60% - Énfasis1 5" xfId="551"/>
    <cellStyle name="60% - Énfasis1 6" xfId="552"/>
    <cellStyle name="60% - Énfasis1 7" xfId="553"/>
    <cellStyle name="60% - Énfasis1 8" xfId="554"/>
    <cellStyle name="60% - Énfasis1 9" xfId="555"/>
    <cellStyle name="60% - Énfasis2" xfId="556"/>
    <cellStyle name="60% - Énfasis2 10" xfId="557"/>
    <cellStyle name="60% - Énfasis2 11" xfId="558"/>
    <cellStyle name="60% - Énfasis2 12" xfId="559"/>
    <cellStyle name="60% - Énfasis2 13" xfId="560"/>
    <cellStyle name="60% - Énfasis2 14" xfId="561"/>
    <cellStyle name="60% - Énfasis2 2" xfId="562"/>
    <cellStyle name="60% - Énfasis2 2 2" xfId="563"/>
    <cellStyle name="60% - Énfasis2 3" xfId="564"/>
    <cellStyle name="60% - Énfasis2 3 2" xfId="565"/>
    <cellStyle name="60% - Énfasis2 4" xfId="566"/>
    <cellStyle name="60% - Énfasis2 5" xfId="567"/>
    <cellStyle name="60% - Énfasis2 6" xfId="568"/>
    <cellStyle name="60% - Énfasis2 7" xfId="569"/>
    <cellStyle name="60% - Énfasis2 8" xfId="570"/>
    <cellStyle name="60% - Énfasis2 9" xfId="571"/>
    <cellStyle name="60% - Énfasis3" xfId="572"/>
    <cellStyle name="60% - Énfasis3 10" xfId="573"/>
    <cellStyle name="60% - Énfasis3 11" xfId="574"/>
    <cellStyle name="60% - Énfasis3 12" xfId="575"/>
    <cellStyle name="60% - Énfasis3 13" xfId="576"/>
    <cellStyle name="60% - Énfasis3 14" xfId="577"/>
    <cellStyle name="60% - Énfasis3 2" xfId="578"/>
    <cellStyle name="60% - Énfasis3 2 2" xfId="579"/>
    <cellStyle name="60% - Énfasis3 3" xfId="580"/>
    <cellStyle name="60% - Énfasis3 3 2" xfId="581"/>
    <cellStyle name="60% - Énfasis3 4" xfId="582"/>
    <cellStyle name="60% - Énfasis3 5" xfId="583"/>
    <cellStyle name="60% - Énfasis3 6" xfId="584"/>
    <cellStyle name="60% - Énfasis3 7" xfId="585"/>
    <cellStyle name="60% - Énfasis3 8" xfId="586"/>
    <cellStyle name="60% - Énfasis3 9" xfId="587"/>
    <cellStyle name="60% - Énfasis4" xfId="588"/>
    <cellStyle name="60% - Énfasis4 10" xfId="589"/>
    <cellStyle name="60% - Énfasis4 11" xfId="590"/>
    <cellStyle name="60% - Énfasis4 12" xfId="591"/>
    <cellStyle name="60% - Énfasis4 13" xfId="592"/>
    <cellStyle name="60% - Énfasis4 14" xfId="593"/>
    <cellStyle name="60% - Énfasis4 2" xfId="594"/>
    <cellStyle name="60% - Énfasis4 2 2" xfId="595"/>
    <cellStyle name="60% - Énfasis4 3" xfId="596"/>
    <cellStyle name="60% - Énfasis4 3 2" xfId="597"/>
    <cellStyle name="60% - Énfasis4 4" xfId="598"/>
    <cellStyle name="60% - Énfasis4 5" xfId="599"/>
    <cellStyle name="60% - Énfasis4 6" xfId="600"/>
    <cellStyle name="60% - Énfasis4 7" xfId="601"/>
    <cellStyle name="60% - Énfasis4 8" xfId="602"/>
    <cellStyle name="60% - Énfasis4 9" xfId="603"/>
    <cellStyle name="60% - Énfasis5" xfId="604"/>
    <cellStyle name="60% - Énfasis5 10" xfId="605"/>
    <cellStyle name="60% - Énfasis5 11" xfId="606"/>
    <cellStyle name="60% - Énfasis5 12" xfId="607"/>
    <cellStyle name="60% - Énfasis5 13" xfId="608"/>
    <cellStyle name="60% - Énfasis5 14" xfId="609"/>
    <cellStyle name="60% - Énfasis5 2" xfId="610"/>
    <cellStyle name="60% - Énfasis5 2 2" xfId="611"/>
    <cellStyle name="60% - Énfasis5 3" xfId="612"/>
    <cellStyle name="60% - Énfasis5 3 2" xfId="613"/>
    <cellStyle name="60% - Énfasis5 4" xfId="614"/>
    <cellStyle name="60% - Énfasis5 5" xfId="615"/>
    <cellStyle name="60% - Énfasis5 6" xfId="616"/>
    <cellStyle name="60% - Énfasis5 7" xfId="617"/>
    <cellStyle name="60% - Énfasis5 8" xfId="618"/>
    <cellStyle name="60% - Énfasis5 9" xfId="619"/>
    <cellStyle name="60% - Énfasis6" xfId="620"/>
    <cellStyle name="60% - Énfasis6 10" xfId="621"/>
    <cellStyle name="60% - Énfasis6 11" xfId="622"/>
    <cellStyle name="60% - Énfasis6 12" xfId="623"/>
    <cellStyle name="60% - Énfasis6 13" xfId="624"/>
    <cellStyle name="60% - Énfasis6 14" xfId="625"/>
    <cellStyle name="60% - Énfasis6 2" xfId="626"/>
    <cellStyle name="60% - Énfasis6 2 2" xfId="627"/>
    <cellStyle name="60% - Énfasis6 3" xfId="628"/>
    <cellStyle name="60% - Énfasis6 3 2" xfId="629"/>
    <cellStyle name="60% - Énfasis6 4" xfId="630"/>
    <cellStyle name="60% - Énfasis6 5" xfId="631"/>
    <cellStyle name="60% - Énfasis6 6" xfId="632"/>
    <cellStyle name="60% - Énfasis6 7" xfId="633"/>
    <cellStyle name="60% - Énfasis6 8" xfId="634"/>
    <cellStyle name="60% - Énfasis6 9" xfId="635"/>
    <cellStyle name="Accent1 - 20%" xfId="636"/>
    <cellStyle name="Accent1 - 20% 2" xfId="637"/>
    <cellStyle name="Accent1 - 20% 3" xfId="638"/>
    <cellStyle name="Accent1 - 20% 4" xfId="639"/>
    <cellStyle name="Accent1 - 20% 5" xfId="640"/>
    <cellStyle name="Accent1 - 40%" xfId="641"/>
    <cellStyle name="Accent1 - 40% 2" xfId="642"/>
    <cellStyle name="Accent1 - 40% 3" xfId="643"/>
    <cellStyle name="Accent1 - 40% 4" xfId="644"/>
    <cellStyle name="Accent1 - 40% 5" xfId="645"/>
    <cellStyle name="Accent1 - 60%" xfId="646"/>
    <cellStyle name="Accent1 - 60% 2" xfId="647"/>
    <cellStyle name="Accent1 - 60% 3" xfId="648"/>
    <cellStyle name="Accent1 - 60% 4" xfId="649"/>
    <cellStyle name="Accent1 10" xfId="650"/>
    <cellStyle name="Accent1 11" xfId="651"/>
    <cellStyle name="Accent1 12" xfId="652"/>
    <cellStyle name="Accent1 13" xfId="653"/>
    <cellStyle name="Accent1 14" xfId="654"/>
    <cellStyle name="Accent1 15" xfId="655"/>
    <cellStyle name="Accent1 16" xfId="656"/>
    <cellStyle name="Accent1 17" xfId="657"/>
    <cellStyle name="Accent1 18" xfId="658"/>
    <cellStyle name="Accent1 19" xfId="659"/>
    <cellStyle name="Accent1 2" xfId="20"/>
    <cellStyle name="Accent1 2 2" xfId="660"/>
    <cellStyle name="Accent1 2 2 2" xfId="4206"/>
    <cellStyle name="Accent1 2 2 3" xfId="4207"/>
    <cellStyle name="Accent1 2 3" xfId="661"/>
    <cellStyle name="Accent1 2 4" xfId="662"/>
    <cellStyle name="Accent1 2 5" xfId="4208"/>
    <cellStyle name="Accent1 20" xfId="663"/>
    <cellStyle name="Accent1 21" xfId="664"/>
    <cellStyle name="Accent1 22" xfId="665"/>
    <cellStyle name="Accent1 23" xfId="666"/>
    <cellStyle name="Accent1 24" xfId="667"/>
    <cellStyle name="Accent1 25" xfId="668"/>
    <cellStyle name="Accent1 26" xfId="669"/>
    <cellStyle name="Accent1 27" xfId="670"/>
    <cellStyle name="Accent1 28" xfId="671"/>
    <cellStyle name="Accent1 29" xfId="672"/>
    <cellStyle name="Accent1 3" xfId="673"/>
    <cellStyle name="Accent1 3 2" xfId="674"/>
    <cellStyle name="Accent1 3 3" xfId="675"/>
    <cellStyle name="Accent1 30" xfId="676"/>
    <cellStyle name="Accent1 31" xfId="677"/>
    <cellStyle name="Accent1 32" xfId="678"/>
    <cellStyle name="Accent1 33" xfId="679"/>
    <cellStyle name="Accent1 34" xfId="680"/>
    <cellStyle name="Accent1 35" xfId="681"/>
    <cellStyle name="Accent1 36" xfId="682"/>
    <cellStyle name="Accent1 37" xfId="4209"/>
    <cellStyle name="Accent1 38" xfId="4210"/>
    <cellStyle name="Accent1 4" xfId="683"/>
    <cellStyle name="Accent1 5" xfId="684"/>
    <cellStyle name="Accent1 6" xfId="685"/>
    <cellStyle name="Accent1 7" xfId="686"/>
    <cellStyle name="Accent1 8" xfId="687"/>
    <cellStyle name="Accent1 9" xfId="688"/>
    <cellStyle name="Accent2 - 20%" xfId="689"/>
    <cellStyle name="Accent2 - 20% 2" xfId="690"/>
    <cellStyle name="Accent2 - 20% 3" xfId="691"/>
    <cellStyle name="Accent2 - 20% 4" xfId="692"/>
    <cellStyle name="Accent2 - 20% 5" xfId="693"/>
    <cellStyle name="Accent2 - 40%" xfId="694"/>
    <cellStyle name="Accent2 - 40% 2" xfId="695"/>
    <cellStyle name="Accent2 - 40% 3" xfId="696"/>
    <cellStyle name="Accent2 - 40% 4" xfId="697"/>
    <cellStyle name="Accent2 - 40% 5" xfId="698"/>
    <cellStyle name="Accent2 - 60%" xfId="699"/>
    <cellStyle name="Accent2 - 60% 2" xfId="700"/>
    <cellStyle name="Accent2 - 60% 3" xfId="701"/>
    <cellStyle name="Accent2 - 60% 4" xfId="702"/>
    <cellStyle name="Accent2 10" xfId="703"/>
    <cellStyle name="Accent2 11" xfId="704"/>
    <cellStyle name="Accent2 12" xfId="705"/>
    <cellStyle name="Accent2 13" xfId="706"/>
    <cellStyle name="Accent2 14" xfId="707"/>
    <cellStyle name="Accent2 15" xfId="708"/>
    <cellStyle name="Accent2 16" xfId="709"/>
    <cellStyle name="Accent2 17" xfId="710"/>
    <cellStyle name="Accent2 18" xfId="711"/>
    <cellStyle name="Accent2 19" xfId="712"/>
    <cellStyle name="Accent2 2" xfId="21"/>
    <cellStyle name="Accent2 2 2" xfId="713"/>
    <cellStyle name="Accent2 2 2 2" xfId="4211"/>
    <cellStyle name="Accent2 2 2 3" xfId="4212"/>
    <cellStyle name="Accent2 2 3" xfId="714"/>
    <cellStyle name="Accent2 2 4" xfId="715"/>
    <cellStyle name="Accent2 2 5" xfId="4213"/>
    <cellStyle name="Accent2 20" xfId="716"/>
    <cellStyle name="Accent2 21" xfId="717"/>
    <cellStyle name="Accent2 22" xfId="718"/>
    <cellStyle name="Accent2 23" xfId="719"/>
    <cellStyle name="Accent2 24" xfId="720"/>
    <cellStyle name="Accent2 25" xfId="721"/>
    <cellStyle name="Accent2 26" xfId="722"/>
    <cellStyle name="Accent2 27" xfId="723"/>
    <cellStyle name="Accent2 28" xfId="724"/>
    <cellStyle name="Accent2 29" xfId="725"/>
    <cellStyle name="Accent2 3" xfId="726"/>
    <cellStyle name="Accent2 3 2" xfId="727"/>
    <cellStyle name="Accent2 3 3" xfId="728"/>
    <cellStyle name="Accent2 30" xfId="729"/>
    <cellStyle name="Accent2 31" xfId="730"/>
    <cellStyle name="Accent2 32" xfId="731"/>
    <cellStyle name="Accent2 33" xfId="732"/>
    <cellStyle name="Accent2 34" xfId="733"/>
    <cellStyle name="Accent2 35" xfId="734"/>
    <cellStyle name="Accent2 36" xfId="735"/>
    <cellStyle name="Accent2 37" xfId="4214"/>
    <cellStyle name="Accent2 38" xfId="4215"/>
    <cellStyle name="Accent2 4" xfId="736"/>
    <cellStyle name="Accent2 5" xfId="737"/>
    <cellStyle name="Accent2 6" xfId="738"/>
    <cellStyle name="Accent2 7" xfId="739"/>
    <cellStyle name="Accent2 8" xfId="740"/>
    <cellStyle name="Accent2 9" xfId="741"/>
    <cellStyle name="Accent3 - 20%" xfId="742"/>
    <cellStyle name="Accent3 - 20% 2" xfId="743"/>
    <cellStyle name="Accent3 - 20% 3" xfId="744"/>
    <cellStyle name="Accent3 - 20% 4" xfId="745"/>
    <cellStyle name="Accent3 - 20% 5" xfId="746"/>
    <cellStyle name="Accent3 - 40%" xfId="747"/>
    <cellStyle name="Accent3 - 40% 2" xfId="748"/>
    <cellStyle name="Accent3 - 40% 3" xfId="749"/>
    <cellStyle name="Accent3 - 40% 4" xfId="750"/>
    <cellStyle name="Accent3 - 40% 5" xfId="751"/>
    <cellStyle name="Accent3 - 60%" xfId="752"/>
    <cellStyle name="Accent3 - 60% 2" xfId="753"/>
    <cellStyle name="Accent3 - 60% 3" xfId="754"/>
    <cellStyle name="Accent3 - 60% 4" xfId="755"/>
    <cellStyle name="Accent3 10" xfId="756"/>
    <cellStyle name="Accent3 11" xfId="757"/>
    <cellStyle name="Accent3 12" xfId="758"/>
    <cellStyle name="Accent3 13" xfId="759"/>
    <cellStyle name="Accent3 14" xfId="760"/>
    <cellStyle name="Accent3 15" xfId="761"/>
    <cellStyle name="Accent3 16" xfId="762"/>
    <cellStyle name="Accent3 17" xfId="763"/>
    <cellStyle name="Accent3 18" xfId="764"/>
    <cellStyle name="Accent3 19" xfId="765"/>
    <cellStyle name="Accent3 2" xfId="22"/>
    <cellStyle name="Accent3 2 2" xfId="766"/>
    <cellStyle name="Accent3 2 2 2" xfId="767"/>
    <cellStyle name="Accent3 2 2 3" xfId="768"/>
    <cellStyle name="Accent3 2 2 4" xfId="4216"/>
    <cellStyle name="Accent3 2 2 5" xfId="4217"/>
    <cellStyle name="Accent3 2 3" xfId="769"/>
    <cellStyle name="Accent3 2 4" xfId="770"/>
    <cellStyle name="Accent3 2 5" xfId="771"/>
    <cellStyle name="Accent3 2 6" xfId="772"/>
    <cellStyle name="Accent3 2 7" xfId="773"/>
    <cellStyle name="Accent3 2 8" xfId="774"/>
    <cellStyle name="Accent3 2 9" xfId="4218"/>
    <cellStyle name="Accent3 20" xfId="775"/>
    <cellStyle name="Accent3 21" xfId="776"/>
    <cellStyle name="Accent3 22" xfId="777"/>
    <cellStyle name="Accent3 23" xfId="778"/>
    <cellStyle name="Accent3 24" xfId="779"/>
    <cellStyle name="Accent3 25" xfId="780"/>
    <cellStyle name="Accent3 26" xfId="781"/>
    <cellStyle name="Accent3 27" xfId="782"/>
    <cellStyle name="Accent3 28" xfId="783"/>
    <cellStyle name="Accent3 29" xfId="784"/>
    <cellStyle name="Accent3 3" xfId="785"/>
    <cellStyle name="Accent3 3 2" xfId="786"/>
    <cellStyle name="Accent3 3 3" xfId="787"/>
    <cellStyle name="Accent3 3 4" xfId="788"/>
    <cellStyle name="Accent3 3 5" xfId="789"/>
    <cellStyle name="Accent3 30" xfId="790"/>
    <cellStyle name="Accent3 31" xfId="791"/>
    <cellStyle name="Accent3 32" xfId="792"/>
    <cellStyle name="Accent3 33" xfId="793"/>
    <cellStyle name="Accent3 34" xfId="794"/>
    <cellStyle name="Accent3 35" xfId="795"/>
    <cellStyle name="Accent3 36" xfId="796"/>
    <cellStyle name="Accent3 37" xfId="797"/>
    <cellStyle name="Accent3 38" xfId="4219"/>
    <cellStyle name="Accent3 39" xfId="4220"/>
    <cellStyle name="Accent3 4" xfId="798"/>
    <cellStyle name="Accent3 5" xfId="799"/>
    <cellStyle name="Accent3 6" xfId="800"/>
    <cellStyle name="Accent3 7" xfId="801"/>
    <cellStyle name="Accent3 8" xfId="802"/>
    <cellStyle name="Accent3 9" xfId="803"/>
    <cellStyle name="Accent4 - 20%" xfId="804"/>
    <cellStyle name="Accent4 - 20% 2" xfId="805"/>
    <cellStyle name="Accent4 - 20% 3" xfId="806"/>
    <cellStyle name="Accent4 - 20% 4" xfId="807"/>
    <cellStyle name="Accent4 - 20% 5" xfId="808"/>
    <cellStyle name="Accent4 - 40%" xfId="809"/>
    <cellStyle name="Accent4 - 40% 2" xfId="810"/>
    <cellStyle name="Accent4 - 40% 3" xfId="811"/>
    <cellStyle name="Accent4 - 40% 4" xfId="812"/>
    <cellStyle name="Accent4 - 40% 5" xfId="813"/>
    <cellStyle name="Accent4 - 60%" xfId="814"/>
    <cellStyle name="Accent4 - 60% 2" xfId="815"/>
    <cellStyle name="Accent4 - 60% 3" xfId="816"/>
    <cellStyle name="Accent4 - 60% 4" xfId="817"/>
    <cellStyle name="Accent4 10" xfId="818"/>
    <cellStyle name="Accent4 11" xfId="819"/>
    <cellStyle name="Accent4 12" xfId="820"/>
    <cellStyle name="Accent4 13" xfId="821"/>
    <cellStyle name="Accent4 14" xfId="822"/>
    <cellStyle name="Accent4 15" xfId="823"/>
    <cellStyle name="Accent4 16" xfId="824"/>
    <cellStyle name="Accent4 17" xfId="825"/>
    <cellStyle name="Accent4 18" xfId="826"/>
    <cellStyle name="Accent4 19" xfId="827"/>
    <cellStyle name="Accent4 2" xfId="23"/>
    <cellStyle name="Accent4 2 2" xfId="828"/>
    <cellStyle name="Accent4 2 2 2" xfId="829"/>
    <cellStyle name="Accent4 2 2 3" xfId="830"/>
    <cellStyle name="Accent4 2 2 4" xfId="4221"/>
    <cellStyle name="Accent4 2 2 5" xfId="4222"/>
    <cellStyle name="Accent4 2 3" xfId="831"/>
    <cellStyle name="Accent4 2 4" xfId="832"/>
    <cellStyle name="Accent4 2 5" xfId="833"/>
    <cellStyle name="Accent4 2 6" xfId="834"/>
    <cellStyle name="Accent4 2 7" xfId="835"/>
    <cellStyle name="Accent4 2 8" xfId="836"/>
    <cellStyle name="Accent4 2 9" xfId="4223"/>
    <cellStyle name="Accent4 20" xfId="837"/>
    <cellStyle name="Accent4 21" xfId="838"/>
    <cellStyle name="Accent4 22" xfId="839"/>
    <cellStyle name="Accent4 23" xfId="840"/>
    <cellStyle name="Accent4 24" xfId="841"/>
    <cellStyle name="Accent4 25" xfId="842"/>
    <cellStyle name="Accent4 26" xfId="843"/>
    <cellStyle name="Accent4 27" xfId="844"/>
    <cellStyle name="Accent4 28" xfId="845"/>
    <cellStyle name="Accent4 29" xfId="846"/>
    <cellStyle name="Accent4 3" xfId="847"/>
    <cellStyle name="Accent4 3 2" xfId="848"/>
    <cellStyle name="Accent4 3 3" xfId="849"/>
    <cellStyle name="Accent4 3 4" xfId="850"/>
    <cellStyle name="Accent4 3 5" xfId="851"/>
    <cellStyle name="Accent4 30" xfId="852"/>
    <cellStyle name="Accent4 31" xfId="853"/>
    <cellStyle name="Accent4 32" xfId="854"/>
    <cellStyle name="Accent4 33" xfId="855"/>
    <cellStyle name="Accent4 34" xfId="856"/>
    <cellStyle name="Accent4 35" xfId="857"/>
    <cellStyle name="Accent4 36" xfId="858"/>
    <cellStyle name="Accent4 37" xfId="859"/>
    <cellStyle name="Accent4 38" xfId="4224"/>
    <cellStyle name="Accent4 39" xfId="4225"/>
    <cellStyle name="Accent4 4" xfId="860"/>
    <cellStyle name="Accent4 5" xfId="861"/>
    <cellStyle name="Accent4 6" xfId="862"/>
    <cellStyle name="Accent4 7" xfId="863"/>
    <cellStyle name="Accent4 8" xfId="864"/>
    <cellStyle name="Accent4 9" xfId="865"/>
    <cellStyle name="Accent5 - 20%" xfId="866"/>
    <cellStyle name="Accent5 - 20% 2" xfId="867"/>
    <cellStyle name="Accent5 - 20% 3" xfId="868"/>
    <cellStyle name="Accent5 - 20% 4" xfId="869"/>
    <cellStyle name="Accent5 - 20% 5" xfId="870"/>
    <cellStyle name="Accent5 - 40%" xfId="871"/>
    <cellStyle name="Accent5 - 40% 2" xfId="872"/>
    <cellStyle name="Accent5 - 40% 3" xfId="873"/>
    <cellStyle name="Accent5 - 60%" xfId="874"/>
    <cellStyle name="Accent5 - 60% 2" xfId="875"/>
    <cellStyle name="Accent5 - 60% 3" xfId="876"/>
    <cellStyle name="Accent5 - 60% 4" xfId="877"/>
    <cellStyle name="Accent5 10" xfId="878"/>
    <cellStyle name="Accent5 11" xfId="879"/>
    <cellStyle name="Accent5 12" xfId="880"/>
    <cellStyle name="Accent5 13" xfId="881"/>
    <cellStyle name="Accent5 14" xfId="882"/>
    <cellStyle name="Accent5 15" xfId="883"/>
    <cellStyle name="Accent5 16" xfId="884"/>
    <cellStyle name="Accent5 17" xfId="885"/>
    <cellStyle name="Accent5 18" xfId="886"/>
    <cellStyle name="Accent5 19" xfId="887"/>
    <cellStyle name="Accent5 2" xfId="24"/>
    <cellStyle name="Accent5 2 2" xfId="888"/>
    <cellStyle name="Accent5 2 2 2" xfId="889"/>
    <cellStyle name="Accent5 2 2 3" xfId="890"/>
    <cellStyle name="Accent5 2 2 4" xfId="4226"/>
    <cellStyle name="Accent5 2 2 5" xfId="4227"/>
    <cellStyle name="Accent5 2 3" xfId="891"/>
    <cellStyle name="Accent5 2 4" xfId="892"/>
    <cellStyle name="Accent5 2 5" xfId="893"/>
    <cellStyle name="Accent5 2 6" xfId="894"/>
    <cellStyle name="Accent5 2 7" xfId="895"/>
    <cellStyle name="Accent5 2 8" xfId="896"/>
    <cellStyle name="Accent5 2 9" xfId="4228"/>
    <cellStyle name="Accent5 20" xfId="897"/>
    <cellStyle name="Accent5 21" xfId="898"/>
    <cellStyle name="Accent5 22" xfId="899"/>
    <cellStyle name="Accent5 23" xfId="900"/>
    <cellStyle name="Accent5 24" xfId="901"/>
    <cellStyle name="Accent5 25" xfId="902"/>
    <cellStyle name="Accent5 26" xfId="903"/>
    <cellStyle name="Accent5 27" xfId="904"/>
    <cellStyle name="Accent5 28" xfId="905"/>
    <cellStyle name="Accent5 29" xfId="906"/>
    <cellStyle name="Accent5 3" xfId="907"/>
    <cellStyle name="Accent5 3 2" xfId="908"/>
    <cellStyle name="Accent5 3 3" xfId="909"/>
    <cellStyle name="Accent5 3 4" xfId="910"/>
    <cellStyle name="Accent5 3 5" xfId="911"/>
    <cellStyle name="Accent5 30" xfId="912"/>
    <cellStyle name="Accent5 31" xfId="913"/>
    <cellStyle name="Accent5 32" xfId="914"/>
    <cellStyle name="Accent5 33" xfId="915"/>
    <cellStyle name="Accent5 34" xfId="916"/>
    <cellStyle name="Accent5 35" xfId="917"/>
    <cellStyle name="Accent5 36" xfId="918"/>
    <cellStyle name="Accent5 37" xfId="919"/>
    <cellStyle name="Accent5 38" xfId="4229"/>
    <cellStyle name="Accent5 39" xfId="4230"/>
    <cellStyle name="Accent5 4" xfId="920"/>
    <cellStyle name="Accent5 5" xfId="921"/>
    <cellStyle name="Accent5 6" xfId="922"/>
    <cellStyle name="Accent5 7" xfId="923"/>
    <cellStyle name="Accent5 8" xfId="924"/>
    <cellStyle name="Accent5 9" xfId="925"/>
    <cellStyle name="Accent6 - 20%" xfId="926"/>
    <cellStyle name="Accent6 - 20% 2" xfId="927"/>
    <cellStyle name="Accent6 - 20% 3" xfId="928"/>
    <cellStyle name="Accent6 - 40%" xfId="929"/>
    <cellStyle name="Accent6 - 40% 2" xfId="930"/>
    <cellStyle name="Accent6 - 40% 3" xfId="931"/>
    <cellStyle name="Accent6 - 40% 4" xfId="932"/>
    <cellStyle name="Accent6 - 40% 5" xfId="933"/>
    <cellStyle name="Accent6 - 60%" xfId="934"/>
    <cellStyle name="Accent6 - 60% 2" xfId="935"/>
    <cellStyle name="Accent6 - 60% 3" xfId="936"/>
    <cellStyle name="Accent6 - 60% 4" xfId="937"/>
    <cellStyle name="Accent6 10" xfId="938"/>
    <cellStyle name="Accent6 11" xfId="939"/>
    <cellStyle name="Accent6 12" xfId="940"/>
    <cellStyle name="Accent6 13" xfId="941"/>
    <cellStyle name="Accent6 14" xfId="942"/>
    <cellStyle name="Accent6 15" xfId="943"/>
    <cellStyle name="Accent6 16" xfId="944"/>
    <cellStyle name="Accent6 17" xfId="945"/>
    <cellStyle name="Accent6 18" xfId="946"/>
    <cellStyle name="Accent6 19" xfId="947"/>
    <cellStyle name="Accent6 2" xfId="25"/>
    <cellStyle name="Accent6 2 2" xfId="948"/>
    <cellStyle name="Accent6 2 2 2" xfId="949"/>
    <cellStyle name="Accent6 2 2 3" xfId="950"/>
    <cellStyle name="Accent6 2 2 4" xfId="4231"/>
    <cellStyle name="Accent6 2 2 5" xfId="4232"/>
    <cellStyle name="Accent6 2 3" xfId="951"/>
    <cellStyle name="Accent6 2 4" xfId="952"/>
    <cellStyle name="Accent6 2 5" xfId="953"/>
    <cellStyle name="Accent6 2 6" xfId="954"/>
    <cellStyle name="Accent6 2 7" xfId="955"/>
    <cellStyle name="Accent6 2 8" xfId="956"/>
    <cellStyle name="Accent6 2 9" xfId="4233"/>
    <cellStyle name="Accent6 20" xfId="957"/>
    <cellStyle name="Accent6 21" xfId="958"/>
    <cellStyle name="Accent6 22" xfId="959"/>
    <cellStyle name="Accent6 23" xfId="960"/>
    <cellStyle name="Accent6 24" xfId="961"/>
    <cellStyle name="Accent6 25" xfId="962"/>
    <cellStyle name="Accent6 26" xfId="963"/>
    <cellStyle name="Accent6 27" xfId="964"/>
    <cellStyle name="Accent6 28" xfId="965"/>
    <cellStyle name="Accent6 29" xfId="966"/>
    <cellStyle name="Accent6 3" xfId="967"/>
    <cellStyle name="Accent6 3 2" xfId="968"/>
    <cellStyle name="Accent6 3 3" xfId="969"/>
    <cellStyle name="Accent6 3 4" xfId="970"/>
    <cellStyle name="Accent6 3 5" xfId="971"/>
    <cellStyle name="Accent6 30" xfId="972"/>
    <cellStyle name="Accent6 31" xfId="973"/>
    <cellStyle name="Accent6 32" xfId="974"/>
    <cellStyle name="Accent6 33" xfId="975"/>
    <cellStyle name="Accent6 34" xfId="976"/>
    <cellStyle name="Accent6 35" xfId="977"/>
    <cellStyle name="Accent6 36" xfId="978"/>
    <cellStyle name="Accent6 37" xfId="979"/>
    <cellStyle name="Accent6 38" xfId="4234"/>
    <cellStyle name="Accent6 39" xfId="4235"/>
    <cellStyle name="Accent6 4" xfId="980"/>
    <cellStyle name="Accent6 5" xfId="981"/>
    <cellStyle name="Accent6 6" xfId="982"/>
    <cellStyle name="Accent6 7" xfId="983"/>
    <cellStyle name="Accent6 8" xfId="984"/>
    <cellStyle name="Accent6 9" xfId="985"/>
    <cellStyle name="Aro-para" xfId="986"/>
    <cellStyle name="Bad 2" xfId="26"/>
    <cellStyle name="Bad 2 2" xfId="987"/>
    <cellStyle name="Bad 2 2 2" xfId="988"/>
    <cellStyle name="Bad 2 2 3" xfId="989"/>
    <cellStyle name="Bad 2 2 4" xfId="4236"/>
    <cellStyle name="Bad 2 2 5" xfId="4237"/>
    <cellStyle name="Bad 2 3" xfId="990"/>
    <cellStyle name="Bad 2 4" xfId="991"/>
    <cellStyle name="Bad 2 5" xfId="992"/>
    <cellStyle name="Bad 2 6" xfId="993"/>
    <cellStyle name="Bad 2 7" xfId="994"/>
    <cellStyle name="Bad 2 8" xfId="995"/>
    <cellStyle name="Bad 2 9" xfId="4238"/>
    <cellStyle name="Bad 3" xfId="996"/>
    <cellStyle name="Bad 3 2" xfId="997"/>
    <cellStyle name="Bad 3 3" xfId="998"/>
    <cellStyle name="Bad 3 4" xfId="999"/>
    <cellStyle name="Bad 3 5" xfId="1000"/>
    <cellStyle name="Bad 4" xfId="1001"/>
    <cellStyle name="Bad 5" xfId="1002"/>
    <cellStyle name="Bad 6" xfId="4239"/>
    <cellStyle name="Bom" xfId="1003"/>
    <cellStyle name="Buena" xfId="1004"/>
    <cellStyle name="Buena 10" xfId="1005"/>
    <cellStyle name="Buena 11" xfId="1006"/>
    <cellStyle name="Buena 12" xfId="1007"/>
    <cellStyle name="Buena 13" xfId="1008"/>
    <cellStyle name="Buena 14" xfId="1009"/>
    <cellStyle name="Buena 15" xfId="4240"/>
    <cellStyle name="Buena 2" xfId="1010"/>
    <cellStyle name="Buena 2 2" xfId="1011"/>
    <cellStyle name="Buena 3" xfId="1012"/>
    <cellStyle name="Buena 3 2" xfId="1013"/>
    <cellStyle name="Buena 4" xfId="1014"/>
    <cellStyle name="Buena 5" xfId="1015"/>
    <cellStyle name="Buena 6" xfId="1016"/>
    <cellStyle name="Buena 7" xfId="1017"/>
    <cellStyle name="Buena 8" xfId="1018"/>
    <cellStyle name="Buena 9" xfId="1019"/>
    <cellStyle name="Calc" xfId="1020"/>
    <cellStyle name="Calc 2" xfId="1021"/>
    <cellStyle name="Calc 2 2" xfId="1022"/>
    <cellStyle name="Calc 3" xfId="1023"/>
    <cellStyle name="Calc 4" xfId="1024"/>
    <cellStyle name="Calculation 2" xfId="27"/>
    <cellStyle name="Calculation 2 2" xfId="1025"/>
    <cellStyle name="Calculation 2 2 2" xfId="1026"/>
    <cellStyle name="Calculation 2 2 3" xfId="1027"/>
    <cellStyle name="Calculation 2 2 4" xfId="4241"/>
    <cellStyle name="Calculation 2 2 5" xfId="4242"/>
    <cellStyle name="Calculation 2 3" xfId="1028"/>
    <cellStyle name="Calculation 2 4" xfId="1029"/>
    <cellStyle name="Calculation 2 5" xfId="1030"/>
    <cellStyle name="Calculation 2 6" xfId="1031"/>
    <cellStyle name="Calculation 2 7" xfId="1032"/>
    <cellStyle name="Calculation 2 8" xfId="1033"/>
    <cellStyle name="Calculation 2 9" xfId="4243"/>
    <cellStyle name="Calculation 3" xfId="1034"/>
    <cellStyle name="Calculation 3 2" xfId="1035"/>
    <cellStyle name="Calculation 3 3" xfId="1036"/>
    <cellStyle name="Calculation 3 4" xfId="1037"/>
    <cellStyle name="Calculation 3 5" xfId="1038"/>
    <cellStyle name="Calculation 4" xfId="1039"/>
    <cellStyle name="Calculation 5" xfId="1040"/>
    <cellStyle name="Calculation 6" xfId="4244"/>
    <cellStyle name="Cálculo" xfId="1041"/>
    <cellStyle name="Cálculo 10" xfId="1042"/>
    <cellStyle name="Cálculo 11" xfId="1043"/>
    <cellStyle name="Cálculo 12" xfId="1044"/>
    <cellStyle name="Cálculo 13" xfId="1045"/>
    <cellStyle name="Cálculo 14" xfId="1046"/>
    <cellStyle name="Cálculo 2" xfId="1047"/>
    <cellStyle name="Cálculo 2 2" xfId="1048"/>
    <cellStyle name="Cálculo 3" xfId="1049"/>
    <cellStyle name="Cálculo 3 2" xfId="1050"/>
    <cellStyle name="Cálculo 4" xfId="1051"/>
    <cellStyle name="Cálculo 5" xfId="1052"/>
    <cellStyle name="Cálculo 6" xfId="1053"/>
    <cellStyle name="Cálculo 7" xfId="1054"/>
    <cellStyle name="Cálculo 8" xfId="1055"/>
    <cellStyle name="Cálculo 9" xfId="1056"/>
    <cellStyle name="Cancel" xfId="1057"/>
    <cellStyle name="Cancel 2" xfId="1058"/>
    <cellStyle name="Celda de comprobación" xfId="1059"/>
    <cellStyle name="Celda de comprobación 10" xfId="1060"/>
    <cellStyle name="Celda de comprobación 11" xfId="1061"/>
    <cellStyle name="Celda de comprobación 12" xfId="1062"/>
    <cellStyle name="Celda de comprobación 13" xfId="1063"/>
    <cellStyle name="Celda de comprobación 14" xfId="1064"/>
    <cellStyle name="Celda de comprobación 15" xfId="4245"/>
    <cellStyle name="Celda de comprobación 2" xfId="1065"/>
    <cellStyle name="Celda de comprobación 2 2" xfId="1066"/>
    <cellStyle name="Celda de comprobación 2 3" xfId="1067"/>
    <cellStyle name="Celda de comprobación 3" xfId="1068"/>
    <cellStyle name="Celda de comprobación 3 2" xfId="1069"/>
    <cellStyle name="Celda de comprobación 4" xfId="1070"/>
    <cellStyle name="Celda de comprobación 5" xfId="1071"/>
    <cellStyle name="Celda de comprobación 6" xfId="1072"/>
    <cellStyle name="Celda de comprobación 7" xfId="1073"/>
    <cellStyle name="Celda de comprobación 8" xfId="1074"/>
    <cellStyle name="Celda de comprobación 9" xfId="1075"/>
    <cellStyle name="Celda vinculada" xfId="1076"/>
    <cellStyle name="Celda vinculada 10" xfId="1077"/>
    <cellStyle name="Celda vinculada 11" xfId="1078"/>
    <cellStyle name="Celda vinculada 12" xfId="1079"/>
    <cellStyle name="Celda vinculada 13" xfId="1080"/>
    <cellStyle name="Celda vinculada 14" xfId="1081"/>
    <cellStyle name="Celda vinculada 15" xfId="4246"/>
    <cellStyle name="Celda vinculada 2" xfId="1082"/>
    <cellStyle name="Celda vinculada 2 2" xfId="1083"/>
    <cellStyle name="Celda vinculada 3" xfId="1084"/>
    <cellStyle name="Celda vinculada 3 2" xfId="1085"/>
    <cellStyle name="Celda vinculada 4" xfId="1086"/>
    <cellStyle name="Celda vinculada 5" xfId="1087"/>
    <cellStyle name="Celda vinculada 6" xfId="1088"/>
    <cellStyle name="Celda vinculada 7" xfId="1089"/>
    <cellStyle name="Celda vinculada 8" xfId="1090"/>
    <cellStyle name="Celda vinculada 9" xfId="1091"/>
    <cellStyle name="Célula de Verificação" xfId="1092"/>
    <cellStyle name="Célula Vinculada" xfId="1093"/>
    <cellStyle name="Check Cell 2" xfId="28"/>
    <cellStyle name="Check Cell 2 10" xfId="1094"/>
    <cellStyle name="Check Cell 2 2" xfId="1095"/>
    <cellStyle name="Check Cell 2 2 2" xfId="1096"/>
    <cellStyle name="Check Cell 2 2 3" xfId="1097"/>
    <cellStyle name="Check Cell 2 2 4" xfId="1098"/>
    <cellStyle name="Check Cell 2 2 5" xfId="1099"/>
    <cellStyle name="Check Cell 2 2 6" xfId="4247"/>
    <cellStyle name="Check Cell 2 2 7" xfId="4248"/>
    <cellStyle name="Check Cell 2 3" xfId="1100"/>
    <cellStyle name="Check Cell 2 4" xfId="1101"/>
    <cellStyle name="Check Cell 2 5" xfId="1102"/>
    <cellStyle name="Check Cell 2 6" xfId="1103"/>
    <cellStyle name="Check Cell 2 7" xfId="1104"/>
    <cellStyle name="Check Cell 2 8" xfId="1105"/>
    <cellStyle name="Check Cell 2 9" xfId="1106"/>
    <cellStyle name="Check Cell 3" xfId="1107"/>
    <cellStyle name="Check Cell 3 2" xfId="1108"/>
    <cellStyle name="Check Cell 3 3" xfId="1109"/>
    <cellStyle name="Check Cell 3 4" xfId="1110"/>
    <cellStyle name="Check Cell 3 5" xfId="1111"/>
    <cellStyle name="Check Cell 4" xfId="1112"/>
    <cellStyle name="Check Cell 5" xfId="1113"/>
    <cellStyle name="Check Cell 6" xfId="1114"/>
    <cellStyle name="Comma" xfId="44" builtinId="3"/>
    <cellStyle name="Comma  - Style1" xfId="1115"/>
    <cellStyle name="Comma  - Style1 2" xfId="1116"/>
    <cellStyle name="Comma  - Style1 3" xfId="1117"/>
    <cellStyle name="Comma  - Style2" xfId="1118"/>
    <cellStyle name="Comma  - Style2 2" xfId="1119"/>
    <cellStyle name="Comma  - Style2 3" xfId="1120"/>
    <cellStyle name="Comma  - Style3" xfId="1121"/>
    <cellStyle name="Comma  - Style3 2" xfId="1122"/>
    <cellStyle name="Comma  - Style3 3" xfId="1123"/>
    <cellStyle name="Comma  - Style4" xfId="1124"/>
    <cellStyle name="Comma  - Style4 2" xfId="1125"/>
    <cellStyle name="Comma  - Style4 3" xfId="1126"/>
    <cellStyle name="Comma  - Style5" xfId="1127"/>
    <cellStyle name="Comma  - Style5 2" xfId="1128"/>
    <cellStyle name="Comma  - Style5 3" xfId="1129"/>
    <cellStyle name="Comma  - Style6" xfId="1130"/>
    <cellStyle name="Comma  - Style6 2" xfId="1131"/>
    <cellStyle name="Comma  - Style6 3" xfId="1132"/>
    <cellStyle name="Comma  - Style7" xfId="1133"/>
    <cellStyle name="Comma  - Style7 2" xfId="1134"/>
    <cellStyle name="Comma  - Style7 3" xfId="1135"/>
    <cellStyle name="Comma  - Style8" xfId="1136"/>
    <cellStyle name="Comma  - Style8 2" xfId="1137"/>
    <cellStyle name="Comma  - Style8 3" xfId="1138"/>
    <cellStyle name="Comma [0] 2" xfId="1139"/>
    <cellStyle name="Comma [0] 3" xfId="1140"/>
    <cellStyle name="Comma 10" xfId="1141"/>
    <cellStyle name="Comma 11" xfId="1142"/>
    <cellStyle name="Comma 12" xfId="1143"/>
    <cellStyle name="Comma 13" xfId="1144"/>
    <cellStyle name="Comma 14" xfId="1145"/>
    <cellStyle name="Comma 14 2" xfId="1146"/>
    <cellStyle name="Comma 14 2 2" xfId="4496"/>
    <cellStyle name="Comma 15" xfId="1147"/>
    <cellStyle name="Comma 15 2" xfId="1148"/>
    <cellStyle name="Comma 15 2 2" xfId="4497"/>
    <cellStyle name="Comma 16" xfId="1149"/>
    <cellStyle name="Comma 16 2" xfId="1150"/>
    <cellStyle name="Comma 16 2 2" xfId="4498"/>
    <cellStyle name="Comma 17" xfId="1151"/>
    <cellStyle name="Comma 17 2" xfId="4499"/>
    <cellStyle name="Comma 18" xfId="1152"/>
    <cellStyle name="Comma 18 2" xfId="4500"/>
    <cellStyle name="Comma 19" xfId="1153"/>
    <cellStyle name="Comma 19 2" xfId="4501"/>
    <cellStyle name="Comma 2" xfId="29"/>
    <cellStyle name="Comma 2 2" xfId="1155"/>
    <cellStyle name="Comma 2 2 2" xfId="1156"/>
    <cellStyle name="Comma 2 2 2 2" xfId="1157"/>
    <cellStyle name="Comma 2 2 2 2 2" xfId="4502"/>
    <cellStyle name="Comma 2 2 2 3" xfId="1158"/>
    <cellStyle name="Comma 2 2 2 4" xfId="4249"/>
    <cellStyle name="Comma 2 2 3" xfId="1159"/>
    <cellStyle name="Comma 2 2 3 2" xfId="1160"/>
    <cellStyle name="Comma 2 2 3 3" xfId="1161"/>
    <cellStyle name="Comma 2 2 3 4" xfId="4503"/>
    <cellStyle name="Comma 2 2 4" xfId="4250"/>
    <cellStyle name="Comma 2 3" xfId="1162"/>
    <cellStyle name="Comma 2 3 2" xfId="1163"/>
    <cellStyle name="Comma 2 3 2 2" xfId="4251"/>
    <cellStyle name="Comma 2 3 2 2 2" xfId="4252"/>
    <cellStyle name="Comma 2 3 2 3" xfId="4253"/>
    <cellStyle name="Comma 2 3 2 4" xfId="4254"/>
    <cellStyle name="Comma 2 3 2 5" xfId="4255"/>
    <cellStyle name="Comma 2 3 3" xfId="1164"/>
    <cellStyle name="Comma 2 3 3 2" xfId="4256"/>
    <cellStyle name="Comma 2 3 3 3" xfId="4257"/>
    <cellStyle name="Comma 2 3 3 4" xfId="4258"/>
    <cellStyle name="Comma 2 3 4" xfId="1165"/>
    <cellStyle name="Comma 2 3 4 2" xfId="4259"/>
    <cellStyle name="Comma 2 3 4 3" xfId="4260"/>
    <cellStyle name="Comma 2 3 5" xfId="4261"/>
    <cellStyle name="Comma 2 3 6" xfId="4262"/>
    <cellStyle name="Comma 2 4" xfId="1166"/>
    <cellStyle name="Comma 2 4 2" xfId="1167"/>
    <cellStyle name="Comma 2 4 2 2" xfId="4263"/>
    <cellStyle name="Comma 2 4 2 3" xfId="4264"/>
    <cellStyle name="Comma 2 4 2 4" xfId="4265"/>
    <cellStyle name="Comma 2 4 3" xfId="1168"/>
    <cellStyle name="Comma 2 4 3 2" xfId="4266"/>
    <cellStyle name="Comma 2 4 3 3" xfId="4267"/>
    <cellStyle name="Comma 2 4 4" xfId="4268"/>
    <cellStyle name="Comma 2 4 5" xfId="4269"/>
    <cellStyle name="Comma 2 5" xfId="1169"/>
    <cellStyle name="Comma 2 5 2" xfId="1170"/>
    <cellStyle name="Comma 2 5 2 2" xfId="4270"/>
    <cellStyle name="Comma 2 5 2 3" xfId="4271"/>
    <cellStyle name="Comma 2 5 3" xfId="4272"/>
    <cellStyle name="Comma 2 5 4" xfId="4273"/>
    <cellStyle name="Comma 2 6" xfId="1171"/>
    <cellStyle name="Comma 2 6 2" xfId="4274"/>
    <cellStyle name="Comma 2 6 3" xfId="4275"/>
    <cellStyle name="Comma 2 7" xfId="1154"/>
    <cellStyle name="Comma 20" xfId="1172"/>
    <cellStyle name="Comma 20 2" xfId="4504"/>
    <cellStyle name="Comma 21" xfId="1173"/>
    <cellStyle name="Comma 21 2" xfId="4505"/>
    <cellStyle name="Comma 22" xfId="1174"/>
    <cellStyle name="Comma 22 2" xfId="4506"/>
    <cellStyle name="Comma 23" xfId="1175"/>
    <cellStyle name="Comma 23 2" xfId="4507"/>
    <cellStyle name="Comma 24" xfId="1176"/>
    <cellStyle name="Comma 24 2" xfId="4508"/>
    <cellStyle name="Comma 25" xfId="1177"/>
    <cellStyle name="Comma 25 2" xfId="4509"/>
    <cellStyle name="Comma 26" xfId="1178"/>
    <cellStyle name="Comma 26 2" xfId="4510"/>
    <cellStyle name="Comma 27" xfId="1179"/>
    <cellStyle name="Comma 27 2" xfId="4511"/>
    <cellStyle name="Comma 28" xfId="1180"/>
    <cellStyle name="Comma 28 2" xfId="4512"/>
    <cellStyle name="Comma 29" xfId="1181"/>
    <cellStyle name="Comma 29 2" xfId="4513"/>
    <cellStyle name="Comma 3" xfId="1182"/>
    <cellStyle name="Comma 3 2" xfId="1183"/>
    <cellStyle name="Comma 3 2 2" xfId="1184"/>
    <cellStyle name="Comma 3 2 2 2" xfId="1185"/>
    <cellStyle name="Comma 3 2 2 2 2" xfId="4514"/>
    <cellStyle name="Comma 3 2 3" xfId="1186"/>
    <cellStyle name="Comma 3 2 4" xfId="1187"/>
    <cellStyle name="Comma 3 2 4 2" xfId="4515"/>
    <cellStyle name="Comma 3 2 5" xfId="4276"/>
    <cellStyle name="Comma 3 3" xfId="1188"/>
    <cellStyle name="Comma 3 4" xfId="1189"/>
    <cellStyle name="Comma 3 5" xfId="1190"/>
    <cellStyle name="Comma 3 6" xfId="4277"/>
    <cellStyle name="Comma 30" xfId="1191"/>
    <cellStyle name="Comma 30 2" xfId="4516"/>
    <cellStyle name="Comma 31" xfId="1192"/>
    <cellStyle name="Comma 31 2" xfId="4517"/>
    <cellStyle name="Comma 32" xfId="1193"/>
    <cellStyle name="Comma 32 2" xfId="4518"/>
    <cellStyle name="Comma 33" xfId="1194"/>
    <cellStyle name="Comma 33 2" xfId="4519"/>
    <cellStyle name="Comma 34" xfId="1195"/>
    <cellStyle name="Comma 34 2" xfId="4520"/>
    <cellStyle name="Comma 35" xfId="1196"/>
    <cellStyle name="Comma 35 2" xfId="4521"/>
    <cellStyle name="Comma 36" xfId="1197"/>
    <cellStyle name="Comma 36 2" xfId="4522"/>
    <cellStyle name="Comma 37" xfId="1198"/>
    <cellStyle name="Comma 37 2" xfId="4523"/>
    <cellStyle name="Comma 38" xfId="1199"/>
    <cellStyle name="Comma 38 2" xfId="4524"/>
    <cellStyle name="Comma 39" xfId="1200"/>
    <cellStyle name="Comma 39 2" xfId="4525"/>
    <cellStyle name="Comma 4" xfId="1201"/>
    <cellStyle name="Comma 4 2" xfId="1202"/>
    <cellStyle name="Comma 4 2 2" xfId="1203"/>
    <cellStyle name="Comma 4 2 3" xfId="1204"/>
    <cellStyle name="Comma 4 3" xfId="1205"/>
    <cellStyle name="Comma 4 3 2" xfId="1206"/>
    <cellStyle name="Comma 40" xfId="1207"/>
    <cellStyle name="Comma 40 2" xfId="4526"/>
    <cellStyle name="Comma 41" xfId="1208"/>
    <cellStyle name="Comma 41 2" xfId="4527"/>
    <cellStyle name="Comma 42" xfId="1209"/>
    <cellStyle name="Comma 42 2" xfId="4528"/>
    <cellStyle name="Comma 43" xfId="1210"/>
    <cellStyle name="Comma 43 2" xfId="4529"/>
    <cellStyle name="Comma 44" xfId="1211"/>
    <cellStyle name="Comma 44 2" xfId="4530"/>
    <cellStyle name="Comma 45" xfId="4278"/>
    <cellStyle name="Comma 46" xfId="4279"/>
    <cellStyle name="Comma 47" xfId="4280"/>
    <cellStyle name="Comma 48" xfId="4281"/>
    <cellStyle name="Comma 49" xfId="4282"/>
    <cellStyle name="Comma 5" xfId="1212"/>
    <cellStyle name="Comma 5 2" xfId="1213"/>
    <cellStyle name="Comma 5 2 2" xfId="1214"/>
    <cellStyle name="Comma 5 2 2 2" xfId="4532"/>
    <cellStyle name="Comma 5 2 3" xfId="1215"/>
    <cellStyle name="Comma 5 2 4" xfId="4531"/>
    <cellStyle name="Comma 5 3" xfId="1216"/>
    <cellStyle name="Comma 5 3 2" xfId="1217"/>
    <cellStyle name="Comma 6" xfId="1218"/>
    <cellStyle name="Comma 6 2" xfId="1219"/>
    <cellStyle name="Comma 6 2 2" xfId="1220"/>
    <cellStyle name="Comma 6 2 2 2" xfId="4283"/>
    <cellStyle name="Comma 6 2 2 3" xfId="4284"/>
    <cellStyle name="Comma 6 2 3" xfId="1221"/>
    <cellStyle name="Comma 6 2 3 2" xfId="4285"/>
    <cellStyle name="Comma 6 2 4" xfId="4286"/>
    <cellStyle name="Comma 6 2 5" xfId="4287"/>
    <cellStyle name="Comma 6 3" xfId="1222"/>
    <cellStyle name="Comma 6 3 2" xfId="4288"/>
    <cellStyle name="Comma 6 3 2 2" xfId="4289"/>
    <cellStyle name="Comma 6 3 3" xfId="4290"/>
    <cellStyle name="Comma 6 3 4" xfId="4291"/>
    <cellStyle name="Comma 6 4" xfId="4292"/>
    <cellStyle name="Comma 6 4 2" xfId="4293"/>
    <cellStyle name="Comma 6 5" xfId="4294"/>
    <cellStyle name="Comma 6 6" xfId="4295"/>
    <cellStyle name="Comma 7" xfId="1223"/>
    <cellStyle name="Comma 7 2" xfId="1224"/>
    <cellStyle name="Comma 7 2 2" xfId="1225"/>
    <cellStyle name="Comma 7 2 2 2" xfId="4296"/>
    <cellStyle name="Comma 7 2 2 3" xfId="4297"/>
    <cellStyle name="Comma 7 2 3" xfId="1226"/>
    <cellStyle name="Comma 7 2 3 2" xfId="4298"/>
    <cellStyle name="Comma 7 2 4" xfId="4299"/>
    <cellStyle name="Comma 7 2 5" xfId="4300"/>
    <cellStyle name="Comma 7 3" xfId="1227"/>
    <cellStyle name="Comma 7 3 2" xfId="4301"/>
    <cellStyle name="Comma 7 3 2 2" xfId="4302"/>
    <cellStyle name="Comma 7 3 3" xfId="4303"/>
    <cellStyle name="Comma 7 3 4" xfId="4304"/>
    <cellStyle name="Comma 7 4" xfId="4305"/>
    <cellStyle name="Comma 7 4 2" xfId="4306"/>
    <cellStyle name="Comma 7 5" xfId="4307"/>
    <cellStyle name="Comma 7 6" xfId="4308"/>
    <cellStyle name="Comma 8" xfId="1228"/>
    <cellStyle name="Comma 8 2" xfId="1229"/>
    <cellStyle name="Comma 8 3" xfId="1230"/>
    <cellStyle name="Comma 8 4" xfId="1231"/>
    <cellStyle name="Comma 8 4 2" xfId="4533"/>
    <cellStyle name="Comma 9" xfId="1232"/>
    <cellStyle name="Comma 9 2" xfId="1233"/>
    <cellStyle name="Contabilidad" xfId="1234"/>
    <cellStyle name="Contabilidad (0)" xfId="1235"/>
    <cellStyle name="Contabilidad (0) 2" xfId="1236"/>
    <cellStyle name="Contabilidad (0) 2 2" xfId="1237"/>
    <cellStyle name="Contabilidad (0) 2_20110401_SAL_Rev#1_ PTP 2011" xfId="1238"/>
    <cellStyle name="Contabilidad (0)_20110401_SAL_Rev#1_ PTP 2011" xfId="1239"/>
    <cellStyle name="Contabilidad 10" xfId="1240"/>
    <cellStyle name="Contabilidad 10 2" xfId="1241"/>
    <cellStyle name="Contabilidad 10_20110401_SAN_Rev#1_ PTP 2012" xfId="1242"/>
    <cellStyle name="Contabilidad 2" xfId="1243"/>
    <cellStyle name="Contabilidad 2 2" xfId="1244"/>
    <cellStyle name="Contabilidad 2_20110401_SAL_Rev#1_ PTP 2011" xfId="1245"/>
    <cellStyle name="Contabilidad 3" xfId="1246"/>
    <cellStyle name="Contabilidad 3 2" xfId="1247"/>
    <cellStyle name="Contabilidad 3_20110401_SAL_Rev#1_ PTP 2011" xfId="1248"/>
    <cellStyle name="Contabilidad 4" xfId="1249"/>
    <cellStyle name="Contabilidad 4 2" xfId="1250"/>
    <cellStyle name="Contabilidad 4_20110401_SAL_Rev#1_ PTP 2011" xfId="1251"/>
    <cellStyle name="Contabilidad 5" xfId="1252"/>
    <cellStyle name="Contabilidad 5 2" xfId="1253"/>
    <cellStyle name="Contabilidad 5_20110401_SAN_Rev#1_ PTP 2012" xfId="1254"/>
    <cellStyle name="Contabilidad 6" xfId="1255"/>
    <cellStyle name="Contabilidad 6 2" xfId="1256"/>
    <cellStyle name="Contabilidad 6_20110401_SAN_Rev#1_ PTP 2012" xfId="1257"/>
    <cellStyle name="Contabilidad 7" xfId="1258"/>
    <cellStyle name="Contabilidad 7 2" xfId="1259"/>
    <cellStyle name="Contabilidad 7_20110401_SAN_Rev#1_ PTP 2012" xfId="1260"/>
    <cellStyle name="Contabilidad 8" xfId="1261"/>
    <cellStyle name="Contabilidad 8 2" xfId="1262"/>
    <cellStyle name="Contabilidad 8_20110401_SAN_Rev#1_ PTP 2012" xfId="1263"/>
    <cellStyle name="Contabilidad 9" xfId="1264"/>
    <cellStyle name="Contabilidad 9 2" xfId="1265"/>
    <cellStyle name="Contabilidad 9_20110401_SAN_Rev#1_ PTP 2012" xfId="1266"/>
    <cellStyle name="Contabilidad_20110401_SAL_Rev#1_ PTP 2011" xfId="1267"/>
    <cellStyle name="Currency [0] 2" xfId="1268"/>
    <cellStyle name="Currency [0] 3" xfId="1269"/>
    <cellStyle name="Currency 2" xfId="1270"/>
    <cellStyle name="Currency 2 2" xfId="1271"/>
    <cellStyle name="Currency 3" xfId="1272"/>
    <cellStyle name="Date" xfId="1273"/>
    <cellStyle name="Date [mmm-d-yyyy]" xfId="1274"/>
    <cellStyle name="Date [mmm-yyyy]" xfId="1275"/>
    <cellStyle name="Date 10" xfId="1276"/>
    <cellStyle name="Date 11" xfId="1277"/>
    <cellStyle name="Date 12" xfId="1278"/>
    <cellStyle name="Date 13" xfId="1279"/>
    <cellStyle name="Date 14" xfId="1280"/>
    <cellStyle name="Date 15" xfId="1281"/>
    <cellStyle name="Date 16" xfId="1282"/>
    <cellStyle name="Date 17" xfId="1283"/>
    <cellStyle name="Date 18" xfId="1284"/>
    <cellStyle name="Date 19" xfId="1285"/>
    <cellStyle name="Date 2" xfId="1286"/>
    <cellStyle name="Date 2 2" xfId="1287"/>
    <cellStyle name="Date 2_20110401_SAL_Rev#1_ PTP 2011" xfId="1288"/>
    <cellStyle name="Date 20" xfId="1289"/>
    <cellStyle name="Date 21" xfId="1290"/>
    <cellStyle name="Date 22" xfId="1291"/>
    <cellStyle name="Date 23" xfId="1292"/>
    <cellStyle name="Date 24" xfId="1293"/>
    <cellStyle name="Date 25" xfId="1294"/>
    <cellStyle name="Date 26" xfId="1295"/>
    <cellStyle name="Date 27" xfId="1296"/>
    <cellStyle name="Date 28" xfId="1297"/>
    <cellStyle name="Date 29" xfId="1298"/>
    <cellStyle name="Date 3" xfId="1299"/>
    <cellStyle name="Date 30" xfId="1300"/>
    <cellStyle name="Date 31" xfId="1301"/>
    <cellStyle name="Date 32" xfId="1302"/>
    <cellStyle name="Date 33" xfId="1303"/>
    <cellStyle name="Date 34" xfId="1304"/>
    <cellStyle name="Date 35" xfId="1305"/>
    <cellStyle name="Date 36" xfId="1306"/>
    <cellStyle name="Date 37" xfId="1307"/>
    <cellStyle name="Date 38" xfId="1308"/>
    <cellStyle name="Date 39" xfId="1309"/>
    <cellStyle name="Date 4" xfId="1310"/>
    <cellStyle name="Date 40" xfId="1311"/>
    <cellStyle name="Date 41" xfId="1312"/>
    <cellStyle name="Date 42" xfId="1313"/>
    <cellStyle name="Date 43" xfId="1314"/>
    <cellStyle name="Date 44" xfId="1315"/>
    <cellStyle name="Date 44 2" xfId="1316"/>
    <cellStyle name="Date 45" xfId="1317"/>
    <cellStyle name="Date 45 2" xfId="1318"/>
    <cellStyle name="Date 46" xfId="1319"/>
    <cellStyle name="Date 46 2" xfId="1320"/>
    <cellStyle name="Date 47" xfId="1321"/>
    <cellStyle name="Date 47 2" xfId="1322"/>
    <cellStyle name="Date 48" xfId="1323"/>
    <cellStyle name="Date 48 2" xfId="1324"/>
    <cellStyle name="Date 49" xfId="1325"/>
    <cellStyle name="Date 49 2" xfId="1326"/>
    <cellStyle name="Date 5" xfId="1327"/>
    <cellStyle name="Date 50" xfId="1328"/>
    <cellStyle name="Date 50 2" xfId="1329"/>
    <cellStyle name="Date 51" xfId="1330"/>
    <cellStyle name="Date 51 2" xfId="1331"/>
    <cellStyle name="Date 52" xfId="1332"/>
    <cellStyle name="Date 52 2" xfId="1333"/>
    <cellStyle name="Date 53" xfId="1334"/>
    <cellStyle name="Date 53 2" xfId="1335"/>
    <cellStyle name="Date 54" xfId="1336"/>
    <cellStyle name="Date 54 2" xfId="1337"/>
    <cellStyle name="Date 55" xfId="1338"/>
    <cellStyle name="Date 55 2" xfId="1339"/>
    <cellStyle name="Date 56" xfId="1340"/>
    <cellStyle name="Date 56 2" xfId="1341"/>
    <cellStyle name="Date 57" xfId="1342"/>
    <cellStyle name="Date 57 2" xfId="1343"/>
    <cellStyle name="Date 58" xfId="1344"/>
    <cellStyle name="Date 58 2" xfId="1345"/>
    <cellStyle name="Date 59" xfId="1346"/>
    <cellStyle name="Date 59 2" xfId="1347"/>
    <cellStyle name="Date 6" xfId="1348"/>
    <cellStyle name="Date 60" xfId="1349"/>
    <cellStyle name="Date 60 2" xfId="1350"/>
    <cellStyle name="Date 61" xfId="1351"/>
    <cellStyle name="Date 61 2" xfId="1352"/>
    <cellStyle name="Date 62" xfId="1353"/>
    <cellStyle name="Date 62 2" xfId="1354"/>
    <cellStyle name="Date 63" xfId="1355"/>
    <cellStyle name="Date 63 2" xfId="1356"/>
    <cellStyle name="Date 64" xfId="1357"/>
    <cellStyle name="Date 64 2" xfId="1358"/>
    <cellStyle name="Date 65" xfId="1359"/>
    <cellStyle name="Date 66" xfId="1360"/>
    <cellStyle name="Date 67" xfId="1361"/>
    <cellStyle name="Date 68" xfId="1362"/>
    <cellStyle name="Date 69" xfId="1363"/>
    <cellStyle name="Date 7" xfId="1364"/>
    <cellStyle name="Date 70" xfId="1365"/>
    <cellStyle name="Date 71" xfId="1366"/>
    <cellStyle name="Date 72" xfId="1367"/>
    <cellStyle name="Date 73" xfId="1368"/>
    <cellStyle name="Date 74" xfId="1369"/>
    <cellStyle name="Date 8" xfId="1370"/>
    <cellStyle name="Date 9" xfId="1371"/>
    <cellStyle name="Date_INGRE" xfId="1372"/>
    <cellStyle name="Date2" xfId="1373"/>
    <cellStyle name="DEC1" xfId="1374"/>
    <cellStyle name="Dia" xfId="1375"/>
    <cellStyle name="Dia 2" xfId="1376"/>
    <cellStyle name="Dia 2 2" xfId="1377"/>
    <cellStyle name="Dia 2 2 2" xfId="1378"/>
    <cellStyle name="Dia 2 3" xfId="1379"/>
    <cellStyle name="Dia 2_20110401_SAL_Rev#1_ PTP 2011" xfId="1380"/>
    <cellStyle name="Dia 3" xfId="1381"/>
    <cellStyle name="Dia 3 2" xfId="1382"/>
    <cellStyle name="Dia 4" xfId="1383"/>
    <cellStyle name="Dia_20110401_SAL_Rev#1_ PTP 2011" xfId="1384"/>
    <cellStyle name="ding" xfId="1385"/>
    <cellStyle name="Di-tri" xfId="1386"/>
    <cellStyle name="Di-tri 2" xfId="1387"/>
    <cellStyle name="Di-tri_20110401_SAN_Rev#1_ PTP 2012" xfId="1388"/>
    <cellStyle name="Emphasis 1" xfId="1389"/>
    <cellStyle name="Emphasis 1 2" xfId="1390"/>
    <cellStyle name="Emphasis 1 3" xfId="1391"/>
    <cellStyle name="Emphasis 1 4" xfId="1392"/>
    <cellStyle name="Emphasis 1 5" xfId="1393"/>
    <cellStyle name="Emphasis 2" xfId="1394"/>
    <cellStyle name="Emphasis 2 2" xfId="1395"/>
    <cellStyle name="Emphasis 2 3" xfId="1396"/>
    <cellStyle name="Emphasis 2 4" xfId="1397"/>
    <cellStyle name="Emphasis 2 5" xfId="1398"/>
    <cellStyle name="Emphasis 3" xfId="1399"/>
    <cellStyle name="Emphasis 3 2" xfId="1400"/>
    <cellStyle name="Emphasis 3 3" xfId="1401"/>
    <cellStyle name="Emphasis 3 4" xfId="1402"/>
    <cellStyle name="Emphasis 3 5" xfId="1403"/>
    <cellStyle name="Encabez1" xfId="1404"/>
    <cellStyle name="Encabez1 2" xfId="1405"/>
    <cellStyle name="Encabez1 2 2" xfId="1406"/>
    <cellStyle name="Encabez1 2 2 2" xfId="1407"/>
    <cellStyle name="Encabez1 2 3" xfId="1408"/>
    <cellStyle name="Encabez1 2_20110401_SAL_Rev#1_ PTP 2011" xfId="1409"/>
    <cellStyle name="Encabez1 3" xfId="1410"/>
    <cellStyle name="Encabez1 3 2" xfId="1411"/>
    <cellStyle name="Encabez1 4" xfId="1412"/>
    <cellStyle name="Encabez1_20110401_SAL_Rev#1_ PTP 2011" xfId="1413"/>
    <cellStyle name="Encabez2" xfId="1414"/>
    <cellStyle name="Encabez2 2" xfId="1415"/>
    <cellStyle name="Encabez2 2 2" xfId="1416"/>
    <cellStyle name="Encabez2 2 2 2" xfId="1417"/>
    <cellStyle name="Encabez2 2 3" xfId="1418"/>
    <cellStyle name="Encabez2 2_20110401_SAL_Rev#1_ PTP 2011" xfId="1419"/>
    <cellStyle name="Encabez2 3" xfId="1420"/>
    <cellStyle name="Encabez2 3 2" xfId="1421"/>
    <cellStyle name="Encabez2 4" xfId="1422"/>
    <cellStyle name="Encabez2_20110401_SAL_Rev#1_ PTP 2011" xfId="1423"/>
    <cellStyle name="Encabezado 4" xfId="1424"/>
    <cellStyle name="Encabezado 4 10" xfId="1425"/>
    <cellStyle name="Encabezado 4 11" xfId="1426"/>
    <cellStyle name="Encabezado 4 12" xfId="1427"/>
    <cellStyle name="Encabezado 4 13" xfId="1428"/>
    <cellStyle name="Encabezado 4 14" xfId="1429"/>
    <cellStyle name="Encabezado 4 15" xfId="4309"/>
    <cellStyle name="Encabezado 4 2" xfId="1430"/>
    <cellStyle name="Encabezado 4 2 2" xfId="1431"/>
    <cellStyle name="Encabezado 4 3" xfId="1432"/>
    <cellStyle name="Encabezado 4 3 2" xfId="1433"/>
    <cellStyle name="Encabezado 4 4" xfId="1434"/>
    <cellStyle name="Encabezado 4 5" xfId="1435"/>
    <cellStyle name="Encabezado 4 6" xfId="1436"/>
    <cellStyle name="Encabezado 4 7" xfId="1437"/>
    <cellStyle name="Encabezado 4 8" xfId="1438"/>
    <cellStyle name="Encabezado 4 9" xfId="1439"/>
    <cellStyle name="Ênfase1" xfId="1440"/>
    <cellStyle name="Ênfase2" xfId="1441"/>
    <cellStyle name="Ênfase3" xfId="1442"/>
    <cellStyle name="Ênfase4" xfId="1443"/>
    <cellStyle name="Ênfase5" xfId="1444"/>
    <cellStyle name="Ênfase6" xfId="1445"/>
    <cellStyle name="Énfasis1" xfId="1446"/>
    <cellStyle name="Énfasis1 10" xfId="1447"/>
    <cellStyle name="Énfasis1 11" xfId="1448"/>
    <cellStyle name="Énfasis1 12" xfId="1449"/>
    <cellStyle name="Énfasis1 13" xfId="1450"/>
    <cellStyle name="Énfasis1 14" xfId="1451"/>
    <cellStyle name="Énfasis1 2" xfId="1452"/>
    <cellStyle name="Énfasis1 2 2" xfId="1453"/>
    <cellStyle name="Énfasis1 3" xfId="1454"/>
    <cellStyle name="Énfasis1 3 2" xfId="1455"/>
    <cellStyle name="Énfasis1 4" xfId="1456"/>
    <cellStyle name="Énfasis1 5" xfId="1457"/>
    <cellStyle name="Énfasis1 6" xfId="1458"/>
    <cellStyle name="Énfasis1 7" xfId="1459"/>
    <cellStyle name="Énfasis1 8" xfId="1460"/>
    <cellStyle name="Énfasis1 9" xfId="1461"/>
    <cellStyle name="Énfasis2" xfId="1462"/>
    <cellStyle name="Énfasis2 10" xfId="1463"/>
    <cellStyle name="Énfasis2 11" xfId="1464"/>
    <cellStyle name="Énfasis2 12" xfId="1465"/>
    <cellStyle name="Énfasis2 13" xfId="1466"/>
    <cellStyle name="Énfasis2 14" xfId="1467"/>
    <cellStyle name="Énfasis2 2" xfId="1468"/>
    <cellStyle name="Énfasis2 2 2" xfId="1469"/>
    <cellStyle name="Énfasis2 3" xfId="1470"/>
    <cellStyle name="Énfasis2 3 2" xfId="1471"/>
    <cellStyle name="Énfasis2 4" xfId="1472"/>
    <cellStyle name="Énfasis2 5" xfId="1473"/>
    <cellStyle name="Énfasis2 6" xfId="1474"/>
    <cellStyle name="Énfasis2 7" xfId="1475"/>
    <cellStyle name="Énfasis2 8" xfId="1476"/>
    <cellStyle name="Énfasis2 9" xfId="1477"/>
    <cellStyle name="Énfasis3" xfId="1478"/>
    <cellStyle name="Énfasis3 10" xfId="1479"/>
    <cellStyle name="Énfasis3 11" xfId="1480"/>
    <cellStyle name="Énfasis3 12" xfId="1481"/>
    <cellStyle name="Énfasis3 13" xfId="1482"/>
    <cellStyle name="Énfasis3 14" xfId="1483"/>
    <cellStyle name="Énfasis3 2" xfId="1484"/>
    <cellStyle name="Énfasis3 2 2" xfId="1485"/>
    <cellStyle name="Énfasis3 3" xfId="1486"/>
    <cellStyle name="Énfasis3 3 2" xfId="1487"/>
    <cellStyle name="Énfasis3 4" xfId="1488"/>
    <cellStyle name="Énfasis3 5" xfId="1489"/>
    <cellStyle name="Énfasis3 6" xfId="1490"/>
    <cellStyle name="Énfasis3 7" xfId="1491"/>
    <cellStyle name="Énfasis3 8" xfId="1492"/>
    <cellStyle name="Énfasis3 9" xfId="1493"/>
    <cellStyle name="Énfasis4" xfId="1494"/>
    <cellStyle name="Énfasis4 10" xfId="1495"/>
    <cellStyle name="Énfasis4 11" xfId="1496"/>
    <cellStyle name="Énfasis4 12" xfId="1497"/>
    <cellStyle name="Énfasis4 13" xfId="1498"/>
    <cellStyle name="Énfasis4 14" xfId="1499"/>
    <cellStyle name="Énfasis4 2" xfId="1500"/>
    <cellStyle name="Énfasis4 2 2" xfId="1501"/>
    <cellStyle name="Énfasis4 3" xfId="1502"/>
    <cellStyle name="Énfasis4 3 2" xfId="1503"/>
    <cellStyle name="Énfasis4 4" xfId="1504"/>
    <cellStyle name="Énfasis4 5" xfId="1505"/>
    <cellStyle name="Énfasis4 6" xfId="1506"/>
    <cellStyle name="Énfasis4 7" xfId="1507"/>
    <cellStyle name="Énfasis4 8" xfId="1508"/>
    <cellStyle name="Énfasis4 9" xfId="1509"/>
    <cellStyle name="Énfasis5" xfId="1510"/>
    <cellStyle name="Énfasis5 10" xfId="1511"/>
    <cellStyle name="Énfasis5 11" xfId="1512"/>
    <cellStyle name="Énfasis5 12" xfId="1513"/>
    <cellStyle name="Énfasis5 13" xfId="1514"/>
    <cellStyle name="Énfasis5 14" xfId="1515"/>
    <cellStyle name="Énfasis5 2" xfId="1516"/>
    <cellStyle name="Énfasis5 2 2" xfId="1517"/>
    <cellStyle name="Énfasis5 3" xfId="1518"/>
    <cellStyle name="Énfasis5 3 2" xfId="1519"/>
    <cellStyle name="Énfasis5 4" xfId="1520"/>
    <cellStyle name="Énfasis5 5" xfId="1521"/>
    <cellStyle name="Énfasis5 6" xfId="1522"/>
    <cellStyle name="Énfasis5 7" xfId="1523"/>
    <cellStyle name="Énfasis5 8" xfId="1524"/>
    <cellStyle name="Énfasis5 9" xfId="1525"/>
    <cellStyle name="Énfasis6" xfId="1526"/>
    <cellStyle name="Énfasis6 10" xfId="1527"/>
    <cellStyle name="Énfasis6 11" xfId="1528"/>
    <cellStyle name="Énfasis6 12" xfId="1529"/>
    <cellStyle name="Énfasis6 13" xfId="1530"/>
    <cellStyle name="Énfasis6 14" xfId="1531"/>
    <cellStyle name="Énfasis6 2" xfId="1532"/>
    <cellStyle name="Énfasis6 2 2" xfId="1533"/>
    <cellStyle name="Énfasis6 3" xfId="1534"/>
    <cellStyle name="Énfasis6 3 2" xfId="1535"/>
    <cellStyle name="Énfasis6 4" xfId="1536"/>
    <cellStyle name="Énfasis6 5" xfId="1537"/>
    <cellStyle name="Énfasis6 6" xfId="1538"/>
    <cellStyle name="Énfasis6 7" xfId="1539"/>
    <cellStyle name="Énfasis6 8" xfId="1540"/>
    <cellStyle name="Énfasis6 9" xfId="1541"/>
    <cellStyle name="Entrada" xfId="1542"/>
    <cellStyle name="Entrada 10" xfId="1543"/>
    <cellStyle name="Entrada 11" xfId="1544"/>
    <cellStyle name="Entrada 12" xfId="1545"/>
    <cellStyle name="Entrada 13" xfId="1546"/>
    <cellStyle name="Entrada 14" xfId="1547"/>
    <cellStyle name="Entrada 15" xfId="4310"/>
    <cellStyle name="Entrada 2" xfId="1548"/>
    <cellStyle name="Entrada 2 2" xfId="1549"/>
    <cellStyle name="Entrada 3" xfId="1550"/>
    <cellStyle name="Entrada 3 2" xfId="1551"/>
    <cellStyle name="Entrada 4" xfId="1552"/>
    <cellStyle name="Entrada 5" xfId="1553"/>
    <cellStyle name="Entrada 6" xfId="1554"/>
    <cellStyle name="Entrada 7" xfId="1555"/>
    <cellStyle name="Entrada 8" xfId="1556"/>
    <cellStyle name="Entrada 9" xfId="1557"/>
    <cellStyle name="Estilo 1" xfId="1558"/>
    <cellStyle name="Estilo 1 2" xfId="1559"/>
    <cellStyle name="Estilo 1 2 2" xfId="1560"/>
    <cellStyle name="Estilo 1 2 3" xfId="1561"/>
    <cellStyle name="Estilo 1 3" xfId="1562"/>
    <cellStyle name="Estilo 1 4" xfId="1563"/>
    <cellStyle name="Estilo 1_1.400 Inversiones Oper ITAÚ" xfId="1564"/>
    <cellStyle name="Euro" xfId="1565"/>
    <cellStyle name="Euro 10" xfId="1566"/>
    <cellStyle name="Euro 11" xfId="1567"/>
    <cellStyle name="Euro 12" xfId="1568"/>
    <cellStyle name="Euro 13" xfId="1569"/>
    <cellStyle name="Euro 14" xfId="1570"/>
    <cellStyle name="Euro 2" xfId="1571"/>
    <cellStyle name="Euro 2 2" xfId="1572"/>
    <cellStyle name="Euro 2 2 2" xfId="1573"/>
    <cellStyle name="Euro 2 2 3" xfId="1574"/>
    <cellStyle name="Euro 2 3" xfId="1575"/>
    <cellStyle name="Euro 2 3 2" xfId="1576"/>
    <cellStyle name="Euro 2 4" xfId="1577"/>
    <cellStyle name="Euro 2 5" xfId="1578"/>
    <cellStyle name="Euro 2 6" xfId="1579"/>
    <cellStyle name="Euro 2 7" xfId="4311"/>
    <cellStyle name="Euro 2 8" xfId="4312"/>
    <cellStyle name="Euro 2_1.400 Inversiones Oper ITAÚ" xfId="1580"/>
    <cellStyle name="Euro 3" xfId="1581"/>
    <cellStyle name="Euro 3 2" xfId="1582"/>
    <cellStyle name="Euro 3 2 2" xfId="1583"/>
    <cellStyle name="Euro 3 3" xfId="1584"/>
    <cellStyle name="Euro 3 4" xfId="1585"/>
    <cellStyle name="Euro 3 5" xfId="1586"/>
    <cellStyle name="Euro 3_1.400 Inversiones Oper SAN" xfId="1587"/>
    <cellStyle name="Euro 4" xfId="1588"/>
    <cellStyle name="Euro 4 2" xfId="1589"/>
    <cellStyle name="Euro 5" xfId="1590"/>
    <cellStyle name="Euro 5 2" xfId="1591"/>
    <cellStyle name="Euro 6" xfId="1592"/>
    <cellStyle name="Euro 6 2" xfId="1593"/>
    <cellStyle name="Euro 7" xfId="1594"/>
    <cellStyle name="Euro 7 2" xfId="1595"/>
    <cellStyle name="Euro 7 3" xfId="1596"/>
    <cellStyle name="Euro 8" xfId="1597"/>
    <cellStyle name="Euro 9" xfId="1598"/>
    <cellStyle name="Euro_1.400 Inversiones Oper ITAÚ" xfId="1599"/>
    <cellStyle name="Explanatory Text 2" xfId="30"/>
    <cellStyle name="Explanatory Text 2 2" xfId="4313"/>
    <cellStyle name="Explanatory Text 2 3" xfId="4314"/>
    <cellStyle name="Explanatory Text 3" xfId="1600"/>
    <cellStyle name="Explanatory Text 4" xfId="1601"/>
    <cellStyle name="Explanatory Text 5" xfId="4315"/>
    <cellStyle name="F2" xfId="1602"/>
    <cellStyle name="F2 10" xfId="1603"/>
    <cellStyle name="F2 2" xfId="1604"/>
    <cellStyle name="F2 2 2" xfId="1605"/>
    <cellStyle name="F2 2 2 2" xfId="1606"/>
    <cellStyle name="F2 2 3" xfId="1607"/>
    <cellStyle name="F2 2 4" xfId="1608"/>
    <cellStyle name="F2 2_20110401_SAL_Rev#1_ PTP 2011" xfId="1609"/>
    <cellStyle name="F2 3" xfId="1610"/>
    <cellStyle name="F2 3 2" xfId="1611"/>
    <cellStyle name="F2 3 3" xfId="1612"/>
    <cellStyle name="F2 4" xfId="1613"/>
    <cellStyle name="F2 5" xfId="1614"/>
    <cellStyle name="F2 6" xfId="1615"/>
    <cellStyle name="F2 7" xfId="1616"/>
    <cellStyle name="F2 8" xfId="1617"/>
    <cellStyle name="F2 9" xfId="1618"/>
    <cellStyle name="F2_20110401_SAL_Rev#1_ PTP 2011" xfId="1619"/>
    <cellStyle name="F3" xfId="1620"/>
    <cellStyle name="F3 10" xfId="1621"/>
    <cellStyle name="F3 2" xfId="1622"/>
    <cellStyle name="F3 2 2" xfId="1623"/>
    <cellStyle name="F3 2 2 2" xfId="1624"/>
    <cellStyle name="F3 2 3" xfId="1625"/>
    <cellStyle name="F3 2 4" xfId="1626"/>
    <cellStyle name="F3 2_20110401_SAL_Rev#1_ PTP 2011" xfId="1627"/>
    <cellStyle name="F3 3" xfId="1628"/>
    <cellStyle name="F3 3 2" xfId="1629"/>
    <cellStyle name="F3 3 3" xfId="1630"/>
    <cellStyle name="F3 4" xfId="1631"/>
    <cellStyle name="F3 5" xfId="1632"/>
    <cellStyle name="F3 6" xfId="1633"/>
    <cellStyle name="F3 7" xfId="1634"/>
    <cellStyle name="F3 8" xfId="1635"/>
    <cellStyle name="F3 9" xfId="1636"/>
    <cellStyle name="F3_20110401_SAL_Rev#1_ PTP 2011" xfId="1637"/>
    <cellStyle name="F4" xfId="1638"/>
    <cellStyle name="F4 10" xfId="1639"/>
    <cellStyle name="F4 2" xfId="1640"/>
    <cellStyle name="F4 2 2" xfId="1641"/>
    <cellStyle name="F4 2 2 2" xfId="1642"/>
    <cellStyle name="F4 2 3" xfId="1643"/>
    <cellStyle name="F4 2 4" xfId="1644"/>
    <cellStyle name="F4 2_20110401_SAL_Rev#1_ PTP 2011" xfId="1645"/>
    <cellStyle name="F4 3" xfId="1646"/>
    <cellStyle name="F4 3 2" xfId="1647"/>
    <cellStyle name="F4 3 3" xfId="1648"/>
    <cellStyle name="F4 4" xfId="1649"/>
    <cellStyle name="F4 5" xfId="1650"/>
    <cellStyle name="F4 6" xfId="1651"/>
    <cellStyle name="F4 7" xfId="1652"/>
    <cellStyle name="F4 8" xfId="1653"/>
    <cellStyle name="F4 9" xfId="1654"/>
    <cellStyle name="F4_20110401_SAL_Rev#1_ PTP 2011" xfId="1655"/>
    <cellStyle name="F5" xfId="1656"/>
    <cellStyle name="F5 10" xfId="1657"/>
    <cellStyle name="F5 2" xfId="1658"/>
    <cellStyle name="F5 2 2" xfId="1659"/>
    <cellStyle name="F5 2 2 2" xfId="1660"/>
    <cellStyle name="F5 2 3" xfId="1661"/>
    <cellStyle name="F5 2 4" xfId="1662"/>
    <cellStyle name="F5 2_20110401_SAL_Rev#1_ PTP 2011" xfId="1663"/>
    <cellStyle name="F5 3" xfId="1664"/>
    <cellStyle name="F5 3 2" xfId="1665"/>
    <cellStyle name="F5 3 3" xfId="1666"/>
    <cellStyle name="F5 4" xfId="1667"/>
    <cellStyle name="F5 5" xfId="1668"/>
    <cellStyle name="F5 6" xfId="1669"/>
    <cellStyle name="F5 7" xfId="1670"/>
    <cellStyle name="F5 8" xfId="1671"/>
    <cellStyle name="F5 9" xfId="1672"/>
    <cellStyle name="F5_20110401_SAL_Rev#1_ PTP 2011" xfId="1673"/>
    <cellStyle name="F6" xfId="1674"/>
    <cellStyle name="F6 10" xfId="1675"/>
    <cellStyle name="F6 2" xfId="1676"/>
    <cellStyle name="F6 2 2" xfId="1677"/>
    <cellStyle name="F6 2 2 2" xfId="1678"/>
    <cellStyle name="F6 2 3" xfId="1679"/>
    <cellStyle name="F6 2 4" xfId="1680"/>
    <cellStyle name="F6 2_20110401_SAL_Rev#1_ PTP 2011" xfId="1681"/>
    <cellStyle name="F6 3" xfId="1682"/>
    <cellStyle name="F6 3 2" xfId="1683"/>
    <cellStyle name="F6 3 3" xfId="1684"/>
    <cellStyle name="F6 4" xfId="1685"/>
    <cellStyle name="F6 5" xfId="1686"/>
    <cellStyle name="F6 6" xfId="1687"/>
    <cellStyle name="F6 7" xfId="1688"/>
    <cellStyle name="F6 8" xfId="1689"/>
    <cellStyle name="F6 9" xfId="1690"/>
    <cellStyle name="F6_20110401_SAL_Rev#1_ PTP 2011" xfId="1691"/>
    <cellStyle name="F7" xfId="1692"/>
    <cellStyle name="F7 10" xfId="1693"/>
    <cellStyle name="F7 2" xfId="1694"/>
    <cellStyle name="F7 2 2" xfId="1695"/>
    <cellStyle name="F7 2 2 2" xfId="1696"/>
    <cellStyle name="F7 2 3" xfId="1697"/>
    <cellStyle name="F7 2 4" xfId="1698"/>
    <cellStyle name="F7 2_20110401_SAL_Rev#1_ PTP 2011" xfId="1699"/>
    <cellStyle name="F7 3" xfId="1700"/>
    <cellStyle name="F7 3 2" xfId="1701"/>
    <cellStyle name="F7 3 3" xfId="1702"/>
    <cellStyle name="F7 4" xfId="1703"/>
    <cellStyle name="F7 5" xfId="1704"/>
    <cellStyle name="F7 6" xfId="1705"/>
    <cellStyle name="F7 7" xfId="1706"/>
    <cellStyle name="F7 8" xfId="1707"/>
    <cellStyle name="F7 9" xfId="1708"/>
    <cellStyle name="F7_20110401_SAL_Rev#1_ PTP 2011" xfId="1709"/>
    <cellStyle name="F8" xfId="1710"/>
    <cellStyle name="F8 10" xfId="1711"/>
    <cellStyle name="F8 2" xfId="1712"/>
    <cellStyle name="F8 2 2" xfId="1713"/>
    <cellStyle name="F8 2 2 2" xfId="1714"/>
    <cellStyle name="F8 2 3" xfId="1715"/>
    <cellStyle name="F8 2 4" xfId="1716"/>
    <cellStyle name="F8 2_20110401_SAL_Rev#1_ PTP 2011" xfId="1717"/>
    <cellStyle name="F8 3" xfId="1718"/>
    <cellStyle name="F8 3 2" xfId="1719"/>
    <cellStyle name="F8 3 3" xfId="1720"/>
    <cellStyle name="F8 4" xfId="1721"/>
    <cellStyle name="F8 5" xfId="1722"/>
    <cellStyle name="F8 6" xfId="1723"/>
    <cellStyle name="F8 7" xfId="1724"/>
    <cellStyle name="F8 8" xfId="1725"/>
    <cellStyle name="F8 9" xfId="1726"/>
    <cellStyle name="F8_20110401_SAL_Rev#1_ PTP 2011" xfId="1727"/>
    <cellStyle name="Fijo" xfId="1728"/>
    <cellStyle name="Fijo 2" xfId="1729"/>
    <cellStyle name="Fijo 2 2" xfId="1730"/>
    <cellStyle name="Fijo 2_20110401_SAL_Rev#1_ PTP 2011" xfId="1731"/>
    <cellStyle name="Fijo 3" xfId="1732"/>
    <cellStyle name="Fijo_20110401_SAL_Rev#1_ PTP 2011" xfId="1733"/>
    <cellStyle name="Financiero" xfId="1734"/>
    <cellStyle name="Financiero 2" xfId="1735"/>
    <cellStyle name="Financiero 2 2" xfId="1736"/>
    <cellStyle name="Financiero 2_20110401_SAL_Rev#1_ PTP 2011" xfId="1737"/>
    <cellStyle name="Financiero 3" xfId="1738"/>
    <cellStyle name="Financiero_20110401_SAL_Rev#1_ PTP 2011" xfId="1739"/>
    <cellStyle name="Fixed" xfId="1740"/>
    <cellStyle name="Fixed 2" xfId="1741"/>
    <cellStyle name="Fixed 2 2" xfId="1742"/>
    <cellStyle name="Fixed 2_20110401_SAL_Rev#1_ PTP 2011" xfId="1743"/>
    <cellStyle name="Fixed 3" xfId="1744"/>
    <cellStyle name="Fixed 4" xfId="1745"/>
    <cellStyle name="Fixed 5" xfId="1746"/>
    <cellStyle name="Fixed 5 2" xfId="1747"/>
    <cellStyle name="Followed Hyperlink" xfId="1748"/>
    <cellStyle name="Followed Hyperlink 2" xfId="1749"/>
    <cellStyle name="Followed Hyperlink 2 2" xfId="1750"/>
    <cellStyle name="Followed Hyperlink 2 2 2" xfId="1751"/>
    <cellStyle name="Followed Hyperlink 2 3" xfId="1752"/>
    <cellStyle name="Followed Hyperlink 2_20110401_SAN_Rev#1_ PTP 2012" xfId="1753"/>
    <cellStyle name="Followed Hyperlink 3" xfId="1754"/>
    <cellStyle name="form" xfId="1755"/>
    <cellStyle name="form 2" xfId="1756"/>
    <cellStyle name="Good 2" xfId="31"/>
    <cellStyle name="Good 2 2" xfId="1758"/>
    <cellStyle name="Good 2 2 2" xfId="1759"/>
    <cellStyle name="Good 2 2 3" xfId="1760"/>
    <cellStyle name="Good 2 2 4" xfId="1761"/>
    <cellStyle name="Good 2 2 5" xfId="1762"/>
    <cellStyle name="Good 2 2 6" xfId="4316"/>
    <cellStyle name="Good 2 2 7" xfId="4317"/>
    <cellStyle name="Good 2 3" xfId="1763"/>
    <cellStyle name="Good 2 4" xfId="1764"/>
    <cellStyle name="Good 2 5" xfId="1765"/>
    <cellStyle name="Good 2 6" xfId="1766"/>
    <cellStyle name="Good 2 7" xfId="1767"/>
    <cellStyle name="Good 2 8" xfId="1768"/>
    <cellStyle name="Good 2 9" xfId="1757"/>
    <cellStyle name="Good 3" xfId="1769"/>
    <cellStyle name="Good 3 2" xfId="1770"/>
    <cellStyle name="Good 3 3" xfId="1771"/>
    <cellStyle name="Good 3 4" xfId="1772"/>
    <cellStyle name="Good 3 5" xfId="1773"/>
    <cellStyle name="Good 4" xfId="1774"/>
    <cellStyle name="Good 5" xfId="1775"/>
    <cellStyle name="Hard Percent" xfId="1776"/>
    <cellStyle name="Hard Percent 2" xfId="1777"/>
    <cellStyle name="Heading 1 2" xfId="32"/>
    <cellStyle name="Heading 1 2 2" xfId="1778"/>
    <cellStyle name="Heading 1 2 2 2" xfId="4318"/>
    <cellStyle name="Heading 1 2 2 3" xfId="4319"/>
    <cellStyle name="Heading 1 2 3" xfId="1779"/>
    <cellStyle name="Heading 1 2 4" xfId="1780"/>
    <cellStyle name="Heading 1 2 5" xfId="4320"/>
    <cellStyle name="Heading 1 3" xfId="1781"/>
    <cellStyle name="Heading 1 3 2" xfId="1782"/>
    <cellStyle name="Heading 1 3 3" xfId="1783"/>
    <cellStyle name="Heading 1 4" xfId="1784"/>
    <cellStyle name="Heading 1 5" xfId="4321"/>
    <cellStyle name="Heading 2 2" xfId="33"/>
    <cellStyle name="Heading 2 2 2" xfId="1785"/>
    <cellStyle name="Heading 2 2 2 2" xfId="1786"/>
    <cellStyle name="Heading 2 2 2 3" xfId="1787"/>
    <cellStyle name="Heading 2 2 2 4" xfId="4322"/>
    <cellStyle name="Heading 2 2 2 5" xfId="4323"/>
    <cellStyle name="Heading 2 2 3" xfId="1788"/>
    <cellStyle name="Heading 2 2 4" xfId="1789"/>
    <cellStyle name="Heading 2 2 5" xfId="1790"/>
    <cellStyle name="Heading 2 2 6" xfId="1791"/>
    <cellStyle name="Heading 2 2 7" xfId="1792"/>
    <cellStyle name="Heading 2 2 8" xfId="1793"/>
    <cellStyle name="Heading 2 2 9" xfId="4324"/>
    <cellStyle name="Heading 2 3" xfId="1794"/>
    <cellStyle name="Heading 2 3 2" xfId="1795"/>
    <cellStyle name="Heading 2 3 3" xfId="1796"/>
    <cellStyle name="Heading 2 3 4" xfId="1797"/>
    <cellStyle name="Heading 2 3 5" xfId="1798"/>
    <cellStyle name="Heading 2 4" xfId="1799"/>
    <cellStyle name="Heading 2 5" xfId="1800"/>
    <cellStyle name="Heading 2 6" xfId="4325"/>
    <cellStyle name="Heading 3 2" xfId="34"/>
    <cellStyle name="Heading 3 2 2" xfId="1801"/>
    <cellStyle name="Heading 3 2 2 2" xfId="1802"/>
    <cellStyle name="Heading 3 2 2 3" xfId="1803"/>
    <cellStyle name="Heading 3 2 2 4" xfId="4326"/>
    <cellStyle name="Heading 3 2 2 5" xfId="4327"/>
    <cellStyle name="Heading 3 2 3" xfId="1804"/>
    <cellStyle name="Heading 3 2 4" xfId="1805"/>
    <cellStyle name="Heading 3 2 5" xfId="1806"/>
    <cellStyle name="Heading 3 2 6" xfId="1807"/>
    <cellStyle name="Heading 3 2 7" xfId="1808"/>
    <cellStyle name="Heading 3 2 8" xfId="1809"/>
    <cellStyle name="Heading 3 2 9" xfId="4328"/>
    <cellStyle name="Heading 3 3" xfId="1810"/>
    <cellStyle name="Heading 3 3 2" xfId="1811"/>
    <cellStyle name="Heading 3 3 3" xfId="1812"/>
    <cellStyle name="Heading 3 3 4" xfId="1813"/>
    <cellStyle name="Heading 3 3 5" xfId="1814"/>
    <cellStyle name="Heading 3 4" xfId="1815"/>
    <cellStyle name="Heading 3 5" xfId="1816"/>
    <cellStyle name="Heading 3 6" xfId="4329"/>
    <cellStyle name="Heading 4 2" xfId="35"/>
    <cellStyle name="Heading 4 2 2" xfId="1818"/>
    <cellStyle name="Heading 4 2 2 2" xfId="1819"/>
    <cellStyle name="Heading 4 2 2 3" xfId="1820"/>
    <cellStyle name="Heading 4 2 2 4" xfId="4330"/>
    <cellStyle name="Heading 4 2 2 5" xfId="4331"/>
    <cellStyle name="Heading 4 2 3" xfId="1821"/>
    <cellStyle name="Heading 4 2 4" xfId="1822"/>
    <cellStyle name="Heading 4 2 5" xfId="1817"/>
    <cellStyle name="Heading 4 3" xfId="1823"/>
    <cellStyle name="Heading 4 3 2" xfId="1824"/>
    <cellStyle name="Heading 4 3 3" xfId="1825"/>
    <cellStyle name="Heading 4 4" xfId="1826"/>
    <cellStyle name="Heading1" xfId="1827"/>
    <cellStyle name="Heading1 2" xfId="1828"/>
    <cellStyle name="Heading1 2 2" xfId="1829"/>
    <cellStyle name="Heading1 2_20110401_SAL_Rev#1_ PTP 2011" xfId="1830"/>
    <cellStyle name="Heading1 3" xfId="1831"/>
    <cellStyle name="Heading1 4" xfId="1832"/>
    <cellStyle name="Heading1 5" xfId="1833"/>
    <cellStyle name="Heading1 5 2" xfId="1834"/>
    <cellStyle name="Heading2" xfId="1835"/>
    <cellStyle name="Heading2 2" xfId="1836"/>
    <cellStyle name="Heading2 2 2" xfId="1837"/>
    <cellStyle name="Heading2 2_20110401_SAL_Rev#1_ PTP 2011" xfId="1838"/>
    <cellStyle name="Heading2 3" xfId="1839"/>
    <cellStyle name="Heading2 4" xfId="1840"/>
    <cellStyle name="Heading2 5" xfId="1841"/>
    <cellStyle name="Heading2 5 2" xfId="1842"/>
    <cellStyle name="Hipervínculo 2" xfId="1843"/>
    <cellStyle name="Hipervínculo 2 2" xfId="1844"/>
    <cellStyle name="Hipervínculo 2 2 2" xfId="1845"/>
    <cellStyle name="Hipervínculo 2 3" xfId="1846"/>
    <cellStyle name="Hipervínculo 2_20110401_SAL_Rev#1_ PTP 2011" xfId="1847"/>
    <cellStyle name="Hipervínculo 3" xfId="1848"/>
    <cellStyle name="Hipervínculo 3 2" xfId="1849"/>
    <cellStyle name="Hipervínculo 3 3" xfId="1850"/>
    <cellStyle name="Hipervínculo 3 4" xfId="1851"/>
    <cellStyle name="Hipervínculo 4" xfId="1852"/>
    <cellStyle name="Hyperlink" xfId="1853"/>
    <cellStyle name="Hyperlink 2" xfId="1854"/>
    <cellStyle name="Hyperlink 2 2" xfId="1855"/>
    <cellStyle name="Hyperlink 2 2 2" xfId="1856"/>
    <cellStyle name="Hyperlink 2 3" xfId="1857"/>
    <cellStyle name="Hyperlink 2_20110401_SAN_Rev#1_ PTP 2012" xfId="1858"/>
    <cellStyle name="Hyperlink 3" xfId="1859"/>
    <cellStyle name="Hyperlink 3 2" xfId="1860"/>
    <cellStyle name="Hyperlink 3 3" xfId="1861"/>
    <cellStyle name="Hyperlink 4" xfId="1862"/>
    <cellStyle name="Hyperlink 4 2" xfId="1863"/>
    <cellStyle name="Hyperlink 5" xfId="1864"/>
    <cellStyle name="Hyperlink 5 2" xfId="1865"/>
    <cellStyle name="Hyperlink 5 3" xfId="1866"/>
    <cellStyle name="Hyperlink 6" xfId="1867"/>
    <cellStyle name="Hyperlink 7" xfId="4332"/>
    <cellStyle name="Hyperlink_Capex SAN 2010" xfId="1868"/>
    <cellStyle name="Incorrecto" xfId="1869"/>
    <cellStyle name="Incorrecto 10" xfId="1870"/>
    <cellStyle name="Incorrecto 11" xfId="1871"/>
    <cellStyle name="Incorrecto 12" xfId="1872"/>
    <cellStyle name="Incorrecto 13" xfId="1873"/>
    <cellStyle name="Incorrecto 14" xfId="1874"/>
    <cellStyle name="Incorrecto 2" xfId="1875"/>
    <cellStyle name="Incorrecto 2 2" xfId="1876"/>
    <cellStyle name="Incorrecto 3" xfId="1877"/>
    <cellStyle name="Incorrecto 3 2" xfId="1878"/>
    <cellStyle name="Incorrecto 4" xfId="1879"/>
    <cellStyle name="Incorrecto 5" xfId="1880"/>
    <cellStyle name="Incorrecto 6" xfId="1881"/>
    <cellStyle name="Incorrecto 7" xfId="1882"/>
    <cellStyle name="Incorrecto 8" xfId="1883"/>
    <cellStyle name="Incorrecto 9" xfId="1884"/>
    <cellStyle name="Incorreto" xfId="1885"/>
    <cellStyle name="Indefinido" xfId="1886"/>
    <cellStyle name="Indefinido 2" xfId="1887"/>
    <cellStyle name="Indefinido 2 2" xfId="1888"/>
    <cellStyle name="Indefinido 2 2 2" xfId="1889"/>
    <cellStyle name="Indefinido 2 3" xfId="1890"/>
    <cellStyle name="Indefinido 2_20110401_SAL_Rev#1_ PTP 2011" xfId="1891"/>
    <cellStyle name="Indefinido 3" xfId="1892"/>
    <cellStyle name="Indefinido 3 2" xfId="1893"/>
    <cellStyle name="Indefinido 4" xfId="1894"/>
    <cellStyle name="Indefinido 4 2" xfId="1895"/>
    <cellStyle name="Indefinido 5" xfId="1896"/>
    <cellStyle name="Indefinido 5 2" xfId="1897"/>
    <cellStyle name="Indefinido 5 3" xfId="1898"/>
    <cellStyle name="Indefinido 6" xfId="1899"/>
    <cellStyle name="Input 2" xfId="36"/>
    <cellStyle name="Input 2 2" xfId="1901"/>
    <cellStyle name="Input 2 2 2" xfId="1902"/>
    <cellStyle name="Input 2 2 3" xfId="1903"/>
    <cellStyle name="Input 2 2 4" xfId="1904"/>
    <cellStyle name="Input 2 2 5" xfId="1905"/>
    <cellStyle name="Input 2 2 6" xfId="4333"/>
    <cellStyle name="Input 2 2 7" xfId="4334"/>
    <cellStyle name="Input 2 3" xfId="1906"/>
    <cellStyle name="Input 2 4" xfId="1907"/>
    <cellStyle name="Input 2 5" xfId="1908"/>
    <cellStyle name="Input 2 6" xfId="1909"/>
    <cellStyle name="Input 2 7" xfId="1910"/>
    <cellStyle name="Input 2 8" xfId="1911"/>
    <cellStyle name="Input 2 9" xfId="1900"/>
    <cellStyle name="Input 3" xfId="1912"/>
    <cellStyle name="Input 3 2" xfId="1913"/>
    <cellStyle name="Input 3 3" xfId="1914"/>
    <cellStyle name="Input 3 4" xfId="1915"/>
    <cellStyle name="Input 3 5" xfId="1916"/>
    <cellStyle name="Input 4" xfId="1917"/>
    <cellStyle name="Input 5" xfId="1918"/>
    <cellStyle name="Linked Cell 2" xfId="37"/>
    <cellStyle name="Linked Cell 2 2" xfId="1920"/>
    <cellStyle name="Linked Cell 2 2 2" xfId="1921"/>
    <cellStyle name="Linked Cell 2 2 3" xfId="1922"/>
    <cellStyle name="Linked Cell 2 2 4" xfId="1923"/>
    <cellStyle name="Linked Cell 2 2 5" xfId="1924"/>
    <cellStyle name="Linked Cell 2 2 6" xfId="4335"/>
    <cellStyle name="Linked Cell 2 2 7" xfId="4336"/>
    <cellStyle name="Linked Cell 2 3" xfId="1925"/>
    <cellStyle name="Linked Cell 2 4" xfId="1926"/>
    <cellStyle name="Linked Cell 2 5" xfId="1927"/>
    <cellStyle name="Linked Cell 2 6" xfId="1928"/>
    <cellStyle name="Linked Cell 2 7" xfId="1929"/>
    <cellStyle name="Linked Cell 2 8" xfId="1930"/>
    <cellStyle name="Linked Cell 2 9" xfId="1919"/>
    <cellStyle name="Linked Cell 3" xfId="1931"/>
    <cellStyle name="Linked Cell 3 2" xfId="1932"/>
    <cellStyle name="Linked Cell 3 3" xfId="1933"/>
    <cellStyle name="Linked Cell 3 4" xfId="1934"/>
    <cellStyle name="Linked Cell 3 5" xfId="1935"/>
    <cellStyle name="Linked Cell 4" xfId="1936"/>
    <cellStyle name="Linked Cell 5" xfId="1937"/>
    <cellStyle name="MARTA" xfId="1938"/>
    <cellStyle name="MARTA 2" xfId="1939"/>
    <cellStyle name="Millares [0] 2" xfId="1940"/>
    <cellStyle name="Millares [0] 3" xfId="1941"/>
    <cellStyle name="Millares [0] 4" xfId="1942"/>
    <cellStyle name="Millares [0] 5" xfId="1943"/>
    <cellStyle name="Millares [0] 6" xfId="1944"/>
    <cellStyle name="Millares 10" xfId="1945"/>
    <cellStyle name="Millares 10 2" xfId="1946"/>
    <cellStyle name="Millares 10 2 2" xfId="1947"/>
    <cellStyle name="Millares 10 3" xfId="1948"/>
    <cellStyle name="Millares 10 4" xfId="1949"/>
    <cellStyle name="Millares 10 5" xfId="1950"/>
    <cellStyle name="Millares 10 6" xfId="1951"/>
    <cellStyle name="Millares 10_1.400 Inversiones Oper SAN" xfId="1952"/>
    <cellStyle name="Millares 11" xfId="1953"/>
    <cellStyle name="Millares 11 2" xfId="1954"/>
    <cellStyle name="Millares 11 2 2" xfId="1955"/>
    <cellStyle name="Millares 11 3" xfId="1956"/>
    <cellStyle name="Millares 11 4" xfId="1957"/>
    <cellStyle name="Millares 11 5" xfId="1958"/>
    <cellStyle name="Millares 12" xfId="1959"/>
    <cellStyle name="Millares 12 2" xfId="1960"/>
    <cellStyle name="Millares 12 3" xfId="1961"/>
    <cellStyle name="Millares 12 4" xfId="1962"/>
    <cellStyle name="Millares 12 5" xfId="4534"/>
    <cellStyle name="Millares 13" xfId="1963"/>
    <cellStyle name="Millares 13 2" xfId="1964"/>
    <cellStyle name="Millares 14" xfId="1965"/>
    <cellStyle name="Millares 14 2" xfId="1966"/>
    <cellStyle name="Millares 15" xfId="1967"/>
    <cellStyle name="Millares 15 2" xfId="1968"/>
    <cellStyle name="Millares 15 3" xfId="1969"/>
    <cellStyle name="Millares 16" xfId="1970"/>
    <cellStyle name="Millares 16 2" xfId="1971"/>
    <cellStyle name="Millares 16 3" xfId="1972"/>
    <cellStyle name="Millares 17" xfId="1973"/>
    <cellStyle name="Millares 17 2" xfId="1974"/>
    <cellStyle name="Millares 17 3" xfId="1975"/>
    <cellStyle name="Millares 18" xfId="1976"/>
    <cellStyle name="Millares 18 2" xfId="1977"/>
    <cellStyle name="Millares 18 3" xfId="1978"/>
    <cellStyle name="Millares 19" xfId="1979"/>
    <cellStyle name="Millares 2" xfId="1980"/>
    <cellStyle name="Millares 2 10" xfId="1981"/>
    <cellStyle name="Millares 2 11" xfId="1982"/>
    <cellStyle name="Millares 2 12" xfId="1983"/>
    <cellStyle name="Millares 2 13" xfId="1984"/>
    <cellStyle name="Millares 2 14" xfId="1985"/>
    <cellStyle name="Millares 2 15" xfId="1986"/>
    <cellStyle name="Millares 2 16" xfId="1987"/>
    <cellStyle name="Millares 2 16 2" xfId="4535"/>
    <cellStyle name="Millares 2 17" xfId="1988"/>
    <cellStyle name="Millares 2 18" xfId="1989"/>
    <cellStyle name="Millares 2 19" xfId="1990"/>
    <cellStyle name="Millares 2 2" xfId="1991"/>
    <cellStyle name="Millares 2 2 2" xfId="1992"/>
    <cellStyle name="Millares 2 2 3" xfId="1993"/>
    <cellStyle name="Millares 2 2 4" xfId="1994"/>
    <cellStyle name="Millares 2 2_1.400 Inversiones Oper ITAÚ" xfId="1995"/>
    <cellStyle name="Millares 2 3" xfId="1996"/>
    <cellStyle name="Millares 2 3 2" xfId="1997"/>
    <cellStyle name="Millares 2 3 3" xfId="1998"/>
    <cellStyle name="Millares 2 3 4" xfId="1999"/>
    <cellStyle name="Millares 2 3 5" xfId="2000"/>
    <cellStyle name="Millares 2 3 5 2" xfId="4536"/>
    <cellStyle name="Millares 2 3 6" xfId="2001"/>
    <cellStyle name="Millares 2 4" xfId="2002"/>
    <cellStyle name="Millares 2 4 2" xfId="2003"/>
    <cellStyle name="Millares 2 4 2 2" xfId="2004"/>
    <cellStyle name="Millares 2 4 3" xfId="2005"/>
    <cellStyle name="Millares 2 4 4" xfId="2006"/>
    <cellStyle name="Millares 2 5" xfId="2007"/>
    <cellStyle name="Millares 2 5 2" xfId="2008"/>
    <cellStyle name="Millares 2 5 3" xfId="2009"/>
    <cellStyle name="Millares 2 6" xfId="2010"/>
    <cellStyle name="Millares 2 6 2" xfId="2011"/>
    <cellStyle name="Millares 2 7" xfId="2012"/>
    <cellStyle name="Millares 2 7 2" xfId="2013"/>
    <cellStyle name="Millares 2 7 2 2" xfId="4537"/>
    <cellStyle name="Millares 2 8" xfId="2014"/>
    <cellStyle name="Millares 2 8 2" xfId="2015"/>
    <cellStyle name="Millares 2 8 2 2" xfId="4538"/>
    <cellStyle name="Millares 2 9" xfId="2016"/>
    <cellStyle name="Millares 2_20130710_PRESUPUESTO RH 2013_RH" xfId="2017"/>
    <cellStyle name="Millares 20" xfId="2018"/>
    <cellStyle name="Millares 20 2" xfId="2019"/>
    <cellStyle name="Millares 20 3" xfId="2020"/>
    <cellStyle name="Millares 21" xfId="2021"/>
    <cellStyle name="Millares 22" xfId="2022"/>
    <cellStyle name="Millares 22 2" xfId="2023"/>
    <cellStyle name="Millares 23" xfId="2024"/>
    <cellStyle name="Millares 24" xfId="2025"/>
    <cellStyle name="Millares 25" xfId="2026"/>
    <cellStyle name="Millares 26" xfId="2027"/>
    <cellStyle name="Millares 27" xfId="2028"/>
    <cellStyle name="Millares 28" xfId="2029"/>
    <cellStyle name="Millares 29" xfId="2030"/>
    <cellStyle name="Millares 3" xfId="2031"/>
    <cellStyle name="Millares 3 10" xfId="2032"/>
    <cellStyle name="Millares 3 10 2" xfId="2033"/>
    <cellStyle name="Millares 3 10 2 2" xfId="2034"/>
    <cellStyle name="Millares 3 10 2 3" xfId="2035"/>
    <cellStyle name="Millares 3 11" xfId="2036"/>
    <cellStyle name="Millares 3 11 2" xfId="2037"/>
    <cellStyle name="Millares 3 11 2 2" xfId="4539"/>
    <cellStyle name="Millares 3 12" xfId="2038"/>
    <cellStyle name="Millares 3 12 2" xfId="2039"/>
    <cellStyle name="Millares 3 13" xfId="2040"/>
    <cellStyle name="Millares 3 14" xfId="2041"/>
    <cellStyle name="Millares 3 15" xfId="2042"/>
    <cellStyle name="Millares 3 16" xfId="2043"/>
    <cellStyle name="Millares 3 17" xfId="2044"/>
    <cellStyle name="Millares 3 18" xfId="2045"/>
    <cellStyle name="Millares 3 2" xfId="2046"/>
    <cellStyle name="Millares 3 2 2" xfId="2047"/>
    <cellStyle name="Millares 3 2 2 2" xfId="2048"/>
    <cellStyle name="Millares 3 2 3" xfId="2049"/>
    <cellStyle name="Millares 3 2 4" xfId="2050"/>
    <cellStyle name="Millares 3 2 5" xfId="2051"/>
    <cellStyle name="Millares 3 2_1.400 Inversiones Oper ITAÚ" xfId="2052"/>
    <cellStyle name="Millares 3 3" xfId="2053"/>
    <cellStyle name="Millares 3 3 2" xfId="2054"/>
    <cellStyle name="Millares 3 3 3" xfId="2055"/>
    <cellStyle name="Millares 3 4" xfId="2056"/>
    <cellStyle name="Millares 3 4 2" xfId="2057"/>
    <cellStyle name="Millares 3 4 3" xfId="2058"/>
    <cellStyle name="Millares 3 5" xfId="2059"/>
    <cellStyle name="Millares 3 5 2" xfId="2060"/>
    <cellStyle name="Millares 3 5 3" xfId="2061"/>
    <cellStyle name="Millares 3 6" xfId="2062"/>
    <cellStyle name="Millares 3 6 2" xfId="2063"/>
    <cellStyle name="Millares 3 7" xfId="2064"/>
    <cellStyle name="Millares 3 7 2" xfId="2065"/>
    <cellStyle name="Millares 3 8" xfId="2066"/>
    <cellStyle name="Millares 3 8 2" xfId="2067"/>
    <cellStyle name="Millares 3 9" xfId="2068"/>
    <cellStyle name="Millares 3 9 2" xfId="2069"/>
    <cellStyle name="Millares 3 9 2 2" xfId="2070"/>
    <cellStyle name="Millares 3 9 2 3" xfId="2071"/>
    <cellStyle name="Millares 3_20130710_PRESUPUESTO RH 2013_RH" xfId="2072"/>
    <cellStyle name="Millares 30" xfId="2073"/>
    <cellStyle name="Millares 31" xfId="2074"/>
    <cellStyle name="Millares 31 2" xfId="2075"/>
    <cellStyle name="Millares 31 3" xfId="2076"/>
    <cellStyle name="Millares 31 3 2" xfId="4540"/>
    <cellStyle name="Millares 32" xfId="2077"/>
    <cellStyle name="Millares 32 2" xfId="4541"/>
    <cellStyle name="Millares 33" xfId="2078"/>
    <cellStyle name="Millares 34" xfId="2079"/>
    <cellStyle name="Millares 35" xfId="2080"/>
    <cellStyle name="Millares 36" xfId="2081"/>
    <cellStyle name="Millares 37" xfId="2082"/>
    <cellStyle name="Millares 38" xfId="2083"/>
    <cellStyle name="Millares 39" xfId="2084"/>
    <cellStyle name="Millares 4" xfId="2085"/>
    <cellStyle name="Millares 4 2" xfId="2086"/>
    <cellStyle name="Millares 4 2 2" xfId="2087"/>
    <cellStyle name="Millares 4 3" xfId="2088"/>
    <cellStyle name="Millares 4 3 2" xfId="2089"/>
    <cellStyle name="Millares 4 4" xfId="2090"/>
    <cellStyle name="Millares 4 4 2" xfId="2091"/>
    <cellStyle name="Millares 4 5" xfId="2092"/>
    <cellStyle name="Millares 4 6" xfId="2093"/>
    <cellStyle name="Millares 4 7" xfId="2094"/>
    <cellStyle name="Millares 4 7 2" xfId="4542"/>
    <cellStyle name="Millares 4_1.400 Inversiones Oper ITAÚ" xfId="2095"/>
    <cellStyle name="Millares 40" xfId="2096"/>
    <cellStyle name="Millares 41" xfId="2097"/>
    <cellStyle name="Millares 42" xfId="2098"/>
    <cellStyle name="Millares 43" xfId="2099"/>
    <cellStyle name="Millares 44" xfId="2100"/>
    <cellStyle name="Millares 45" xfId="2101"/>
    <cellStyle name="Millares 46" xfId="2102"/>
    <cellStyle name="Millares 47" xfId="2103"/>
    <cellStyle name="Millares 48" xfId="2104"/>
    <cellStyle name="Millares 49" xfId="2105"/>
    <cellStyle name="Millares 5" xfId="2106"/>
    <cellStyle name="Millares 5 2" xfId="2107"/>
    <cellStyle name="Millares 5 3" xfId="2108"/>
    <cellStyle name="Millares 5_1.400 Inversiones Oper ITAÚ" xfId="2109"/>
    <cellStyle name="Millares 50" xfId="2110"/>
    <cellStyle name="Millares 51" xfId="2111"/>
    <cellStyle name="Millares 52" xfId="2112"/>
    <cellStyle name="Millares 52 2" xfId="4543"/>
    <cellStyle name="Millares 53" xfId="2113"/>
    <cellStyle name="Millares 6" xfId="2114"/>
    <cellStyle name="Millares 6 2" xfId="2115"/>
    <cellStyle name="Millares 6 2 2" xfId="2116"/>
    <cellStyle name="Millares 7" xfId="2117"/>
    <cellStyle name="Millares 7 2" xfId="2118"/>
    <cellStyle name="Millares 7 2 2" xfId="2119"/>
    <cellStyle name="Millares 8" xfId="2120"/>
    <cellStyle name="Millares 8 2" xfId="2121"/>
    <cellStyle name="Millares 9" xfId="2122"/>
    <cellStyle name="Millares 9 2" xfId="2123"/>
    <cellStyle name="Millares 9 2 2" xfId="2124"/>
    <cellStyle name="Millares 9 3" xfId="2125"/>
    <cellStyle name="Millares 9 4" xfId="2126"/>
    <cellStyle name="Millares 9 5" xfId="2127"/>
    <cellStyle name="Millares_CRCSE CAMPO 09.09" xfId="2128"/>
    <cellStyle name="Milliers [0]_Classeur1" xfId="2129"/>
    <cellStyle name="Milliers_Classeur1" xfId="2130"/>
    <cellStyle name="Moeda [0]_ANEXOC6" xfId="2131"/>
    <cellStyle name="Moeda_ANEXOC6" xfId="2132"/>
    <cellStyle name="Moneda 2" xfId="2133"/>
    <cellStyle name="Monétaire [0]_Classeur1" xfId="2134"/>
    <cellStyle name="Monétaire_Classeur1" xfId="2135"/>
    <cellStyle name="Monetario" xfId="2136"/>
    <cellStyle name="Monetario 2" xfId="2137"/>
    <cellStyle name="Monetario 2 2" xfId="2138"/>
    <cellStyle name="Monetario 2_20110401_SAL_Rev#1_ PTP 2011" xfId="2139"/>
    <cellStyle name="Monetario 3" xfId="2140"/>
    <cellStyle name="Monetario_20110401_SAL_Rev#1_ PTP 2011" xfId="2141"/>
    <cellStyle name="Neutra" xfId="2142"/>
    <cellStyle name="Neutral 10" xfId="2143"/>
    <cellStyle name="Neutral 11" xfId="2144"/>
    <cellStyle name="Neutral 12" xfId="2145"/>
    <cellStyle name="Neutral 13" xfId="2146"/>
    <cellStyle name="Neutral 14" xfId="2147"/>
    <cellStyle name="Neutral 2" xfId="38"/>
    <cellStyle name="Neutral 2 2" xfId="2149"/>
    <cellStyle name="Neutral 2 2 2" xfId="2150"/>
    <cellStyle name="Neutral 2 2 3" xfId="2151"/>
    <cellStyle name="Neutral 2 2 4" xfId="2152"/>
    <cellStyle name="Neutral 2 2 5" xfId="2153"/>
    <cellStyle name="Neutral 2 2 6" xfId="4337"/>
    <cellStyle name="Neutral 2 2 7" xfId="4338"/>
    <cellStyle name="Neutral 2 3" xfId="2154"/>
    <cellStyle name="Neutral 2 4" xfId="2155"/>
    <cellStyle name="Neutral 2 5" xfId="2156"/>
    <cellStyle name="Neutral 2 6" xfId="2157"/>
    <cellStyle name="Neutral 2 7" xfId="2148"/>
    <cellStyle name="Neutral 3" xfId="2158"/>
    <cellStyle name="Neutral 3 2" xfId="2159"/>
    <cellStyle name="Neutral 3 3" xfId="2160"/>
    <cellStyle name="Neutral 3 4" xfId="2161"/>
    <cellStyle name="Neutral 3 5" xfId="2162"/>
    <cellStyle name="Neutral 3 6" xfId="2163"/>
    <cellStyle name="Neutral 3 7" xfId="2164"/>
    <cellStyle name="Neutral 4" xfId="2165"/>
    <cellStyle name="Neutral 4 2" xfId="2166"/>
    <cellStyle name="Neutral 5" xfId="2167"/>
    <cellStyle name="Neutral 5 2" xfId="2168"/>
    <cellStyle name="Neutral 6" xfId="2169"/>
    <cellStyle name="Neutral 7" xfId="2170"/>
    <cellStyle name="Neutral 8" xfId="2171"/>
    <cellStyle name="Neutral 9" xfId="2172"/>
    <cellStyle name="No-definido" xfId="2173"/>
    <cellStyle name="No-definido 2" xfId="2174"/>
    <cellStyle name="No-definido 2 2" xfId="2175"/>
    <cellStyle name="No-definido 2 2 2" xfId="2176"/>
    <cellStyle name="No-definido 2 3" xfId="2177"/>
    <cellStyle name="No-definido 2_20110401_SAL_Rev#1_ PTP 2011" xfId="2178"/>
    <cellStyle name="No-definido 3" xfId="2179"/>
    <cellStyle name="No-definido 3 2" xfId="2180"/>
    <cellStyle name="No-definido 4" xfId="2181"/>
    <cellStyle name="No-definido_20110401_SAL_Rev#1_ PTP 2011" xfId="2182"/>
    <cellStyle name="Normal" xfId="0" builtinId="0"/>
    <cellStyle name="Normal - Style1" xfId="2183"/>
    <cellStyle name="Normal - Style1 2" xfId="2184"/>
    <cellStyle name="Normal - Style1 2 2" xfId="2185"/>
    <cellStyle name="Normal - Style1 3" xfId="2186"/>
    <cellStyle name="Normal - Style1 3 2" xfId="2187"/>
    <cellStyle name="Normal - Style1 4" xfId="2188"/>
    <cellStyle name="Normal - Style2" xfId="2189"/>
    <cellStyle name="Normal - Style2 2" xfId="2190"/>
    <cellStyle name="Normal - Style2 3" xfId="2191"/>
    <cellStyle name="Normal 10" xfId="2192"/>
    <cellStyle name="Normal 10 10" xfId="2193"/>
    <cellStyle name="Normal 10 11" xfId="2194"/>
    <cellStyle name="Normal 10 12" xfId="2195"/>
    <cellStyle name="Normal 10 13" xfId="2196"/>
    <cellStyle name="Normal 10 14" xfId="2197"/>
    <cellStyle name="Normal 10 15" xfId="2198"/>
    <cellStyle name="Normal 10 16" xfId="2199"/>
    <cellStyle name="Normal 10 17" xfId="4150"/>
    <cellStyle name="Normal 10 18" xfId="4339"/>
    <cellStyle name="Normal 10 2" xfId="2200"/>
    <cellStyle name="Normal 10 2 2" xfId="2201"/>
    <cellStyle name="Normal 10 2 2 2" xfId="2202"/>
    <cellStyle name="Normal 10 2 3" xfId="2203"/>
    <cellStyle name="Normal 10 2 4" xfId="2204"/>
    <cellStyle name="Normal 10 3" xfId="2205"/>
    <cellStyle name="Normal 10 3 2" xfId="2206"/>
    <cellStyle name="Normal 10 3 3" xfId="2207"/>
    <cellStyle name="Normal 10 4" xfId="2208"/>
    <cellStyle name="Normal 10 4 2" xfId="2209"/>
    <cellStyle name="Normal 10 4 3" xfId="2210"/>
    <cellStyle name="Normal 10 5" xfId="2211"/>
    <cellStyle name="Normal 10 5 2" xfId="2212"/>
    <cellStyle name="Normal 10 6" xfId="2213"/>
    <cellStyle name="Normal 10 6 2" xfId="2214"/>
    <cellStyle name="Normal 10 7" xfId="2215"/>
    <cellStyle name="Normal 10 8" xfId="2216"/>
    <cellStyle name="Normal 10 9" xfId="2217"/>
    <cellStyle name="Normal 10_20110401_SAN_Rev#1_ PTP 2012" xfId="2218"/>
    <cellStyle name="Normal 100" xfId="2219"/>
    <cellStyle name="Normal 100 2" xfId="2220"/>
    <cellStyle name="Normal 101" xfId="2221"/>
    <cellStyle name="Normal 101 2" xfId="2222"/>
    <cellStyle name="Normal 102" xfId="2223"/>
    <cellStyle name="Normal 102 2" xfId="2224"/>
    <cellStyle name="Normal 103" xfId="2225"/>
    <cellStyle name="Normal 103 2" xfId="2226"/>
    <cellStyle name="Normal 104" xfId="2227"/>
    <cellStyle name="Normal 104 2" xfId="2228"/>
    <cellStyle name="Normal 105" xfId="2229"/>
    <cellStyle name="Normal 106" xfId="2230"/>
    <cellStyle name="Normal 107" xfId="2231"/>
    <cellStyle name="Normal 108" xfId="2232"/>
    <cellStyle name="Normal 109" xfId="2233"/>
    <cellStyle name="Normal 11" xfId="2234"/>
    <cellStyle name="Normal 11 10" xfId="2235"/>
    <cellStyle name="Normal 11 11" xfId="2236"/>
    <cellStyle name="Normal 11 12" xfId="2237"/>
    <cellStyle name="Normal 11 13" xfId="2238"/>
    <cellStyle name="Normal 11 14" xfId="2239"/>
    <cellStyle name="Normal 11 15" xfId="2240"/>
    <cellStyle name="Normal 11 16" xfId="2241"/>
    <cellStyle name="Normal 11 17" xfId="4340"/>
    <cellStyle name="Normal 11 18" xfId="4341"/>
    <cellStyle name="Normal 11 2" xfId="2242"/>
    <cellStyle name="Normal 11 2 2" xfId="2243"/>
    <cellStyle name="Normal 11 2 3" xfId="2244"/>
    <cellStyle name="Normal 11 2 4" xfId="2245"/>
    <cellStyle name="Normal 11 3" xfId="2246"/>
    <cellStyle name="Normal 11 3 2" xfId="2247"/>
    <cellStyle name="Normal 11 4" xfId="2248"/>
    <cellStyle name="Normal 11 4 2" xfId="2249"/>
    <cellStyle name="Normal 11 5" xfId="2250"/>
    <cellStyle name="Normal 11 5 2" xfId="2251"/>
    <cellStyle name="Normal 11 6" xfId="2252"/>
    <cellStyle name="Normal 11 7" xfId="2253"/>
    <cellStyle name="Normal 11 8" xfId="2254"/>
    <cellStyle name="Normal 11 9" xfId="2255"/>
    <cellStyle name="Normal 11_20110401_SAN_Rev#1_ PTP 2012" xfId="2256"/>
    <cellStyle name="Normal 110" xfId="2257"/>
    <cellStyle name="Normal 111" xfId="2258"/>
    <cellStyle name="Normal 112" xfId="2259"/>
    <cellStyle name="Normal 112 2" xfId="2260"/>
    <cellStyle name="Normal 112 2 2" xfId="4544"/>
    <cellStyle name="Normal 113" xfId="2261"/>
    <cellStyle name="Normal 114" xfId="2262"/>
    <cellStyle name="Normal 115" xfId="2263"/>
    <cellStyle name="Normal 116" xfId="2264"/>
    <cellStyle name="Normal 117" xfId="2265"/>
    <cellStyle name="Normal 118" xfId="2266"/>
    <cellStyle name="Normal 119" xfId="2267"/>
    <cellStyle name="Normal 12" xfId="2268"/>
    <cellStyle name="Normal 12 10" xfId="2269"/>
    <cellStyle name="Normal 12 11" xfId="2270"/>
    <cellStyle name="Normal 12 12" xfId="2271"/>
    <cellStyle name="Normal 12 13" xfId="2272"/>
    <cellStyle name="Normal 12 14" xfId="2273"/>
    <cellStyle name="Normal 12 15" xfId="2274"/>
    <cellStyle name="Normal 12 16" xfId="2275"/>
    <cellStyle name="Normal 12 17" xfId="4342"/>
    <cellStyle name="Normal 12 18" xfId="4343"/>
    <cellStyle name="Normal 12 2" xfId="2276"/>
    <cellStyle name="Normal 12 2 2" xfId="2277"/>
    <cellStyle name="Normal 12 2 3" xfId="2278"/>
    <cellStyle name="Normal 12 2 4" xfId="2279"/>
    <cellStyle name="Normal 12 2 5" xfId="4545"/>
    <cellStyle name="Normal 12 3" xfId="2280"/>
    <cellStyle name="Normal 12 3 2" xfId="2281"/>
    <cellStyle name="Normal 12 4" xfId="2282"/>
    <cellStyle name="Normal 12 4 2" xfId="2283"/>
    <cellStyle name="Normal 12 4 2 2" xfId="4546"/>
    <cellStyle name="Normal 12 5" xfId="2284"/>
    <cellStyle name="Normal 12 5 2" xfId="2285"/>
    <cellStyle name="Normal 12 6" xfId="2286"/>
    <cellStyle name="Normal 12 7" xfId="2287"/>
    <cellStyle name="Normal 12 8" xfId="2288"/>
    <cellStyle name="Normal 12 9" xfId="2289"/>
    <cellStyle name="Normal 12_20110401_SAN_Rev#1_ PTP 2012" xfId="2290"/>
    <cellStyle name="Normal 120" xfId="2291"/>
    <cellStyle name="Normal 121" xfId="2292"/>
    <cellStyle name="Normal 122" xfId="2293"/>
    <cellStyle name="Normal 123" xfId="2294"/>
    <cellStyle name="Normal 124" xfId="2295"/>
    <cellStyle name="Normal 125" xfId="2296"/>
    <cellStyle name="Normal 126" xfId="2297"/>
    <cellStyle name="Normal 127" xfId="2298"/>
    <cellStyle name="Normal 128" xfId="2299"/>
    <cellStyle name="Normal 129" xfId="2300"/>
    <cellStyle name="Normal 13" xfId="2301"/>
    <cellStyle name="Normal 13 10" xfId="2302"/>
    <cellStyle name="Normal 13 11" xfId="2303"/>
    <cellStyle name="Normal 13 12" xfId="2304"/>
    <cellStyle name="Normal 13 13" xfId="2305"/>
    <cellStyle name="Normal 13 14" xfId="2306"/>
    <cellStyle name="Normal 13 15" xfId="2307"/>
    <cellStyle name="Normal 13 16" xfId="2308"/>
    <cellStyle name="Normal 13 17" xfId="4344"/>
    <cellStyle name="Normal 13 18" xfId="4345"/>
    <cellStyle name="Normal 13 2" xfId="2309"/>
    <cellStyle name="Normal 13 2 2" xfId="2310"/>
    <cellStyle name="Normal 13 2 3" xfId="2311"/>
    <cellStyle name="Normal 13 2 4" xfId="2312"/>
    <cellStyle name="Normal 13 2 5" xfId="4547"/>
    <cellStyle name="Normal 13 3" xfId="2313"/>
    <cellStyle name="Normal 13 3 2" xfId="2314"/>
    <cellStyle name="Normal 13 4" xfId="2315"/>
    <cellStyle name="Normal 13 4 2" xfId="2316"/>
    <cellStyle name="Normal 13 4 2 2" xfId="4548"/>
    <cellStyle name="Normal 13 5" xfId="2317"/>
    <cellStyle name="Normal 13 5 2" xfId="2318"/>
    <cellStyle name="Normal 13 6" xfId="2319"/>
    <cellStyle name="Normal 13 7" xfId="2320"/>
    <cellStyle name="Normal 13 8" xfId="2321"/>
    <cellStyle name="Normal 13 9" xfId="2322"/>
    <cellStyle name="Normal 13_20110401_SAN_Rev#1_ PTP 2012" xfId="2323"/>
    <cellStyle name="Normal 130" xfId="2324"/>
    <cellStyle name="Normal 131" xfId="2325"/>
    <cellStyle name="Normal 132" xfId="2326"/>
    <cellStyle name="Normal 133" xfId="2327"/>
    <cellStyle name="Normal 134" xfId="2328"/>
    <cellStyle name="Normal 135" xfId="2329"/>
    <cellStyle name="Normal 136" xfId="2330"/>
    <cellStyle name="Normal 137" xfId="2331"/>
    <cellStyle name="Normal 137 2" xfId="4549"/>
    <cellStyle name="Normal 138" xfId="2332"/>
    <cellStyle name="Normal 138 2" xfId="4550"/>
    <cellStyle name="Normal 139" xfId="2333"/>
    <cellStyle name="Normal 139 2" xfId="4551"/>
    <cellStyle name="Normal 14" xfId="2334"/>
    <cellStyle name="Normal 14 10" xfId="2335"/>
    <cellStyle name="Normal 14 11" xfId="2336"/>
    <cellStyle name="Normal 14 12" xfId="2337"/>
    <cellStyle name="Normal 14 13" xfId="2338"/>
    <cellStyle name="Normal 14 14" xfId="2339"/>
    <cellStyle name="Normal 14 15" xfId="2340"/>
    <cellStyle name="Normal 14 16" xfId="2341"/>
    <cellStyle name="Normal 14 17" xfId="4346"/>
    <cellStyle name="Normal 14 18" xfId="4347"/>
    <cellStyle name="Normal 14 2" xfId="2342"/>
    <cellStyle name="Normal 14 2 2" xfId="2343"/>
    <cellStyle name="Normal 14 2 3" xfId="2344"/>
    <cellStyle name="Normal 14 2 4" xfId="2345"/>
    <cellStyle name="Normal 14 3" xfId="2346"/>
    <cellStyle name="Normal 14 3 2" xfId="2347"/>
    <cellStyle name="Normal 14 4" xfId="2348"/>
    <cellStyle name="Normal 14 4 2" xfId="2349"/>
    <cellStyle name="Normal 14 5" xfId="2350"/>
    <cellStyle name="Normal 14 5 2" xfId="2351"/>
    <cellStyle name="Normal 14 6" xfId="2352"/>
    <cellStyle name="Normal 14 7" xfId="2353"/>
    <cellStyle name="Normal 14 8" xfId="2354"/>
    <cellStyle name="Normal 14 9" xfId="2355"/>
    <cellStyle name="Normal 14_20110401_SAN_Rev#1_ PTP 2012" xfId="2356"/>
    <cellStyle name="Normal 140" xfId="2357"/>
    <cellStyle name="Normal 140 2" xfId="4552"/>
    <cellStyle name="Normal 141" xfId="2358"/>
    <cellStyle name="Normal 141 2" xfId="4553"/>
    <cellStyle name="Normal 142" xfId="2359"/>
    <cellStyle name="Normal 142 2" xfId="4554"/>
    <cellStyle name="Normal 143" xfId="2360"/>
    <cellStyle name="Normal 143 2" xfId="4555"/>
    <cellStyle name="Normal 144" xfId="2361"/>
    <cellStyle name="Normal 144 2" xfId="4556"/>
    <cellStyle name="Normal 145" xfId="2362"/>
    <cellStyle name="Normal 145 2" xfId="4557"/>
    <cellStyle name="Normal 146" xfId="2363"/>
    <cellStyle name="Normal 146 2" xfId="4558"/>
    <cellStyle name="Normal 147" xfId="2364"/>
    <cellStyle name="Normal 147 2" xfId="4559"/>
    <cellStyle name="Normal 148" xfId="2365"/>
    <cellStyle name="Normal 148 2" xfId="4560"/>
    <cellStyle name="Normal 149" xfId="2366"/>
    <cellStyle name="Normal 149 2" xfId="4561"/>
    <cellStyle name="Normal 15" xfId="2367"/>
    <cellStyle name="Normal 15 10" xfId="2368"/>
    <cellStyle name="Normal 15 11" xfId="2369"/>
    <cellStyle name="Normal 15 12" xfId="2370"/>
    <cellStyle name="Normal 15 13" xfId="2371"/>
    <cellStyle name="Normal 15 14" xfId="2372"/>
    <cellStyle name="Normal 15 15" xfId="2373"/>
    <cellStyle name="Normal 15 16" xfId="2374"/>
    <cellStyle name="Normal 15 17" xfId="4348"/>
    <cellStyle name="Normal 15 18" xfId="4349"/>
    <cellStyle name="Normal 15 2" xfId="2375"/>
    <cellStyle name="Normal 15 2 2" xfId="2376"/>
    <cellStyle name="Normal 15 2 3" xfId="2377"/>
    <cellStyle name="Normal 15 2 4" xfId="2378"/>
    <cellStyle name="Normal 15 3" xfId="2379"/>
    <cellStyle name="Normal 15 3 2" xfId="2380"/>
    <cellStyle name="Normal 15 4" xfId="2381"/>
    <cellStyle name="Normal 15 4 2" xfId="2382"/>
    <cellStyle name="Normal 15 5" xfId="2383"/>
    <cellStyle name="Normal 15 5 2" xfId="2384"/>
    <cellStyle name="Normal 15 6" xfId="2385"/>
    <cellStyle name="Normal 15 7" xfId="2386"/>
    <cellStyle name="Normal 15 8" xfId="2387"/>
    <cellStyle name="Normal 15 9" xfId="2388"/>
    <cellStyle name="Normal 15_20110401_SAN_Rev#1_ PTP 2012" xfId="2389"/>
    <cellStyle name="Normal 150" xfId="2390"/>
    <cellStyle name="Normal 150 2" xfId="4562"/>
    <cellStyle name="Normal 151" xfId="2391"/>
    <cellStyle name="Normal 151 2" xfId="4563"/>
    <cellStyle name="Normal 152" xfId="2392"/>
    <cellStyle name="Normal 152 2" xfId="4564"/>
    <cellStyle name="Normal 153" xfId="2393"/>
    <cellStyle name="Normal 153 2" xfId="4565"/>
    <cellStyle name="Normal 154" xfId="2394"/>
    <cellStyle name="Normal 154 2" xfId="4566"/>
    <cellStyle name="Normal 155" xfId="2395"/>
    <cellStyle name="Normal 155 2" xfId="4567"/>
    <cellStyle name="Normal 156" xfId="2396"/>
    <cellStyle name="Normal 157" xfId="2397"/>
    <cellStyle name="Normal 158" xfId="2398"/>
    <cellStyle name="Normal 159" xfId="2399"/>
    <cellStyle name="Normal 16" xfId="2400"/>
    <cellStyle name="Normal 16 10" xfId="2401"/>
    <cellStyle name="Normal 16 11" xfId="2402"/>
    <cellStyle name="Normal 16 12" xfId="2403"/>
    <cellStyle name="Normal 16 13" xfId="2404"/>
    <cellStyle name="Normal 16 14" xfId="2405"/>
    <cellStyle name="Normal 16 15" xfId="2406"/>
    <cellStyle name="Normal 16 16" xfId="2407"/>
    <cellStyle name="Normal 16 17" xfId="4350"/>
    <cellStyle name="Normal 16 18" xfId="4351"/>
    <cellStyle name="Normal 16 2" xfId="2408"/>
    <cellStyle name="Normal 16 2 2" xfId="2409"/>
    <cellStyle name="Normal 16 2 3" xfId="2410"/>
    <cellStyle name="Normal 16 2 4" xfId="2411"/>
    <cellStyle name="Normal 16 3" xfId="2412"/>
    <cellStyle name="Normal 16 3 2" xfId="2413"/>
    <cellStyle name="Normal 16 4" xfId="2414"/>
    <cellStyle name="Normal 16 4 2" xfId="2415"/>
    <cellStyle name="Normal 16 5" xfId="2416"/>
    <cellStyle name="Normal 16 5 2" xfId="2417"/>
    <cellStyle name="Normal 16 6" xfId="2418"/>
    <cellStyle name="Normal 16 7" xfId="2419"/>
    <cellStyle name="Normal 16 8" xfId="2420"/>
    <cellStyle name="Normal 16 9" xfId="2421"/>
    <cellStyle name="Normal 16_20110401_SAN_Rev#1_ PTP 2012" xfId="2422"/>
    <cellStyle name="Normal 160" xfId="2423"/>
    <cellStyle name="Normal 161" xfId="2424"/>
    <cellStyle name="Normal 162" xfId="2425"/>
    <cellStyle name="Normal 163" xfId="2426"/>
    <cellStyle name="Normal 163 2" xfId="4568"/>
    <cellStyle name="Normal 164" xfId="2427"/>
    <cellStyle name="Normal 164 2" xfId="4569"/>
    <cellStyle name="Normal 165" xfId="2428"/>
    <cellStyle name="Normal 165 2" xfId="4570"/>
    <cellStyle name="Normal 166" xfId="2429"/>
    <cellStyle name="Normal 166 2" xfId="4352"/>
    <cellStyle name="Normal 166 3" xfId="4571"/>
    <cellStyle name="Normal 167" xfId="4149"/>
    <cellStyle name="Normal 167 2" xfId="4353"/>
    <cellStyle name="Normal 168" xfId="4354"/>
    <cellStyle name="Normal 169" xfId="4355"/>
    <cellStyle name="Normal 17" xfId="2430"/>
    <cellStyle name="Normal 17 2" xfId="2431"/>
    <cellStyle name="Normal 17 2 2" xfId="2432"/>
    <cellStyle name="Normal 17 2 3" xfId="2433"/>
    <cellStyle name="Normal 17 3" xfId="2434"/>
    <cellStyle name="Normal 17 4" xfId="2435"/>
    <cellStyle name="Normal 17 5" xfId="2436"/>
    <cellStyle name="Normal 17 6" xfId="4356"/>
    <cellStyle name="Normal 17 7" xfId="4357"/>
    <cellStyle name="Normal 17_20110401_SAN_Rev#1_ PTP 2012" xfId="2437"/>
    <cellStyle name="Normal 170" xfId="4358"/>
    <cellStyle name="Normal 171" xfId="4359"/>
    <cellStyle name="Normal 172" xfId="4360"/>
    <cellStyle name="Normal 173" xfId="4361"/>
    <cellStyle name="Normal 174" xfId="4362"/>
    <cellStyle name="Normal 175" xfId="4363"/>
    <cellStyle name="Normal 176" xfId="4364"/>
    <cellStyle name="Normal 177" xfId="4365"/>
    <cellStyle name="Normal 177 2" xfId="4366"/>
    <cellStyle name="Normal 178" xfId="4367"/>
    <cellStyle name="Normal 178 2" xfId="4368"/>
    <cellStyle name="Normal 179" xfId="4369"/>
    <cellStyle name="Normal 179 2" xfId="4370"/>
    <cellStyle name="Normal 18" xfId="2438"/>
    <cellStyle name="Normal 18 10" xfId="2439"/>
    <cellStyle name="Normal 18 11" xfId="2440"/>
    <cellStyle name="Normal 18 12" xfId="2441"/>
    <cellStyle name="Normal 18 13" xfId="2442"/>
    <cellStyle name="Normal 18 14" xfId="2443"/>
    <cellStyle name="Normal 18 15" xfId="2444"/>
    <cellStyle name="Normal 18 16" xfId="2445"/>
    <cellStyle name="Normal 18 17" xfId="4371"/>
    <cellStyle name="Normal 18 18" xfId="4372"/>
    <cellStyle name="Normal 18 2" xfId="2446"/>
    <cellStyle name="Normal 18 2 2" xfId="2447"/>
    <cellStyle name="Normal 18 2 3" xfId="2448"/>
    <cellStyle name="Normal 18 2 4" xfId="2449"/>
    <cellStyle name="Normal 18 3" xfId="2450"/>
    <cellStyle name="Normal 18 3 2" xfId="2451"/>
    <cellStyle name="Normal 18 4" xfId="2452"/>
    <cellStyle name="Normal 18 4 2" xfId="2453"/>
    <cellStyle name="Normal 18 5" xfId="2454"/>
    <cellStyle name="Normal 18 5 2" xfId="2455"/>
    <cellStyle name="Normal 18 6" xfId="2456"/>
    <cellStyle name="Normal 18 7" xfId="2457"/>
    <cellStyle name="Normal 18 8" xfId="2458"/>
    <cellStyle name="Normal 18 9" xfId="2459"/>
    <cellStyle name="Normal 18_20110401_SAN_Rev#1_ PTP 2012" xfId="2460"/>
    <cellStyle name="Normal 180" xfId="4373"/>
    <cellStyle name="Normal 181" xfId="4374"/>
    <cellStyle name="Normal 182" xfId="4375"/>
    <cellStyle name="Normal 183" xfId="4376"/>
    <cellStyle name="Normal 184" xfId="4377"/>
    <cellStyle name="Normal 185" xfId="4378"/>
    <cellStyle name="Normal 186" xfId="4379"/>
    <cellStyle name="Normal 187" xfId="4380"/>
    <cellStyle name="Normal 188" xfId="4381"/>
    <cellStyle name="Normal 189" xfId="4382"/>
    <cellStyle name="Normal 19" xfId="2461"/>
    <cellStyle name="Normal 19 2" xfId="2462"/>
    <cellStyle name="Normal 19 2 2" xfId="2463"/>
    <cellStyle name="Normal 19 2 2 2" xfId="4383"/>
    <cellStyle name="Normal 19 2 2 3" xfId="4384"/>
    <cellStyle name="Normal 19 2 3" xfId="2464"/>
    <cellStyle name="Normal 19 2 3 2" xfId="4385"/>
    <cellStyle name="Normal 19 2 4" xfId="2465"/>
    <cellStyle name="Normal 19 2 5" xfId="4386"/>
    <cellStyle name="Normal 19 2 6" xfId="4387"/>
    <cellStyle name="Normal 19 3" xfId="2466"/>
    <cellStyle name="Normal 19 3 2" xfId="4388"/>
    <cellStyle name="Normal 19 3 2 2" xfId="4389"/>
    <cellStyle name="Normal 19 3 3" xfId="4390"/>
    <cellStyle name="Normal 19 3 4" xfId="4391"/>
    <cellStyle name="Normal 19 4" xfId="2467"/>
    <cellStyle name="Normal 19 4 2" xfId="4392"/>
    <cellStyle name="Normal 19 5" xfId="2468"/>
    <cellStyle name="Normal 19 5 2" xfId="4393"/>
    <cellStyle name="Normal 19_20110401_SAN_Rev#1_ PTP 2012" xfId="2469"/>
    <cellStyle name="Normal 190" xfId="4394"/>
    <cellStyle name="Normal 191" xfId="4395"/>
    <cellStyle name="Normal 192" xfId="4396"/>
    <cellStyle name="Normal 193" xfId="4397"/>
    <cellStyle name="Normal 194" xfId="4398"/>
    <cellStyle name="Normal 195" xfId="4399"/>
    <cellStyle name="Normal 196" xfId="4620"/>
    <cellStyle name="Normal 197" xfId="4621"/>
    <cellStyle name="Normal 2" xfId="1"/>
    <cellStyle name="Normal 2 10" xfId="2471"/>
    <cellStyle name="Normal 2 10 2" xfId="2472"/>
    <cellStyle name="Normal 2 11" xfId="2473"/>
    <cellStyle name="Normal 2 11 2" xfId="2474"/>
    <cellStyle name="Normal 2 11 2 2" xfId="4573"/>
    <cellStyle name="Normal 2 12" xfId="2475"/>
    <cellStyle name="Normal 2 13" xfId="2476"/>
    <cellStyle name="Normal 2 14" xfId="2477"/>
    <cellStyle name="Normal 2 15" xfId="2478"/>
    <cellStyle name="Normal 2 16" xfId="2479"/>
    <cellStyle name="Normal 2 17" xfId="2480"/>
    <cellStyle name="Normal 2 18" xfId="2470"/>
    <cellStyle name="Normal 2 18 2" xfId="4572"/>
    <cellStyle name="Normal 2 19" xfId="4400"/>
    <cellStyle name="Normal 2 2" xfId="2481"/>
    <cellStyle name="Normal 2 2 2" xfId="2482"/>
    <cellStyle name="Normal 2 2 2 2" xfId="2483"/>
    <cellStyle name="Normal 2 2 2 2 2" xfId="2484"/>
    <cellStyle name="Normal 2 2 2 2 3" xfId="2485"/>
    <cellStyle name="Normal 2 2 2 3" xfId="2486"/>
    <cellStyle name="Normal 2 2 2 3 2" xfId="2487"/>
    <cellStyle name="Normal 2 2 2 4" xfId="2488"/>
    <cellStyle name="Normal 2 2 2 5" xfId="2489"/>
    <cellStyle name="Normal 2 2 3" xfId="2490"/>
    <cellStyle name="Normal 2 2 3 2" xfId="2491"/>
    <cellStyle name="Normal 2 2 4" xfId="2492"/>
    <cellStyle name="Normal 2 2 5" xfId="2493"/>
    <cellStyle name="Normal 2 2 6" xfId="2494"/>
    <cellStyle name="Normal 2 2_DNCR T-03 TOTAL" xfId="2495"/>
    <cellStyle name="Normal 2 20" xfId="4401"/>
    <cellStyle name="Normal 2 21" xfId="4402"/>
    <cellStyle name="Normal 2 22" xfId="4403"/>
    <cellStyle name="Normal 2 3" xfId="2496"/>
    <cellStyle name="Normal 2 3 2" xfId="2497"/>
    <cellStyle name="Normal 2 3 2 2" xfId="2498"/>
    <cellStyle name="Normal 2 3 2 2 2" xfId="4404"/>
    <cellStyle name="Normal 2 3 2 2 3" xfId="4405"/>
    <cellStyle name="Normal 2 3 2 2 4" xfId="4406"/>
    <cellStyle name="Normal 2 3 2 3" xfId="2499"/>
    <cellStyle name="Normal 2 3 2 3 2" xfId="4407"/>
    <cellStyle name="Normal 2 3 2 3 3" xfId="4408"/>
    <cellStyle name="Normal 2 3 2 4" xfId="4409"/>
    <cellStyle name="Normal 2 3 2 5" xfId="4410"/>
    <cellStyle name="Normal 2 3 3" xfId="2500"/>
    <cellStyle name="Normal 2 3 3 2" xfId="2501"/>
    <cellStyle name="Normal 2 3 3 2 2" xfId="4411"/>
    <cellStyle name="Normal 2 3 3 2 3" xfId="4412"/>
    <cellStyle name="Normal 2 3 4" xfId="2502"/>
    <cellStyle name="Normal 2 3 4 2" xfId="4574"/>
    <cellStyle name="Normal 2 3 5" xfId="2503"/>
    <cellStyle name="Normal 2 3 6" xfId="2504"/>
    <cellStyle name="Normal 2 3_20110401_SAN_Rev#1_ PTP 2012" xfId="2505"/>
    <cellStyle name="Normal 2 4" xfId="2506"/>
    <cellStyle name="Normal 2 4 2" xfId="2507"/>
    <cellStyle name="Normal 2 4 2 2" xfId="2508"/>
    <cellStyle name="Normal 2 4 2 3" xfId="4575"/>
    <cellStyle name="Normal 2 4 3" xfId="2509"/>
    <cellStyle name="Normal 2 4 3 2" xfId="4576"/>
    <cellStyle name="Normal 2 4 4" xfId="2510"/>
    <cellStyle name="Normal 2 4 5" xfId="4413"/>
    <cellStyle name="Normal 2 4 6" xfId="4414"/>
    <cellStyle name="Normal 2 5" xfId="2511"/>
    <cellStyle name="Normal 2 5 2" xfId="2512"/>
    <cellStyle name="Normal 2 5 2 2" xfId="4415"/>
    <cellStyle name="Normal 2 5 2 3" xfId="4416"/>
    <cellStyle name="Normal 2 5 2 4" xfId="4417"/>
    <cellStyle name="Normal 2 5 3" xfId="2513"/>
    <cellStyle name="Normal 2 5 3 2" xfId="4418"/>
    <cellStyle name="Normal 2 5 3 3" xfId="4419"/>
    <cellStyle name="Normal 2 5 4" xfId="4420"/>
    <cellStyle name="Normal 2 5 5" xfId="4421"/>
    <cellStyle name="Normal 2 6" xfId="2514"/>
    <cellStyle name="Normal 2 6 2" xfId="2515"/>
    <cellStyle name="Normal 2 6 2 2" xfId="4422"/>
    <cellStyle name="Normal 2 6 2 3" xfId="4423"/>
    <cellStyle name="Normal 2 6 3" xfId="2516"/>
    <cellStyle name="Normal 2 6 4" xfId="4424"/>
    <cellStyle name="Normal 2 6 5" xfId="4425"/>
    <cellStyle name="Normal 2 7" xfId="2517"/>
    <cellStyle name="Normal 2 7 2" xfId="4426"/>
    <cellStyle name="Normal 2 7 3" xfId="4427"/>
    <cellStyle name="Normal 2 8" xfId="2518"/>
    <cellStyle name="Normal 2 8 2" xfId="2519"/>
    <cellStyle name="Normal 2 8 2 2" xfId="4577"/>
    <cellStyle name="Normal 2 9" xfId="2520"/>
    <cellStyle name="Normal 2 9 2" xfId="2521"/>
    <cellStyle name="Normal 2_1 Revis Costos Recup NRJ-CHS-PRV ene dic-2008" xfId="2522"/>
    <cellStyle name="Normal 20" xfId="2523"/>
    <cellStyle name="Normal 20 10" xfId="2524"/>
    <cellStyle name="Normal 20 11" xfId="2525"/>
    <cellStyle name="Normal 20 12" xfId="2526"/>
    <cellStyle name="Normal 20 13" xfId="2527"/>
    <cellStyle name="Normal 20 14" xfId="2528"/>
    <cellStyle name="Normal 20 15" xfId="2529"/>
    <cellStyle name="Normal 20 16" xfId="2530"/>
    <cellStyle name="Normal 20 2" xfId="2531"/>
    <cellStyle name="Normal 20 2 2" xfId="2532"/>
    <cellStyle name="Normal 20 2 2 2" xfId="4428"/>
    <cellStyle name="Normal 20 2 2 3" xfId="4429"/>
    <cellStyle name="Normal 20 2 3" xfId="2533"/>
    <cellStyle name="Normal 20 2 3 2" xfId="4430"/>
    <cellStyle name="Normal 20 2 4" xfId="2534"/>
    <cellStyle name="Normal 20 2 5" xfId="4431"/>
    <cellStyle name="Normal 20 2 6" xfId="4432"/>
    <cellStyle name="Normal 20 3" xfId="2535"/>
    <cellStyle name="Normal 20 3 2" xfId="2536"/>
    <cellStyle name="Normal 20 3 2 2" xfId="4433"/>
    <cellStyle name="Normal 20 3 2 3" xfId="4434"/>
    <cellStyle name="Normal 20 3 3" xfId="4435"/>
    <cellStyle name="Normal 20 3 4" xfId="4436"/>
    <cellStyle name="Normal 20 4" xfId="2537"/>
    <cellStyle name="Normal 20 4 2" xfId="2538"/>
    <cellStyle name="Normal 20 4 3" xfId="4437"/>
    <cellStyle name="Normal 20 5" xfId="2539"/>
    <cellStyle name="Normal 20 5 2" xfId="2540"/>
    <cellStyle name="Normal 20 5 3" xfId="4438"/>
    <cellStyle name="Normal 20 6" xfId="2541"/>
    <cellStyle name="Normal 20 7" xfId="2542"/>
    <cellStyle name="Normal 20 8" xfId="2543"/>
    <cellStyle name="Normal 20 9" xfId="2544"/>
    <cellStyle name="Normal 20_20110401_SAN_Rev#1_ PTP 2012" xfId="2545"/>
    <cellStyle name="Normal 21" xfId="2546"/>
    <cellStyle name="Normal 21 10" xfId="2547"/>
    <cellStyle name="Normal 21 11" xfId="2548"/>
    <cellStyle name="Normal 21 12" xfId="2549"/>
    <cellStyle name="Normal 21 13" xfId="2550"/>
    <cellStyle name="Normal 21 14" xfId="2551"/>
    <cellStyle name="Normal 21 15" xfId="2552"/>
    <cellStyle name="Normal 21 16" xfId="2553"/>
    <cellStyle name="Normal 21 2" xfId="2554"/>
    <cellStyle name="Normal 21 2 2" xfId="2555"/>
    <cellStyle name="Normal 21 2 2 2" xfId="4439"/>
    <cellStyle name="Normal 21 2 2 3" xfId="4440"/>
    <cellStyle name="Normal 21 2 3" xfId="2556"/>
    <cellStyle name="Normal 21 2 3 2" xfId="4441"/>
    <cellStyle name="Normal 21 2 4" xfId="4442"/>
    <cellStyle name="Normal 21 2 5" xfId="4443"/>
    <cellStyle name="Normal 21 3" xfId="2557"/>
    <cellStyle name="Normal 21 3 2" xfId="2558"/>
    <cellStyle name="Normal 21 3 2 2" xfId="4444"/>
    <cellStyle name="Normal 21 3 2 3" xfId="4445"/>
    <cellStyle name="Normal 21 3 3" xfId="4446"/>
    <cellStyle name="Normal 21 3 4" xfId="4447"/>
    <cellStyle name="Normal 21 4" xfId="2559"/>
    <cellStyle name="Normal 21 4 2" xfId="2560"/>
    <cellStyle name="Normal 21 4 3" xfId="4448"/>
    <cellStyle name="Normal 21 5" xfId="2561"/>
    <cellStyle name="Normal 21 5 2" xfId="2562"/>
    <cellStyle name="Normal 21 5 3" xfId="4449"/>
    <cellStyle name="Normal 21 6" xfId="2563"/>
    <cellStyle name="Normal 21 7" xfId="2564"/>
    <cellStyle name="Normal 21 8" xfId="2565"/>
    <cellStyle name="Normal 21 9" xfId="2566"/>
    <cellStyle name="Normal 21_20110401_SAN_Rev#1_ PTP 2012" xfId="2567"/>
    <cellStyle name="Normal 22" xfId="2568"/>
    <cellStyle name="Normal 22 2" xfId="2569"/>
    <cellStyle name="Normal 22 2 2" xfId="2570"/>
    <cellStyle name="Normal 22 2 2 2" xfId="2571"/>
    <cellStyle name="Normal 22 2 3" xfId="2572"/>
    <cellStyle name="Normal 22 2_20110401_SAN_Rev#1_ PTP 2012" xfId="2573"/>
    <cellStyle name="Normal 22 3" xfId="2574"/>
    <cellStyle name="Normal 22 4" xfId="2575"/>
    <cellStyle name="Normal 22 5" xfId="2576"/>
    <cellStyle name="Normal 22 6" xfId="4450"/>
    <cellStyle name="Normal 22 7" xfId="4451"/>
    <cellStyle name="Normal 22 8" xfId="4452"/>
    <cellStyle name="Normal 22 9" xfId="4453"/>
    <cellStyle name="Normal 22_20110401_SAL_Rev#1_ PTP 2011" xfId="2577"/>
    <cellStyle name="Normal 23" xfId="2578"/>
    <cellStyle name="Normal 23 2" xfId="2579"/>
    <cellStyle name="Normal 23 2 2" xfId="2580"/>
    <cellStyle name="Normal 23 3" xfId="2581"/>
    <cellStyle name="Normal 23 4" xfId="2582"/>
    <cellStyle name="Normal 23 5" xfId="2583"/>
    <cellStyle name="Normal 23 6" xfId="4454"/>
    <cellStyle name="Normal 23 7" xfId="4455"/>
    <cellStyle name="Normal 23_20110401_SAL_Rev#1_ PTP 2011" xfId="2584"/>
    <cellStyle name="Normal 24" xfId="2585"/>
    <cellStyle name="Normal 24 2" xfId="2586"/>
    <cellStyle name="Normal 24 2 2" xfId="2587"/>
    <cellStyle name="Normal 24 3" xfId="2588"/>
    <cellStyle name="Normal 24 4" xfId="2589"/>
    <cellStyle name="Normal 24 5" xfId="2590"/>
    <cellStyle name="Normal 24 6" xfId="4456"/>
    <cellStyle name="Normal 24 7" xfId="4457"/>
    <cellStyle name="Normal 24_20110401_SAL_Rev#1_ PTP 2011" xfId="2591"/>
    <cellStyle name="Normal 25" xfId="2592"/>
    <cellStyle name="Normal 25 2" xfId="2593"/>
    <cellStyle name="Normal 25 3" xfId="2594"/>
    <cellStyle name="Normal 25 4" xfId="2595"/>
    <cellStyle name="Normal 25 5" xfId="4458"/>
    <cellStyle name="Normal 25 6" xfId="4459"/>
    <cellStyle name="Normal 26" xfId="2596"/>
    <cellStyle name="Normal 26 2" xfId="2597"/>
    <cellStyle name="Normal 26 3" xfId="2598"/>
    <cellStyle name="Normal 26 4" xfId="2599"/>
    <cellStyle name="Normal 26 5" xfId="4460"/>
    <cellStyle name="Normal 27" xfId="2600"/>
    <cellStyle name="Normal 27 2" xfId="2601"/>
    <cellStyle name="Normal 27 3" xfId="2602"/>
    <cellStyle name="Normal 27 4" xfId="4461"/>
    <cellStyle name="Normal 27 5" xfId="4578"/>
    <cellStyle name="Normal 28" xfId="2603"/>
    <cellStyle name="Normal 28 2" xfId="2604"/>
    <cellStyle name="Normal 28 3" xfId="2605"/>
    <cellStyle name="Normal 28 4" xfId="4462"/>
    <cellStyle name="Normal 28 5" xfId="4579"/>
    <cellStyle name="Normal 29" xfId="2606"/>
    <cellStyle name="Normal 29 2" xfId="2607"/>
    <cellStyle name="Normal 29 3" xfId="2608"/>
    <cellStyle name="Normal 29 4" xfId="4463"/>
    <cellStyle name="Normal 29 5" xfId="4580"/>
    <cellStyle name="Normal 3" xfId="2609"/>
    <cellStyle name="Normal 3 10" xfId="2610"/>
    <cellStyle name="Normal 3 11" xfId="2611"/>
    <cellStyle name="Normal 3 12" xfId="2612"/>
    <cellStyle name="Normal 3 13" xfId="2613"/>
    <cellStyle name="Normal 3 14" xfId="2614"/>
    <cellStyle name="Normal 3 15" xfId="2615"/>
    <cellStyle name="Normal 3 16" xfId="2616"/>
    <cellStyle name="Normal 3 17" xfId="2617"/>
    <cellStyle name="Normal 3 17 2" xfId="4464"/>
    <cellStyle name="Normal 3 18" xfId="4465"/>
    <cellStyle name="Normal 3 2" xfId="2618"/>
    <cellStyle name="Normal 3 2 2" xfId="2619"/>
    <cellStyle name="Normal 3 2 3" xfId="2620"/>
    <cellStyle name="Normal 3 2 3 2" xfId="2621"/>
    <cellStyle name="Normal 3 2 3 3" xfId="4582"/>
    <cellStyle name="Normal 3 2 4" xfId="4581"/>
    <cellStyle name="Normal 3 2_DNCR T-03 TOTAL" xfId="2622"/>
    <cellStyle name="Normal 3 3" xfId="2623"/>
    <cellStyle name="Normal 3 3 2" xfId="2624"/>
    <cellStyle name="Normal 3 3 2 2" xfId="2625"/>
    <cellStyle name="Normal 3 3 2 2 2" xfId="4584"/>
    <cellStyle name="Normal 3 3 2 3" xfId="2626"/>
    <cellStyle name="Normal 3 3 2 4" xfId="4583"/>
    <cellStyle name="Normal 3 3 3" xfId="2627"/>
    <cellStyle name="Normal 3 4" xfId="2628"/>
    <cellStyle name="Normal 3 4 2" xfId="2629"/>
    <cellStyle name="Normal 3 4 2 2" xfId="2630"/>
    <cellStyle name="Normal 3 4 3" xfId="2631"/>
    <cellStyle name="Normal 3 5" xfId="2632"/>
    <cellStyle name="Normal 3 5 2" xfId="2633"/>
    <cellStyle name="Normal 3 5 2 2" xfId="4585"/>
    <cellStyle name="Normal 3 5 3" xfId="2634"/>
    <cellStyle name="Normal 3 6" xfId="2635"/>
    <cellStyle name="Normal 3 6 2" xfId="2636"/>
    <cellStyle name="Normal 3 7" xfId="2637"/>
    <cellStyle name="Normal 3 7 2" xfId="2638"/>
    <cellStyle name="Normal 3 8" xfId="2639"/>
    <cellStyle name="Normal 3 8 2" xfId="2640"/>
    <cellStyle name="Normal 3 9" xfId="2641"/>
    <cellStyle name="Normal 3 9 2" xfId="2642"/>
    <cellStyle name="Normal 3_20110401_SAN_Rev#1_ PTP 2012" xfId="2643"/>
    <cellStyle name="Normal 30" xfId="2644"/>
    <cellStyle name="Normal 30 2" xfId="2645"/>
    <cellStyle name="Normal 30 3" xfId="2646"/>
    <cellStyle name="Normal 30 4" xfId="4466"/>
    <cellStyle name="Normal 30 5" xfId="4586"/>
    <cellStyle name="Normal 31" xfId="2647"/>
    <cellStyle name="Normal 31 2" xfId="2648"/>
    <cellStyle name="Normal 31 3" xfId="2649"/>
    <cellStyle name="Normal 31 4" xfId="4151"/>
    <cellStyle name="Normal 31 5" xfId="4587"/>
    <cellStyle name="Normal 32" xfId="2650"/>
    <cellStyle name="Normal 32 2" xfId="2651"/>
    <cellStyle name="Normal 32 3" xfId="2652"/>
    <cellStyle name="Normal 32 4" xfId="4467"/>
    <cellStyle name="Normal 32 5" xfId="4588"/>
    <cellStyle name="Normal 33" xfId="2653"/>
    <cellStyle name="Normal 33 2" xfId="2654"/>
    <cellStyle name="Normal 33 3" xfId="2655"/>
    <cellStyle name="Normal 33 4" xfId="4589"/>
    <cellStyle name="Normal 34" xfId="2656"/>
    <cellStyle name="Normal 34 2" xfId="2657"/>
    <cellStyle name="Normal 34 3" xfId="2658"/>
    <cellStyle name="Normal 34 4" xfId="4590"/>
    <cellStyle name="Normal 35" xfId="2659"/>
    <cellStyle name="Normal 35 2" xfId="2660"/>
    <cellStyle name="Normal 35 3" xfId="2661"/>
    <cellStyle name="Normal 35 4" xfId="4591"/>
    <cellStyle name="Normal 36" xfId="2662"/>
    <cellStyle name="Normal 36 2" xfId="2663"/>
    <cellStyle name="Normal 36 3" xfId="2664"/>
    <cellStyle name="Normal 36 4" xfId="4592"/>
    <cellStyle name="Normal 37" xfId="2665"/>
    <cellStyle name="Normal 37 2" xfId="2666"/>
    <cellStyle name="Normal 37 3" xfId="2667"/>
    <cellStyle name="Normal 37 4" xfId="4593"/>
    <cellStyle name="Normal 38" xfId="2668"/>
    <cellStyle name="Normal 38 2" xfId="2669"/>
    <cellStyle name="Normal 38 3" xfId="2670"/>
    <cellStyle name="Normal 38 4" xfId="4594"/>
    <cellStyle name="Normal 39" xfId="2671"/>
    <cellStyle name="Normal 39 2" xfId="2672"/>
    <cellStyle name="Normal 39 3" xfId="2673"/>
    <cellStyle name="Normal 39 4" xfId="4595"/>
    <cellStyle name="Normal 4" xfId="2674"/>
    <cellStyle name="Normal 4 10" xfId="2675"/>
    <cellStyle name="Normal 4 11" xfId="2676"/>
    <cellStyle name="Normal 4 12" xfId="2677"/>
    <cellStyle name="Normal 4 13" xfId="2678"/>
    <cellStyle name="Normal 4 14" xfId="2679"/>
    <cellStyle name="Normal 4 15" xfId="2680"/>
    <cellStyle name="Normal 4 16" xfId="2681"/>
    <cellStyle name="Normal 4 17" xfId="4468"/>
    <cellStyle name="Normal 4 18" xfId="4469"/>
    <cellStyle name="Normal 4 2" xfId="2682"/>
    <cellStyle name="Normal 4 2 2" xfId="2683"/>
    <cellStyle name="Normal 4 2 2 2" xfId="2684"/>
    <cellStyle name="Normal 4 2 2 2 2" xfId="2685"/>
    <cellStyle name="Normal 4 2 2 3" xfId="2686"/>
    <cellStyle name="Normal 4 2 3" xfId="2687"/>
    <cellStyle name="Normal 4 2 3 2" xfId="4596"/>
    <cellStyle name="Normal 4 2 4" xfId="2688"/>
    <cellStyle name="Normal 4 2 5" xfId="2689"/>
    <cellStyle name="Normal 4 3" xfId="2690"/>
    <cellStyle name="Normal 4 3 2" xfId="2691"/>
    <cellStyle name="Normal 4 3 2 2" xfId="4597"/>
    <cellStyle name="Normal 4 3 3" xfId="2692"/>
    <cellStyle name="Normal 4 4" xfId="2693"/>
    <cellStyle name="Normal 4 4 2" xfId="2694"/>
    <cellStyle name="Normal 4 5" xfId="2695"/>
    <cellStyle name="Normal 4 5 2" xfId="2696"/>
    <cellStyle name="Normal 4 6" xfId="2697"/>
    <cellStyle name="Normal 4 7" xfId="2698"/>
    <cellStyle name="Normal 4 8" xfId="2699"/>
    <cellStyle name="Normal 4 9" xfId="2700"/>
    <cellStyle name="Normal 4_20110401_SAN_Rev#1_ PTP 2012" xfId="2701"/>
    <cellStyle name="Normal 40" xfId="2702"/>
    <cellStyle name="Normal 40 2" xfId="2703"/>
    <cellStyle name="Normal 40 3" xfId="2704"/>
    <cellStyle name="Normal 40 4" xfId="4598"/>
    <cellStyle name="Normal 41" xfId="2705"/>
    <cellStyle name="Normal 41 2" xfId="2706"/>
    <cellStyle name="Normal 41 3" xfId="2707"/>
    <cellStyle name="Normal 41 4" xfId="4599"/>
    <cellStyle name="Normal 42" xfId="2708"/>
    <cellStyle name="Normal 42 2" xfId="2709"/>
    <cellStyle name="Normal 42 3" xfId="2710"/>
    <cellStyle name="Normal 42 4" xfId="4600"/>
    <cellStyle name="Normal 43" xfId="2711"/>
    <cellStyle name="Normal 43 2" xfId="2712"/>
    <cellStyle name="Normal 43 3" xfId="2713"/>
    <cellStyle name="Normal 43 4" xfId="4601"/>
    <cellStyle name="Normal 44" xfId="2714"/>
    <cellStyle name="Normal 44 2" xfId="2715"/>
    <cellStyle name="Normal 44 3" xfId="2716"/>
    <cellStyle name="Normal 44 4" xfId="4602"/>
    <cellStyle name="Normal 45" xfId="2717"/>
    <cellStyle name="Normal 45 2" xfId="2718"/>
    <cellStyle name="Normal 45 3" xfId="2719"/>
    <cellStyle name="Normal 45 4" xfId="4603"/>
    <cellStyle name="Normal 46" xfId="2720"/>
    <cellStyle name="Normal 46 2" xfId="2721"/>
    <cellStyle name="Normal 46 3" xfId="2722"/>
    <cellStyle name="Normal 46 4" xfId="4604"/>
    <cellStyle name="Normal 47" xfId="2723"/>
    <cellStyle name="Normal 47 2" xfId="2724"/>
    <cellStyle name="Normal 47 3" xfId="2725"/>
    <cellStyle name="Normal 47 4" xfId="4605"/>
    <cellStyle name="Normal 48" xfId="2726"/>
    <cellStyle name="Normal 48 2" xfId="2727"/>
    <cellStyle name="Normal 48 3" xfId="2728"/>
    <cellStyle name="Normal 48 4" xfId="4606"/>
    <cellStyle name="Normal 49" xfId="2729"/>
    <cellStyle name="Normal 49 2" xfId="2730"/>
    <cellStyle name="Normal 49 3" xfId="2731"/>
    <cellStyle name="Normal 49 4" xfId="4607"/>
    <cellStyle name="Normal 5" xfId="2732"/>
    <cellStyle name="Normal 5 10" xfId="2733"/>
    <cellStyle name="Normal 5 11" xfId="2734"/>
    <cellStyle name="Normal 5 12" xfId="2735"/>
    <cellStyle name="Normal 5 13" xfId="2736"/>
    <cellStyle name="Normal 5 14" xfId="2737"/>
    <cellStyle name="Normal 5 15" xfId="2738"/>
    <cellStyle name="Normal 5 16" xfId="2739"/>
    <cellStyle name="Normal 5 17" xfId="2740"/>
    <cellStyle name="Normal 5 17 2" xfId="4608"/>
    <cellStyle name="Normal 5 2" xfId="2741"/>
    <cellStyle name="Normal 5 2 2" xfId="2742"/>
    <cellStyle name="Normal 5 2 2 2" xfId="2743"/>
    <cellStyle name="Normal 5 2 3" xfId="2744"/>
    <cellStyle name="Normal 5 2 4" xfId="2745"/>
    <cellStyle name="Normal 5 3" xfId="2746"/>
    <cellStyle name="Normal 5 3 2" xfId="2747"/>
    <cellStyle name="Normal 5 3 3" xfId="2748"/>
    <cellStyle name="Normal 5 3 4" xfId="4470"/>
    <cellStyle name="Normal 5 3 5" xfId="4471"/>
    <cellStyle name="Normal 5 4" xfId="2749"/>
    <cellStyle name="Normal 5 4 2" xfId="2750"/>
    <cellStyle name="Normal 5 5" xfId="2751"/>
    <cellStyle name="Normal 5 5 2" xfId="2752"/>
    <cellStyle name="Normal 5 6" xfId="2753"/>
    <cellStyle name="Normal 5 6 2" xfId="2754"/>
    <cellStyle name="Normal 5 6 2 2" xfId="4609"/>
    <cellStyle name="Normal 5 7" xfId="2755"/>
    <cellStyle name="Normal 5 8" xfId="2756"/>
    <cellStyle name="Normal 5 9" xfId="2757"/>
    <cellStyle name="Normal 5_20110401_SAN_Rev#1_ PTP 2012" xfId="2758"/>
    <cellStyle name="Normal 50" xfId="2759"/>
    <cellStyle name="Normal 50 2" xfId="2760"/>
    <cellStyle name="Normal 50 3" xfId="2761"/>
    <cellStyle name="Normal 50 4" xfId="4610"/>
    <cellStyle name="Normal 51" xfId="2762"/>
    <cellStyle name="Normal 51 2" xfId="2763"/>
    <cellStyle name="Normal 51 3" xfId="2764"/>
    <cellStyle name="Normal 51 4" xfId="4611"/>
    <cellStyle name="Normal 52" xfId="2765"/>
    <cellStyle name="Normal 52 2" xfId="2766"/>
    <cellStyle name="Normal 52 3" xfId="2767"/>
    <cellStyle name="Normal 52 4" xfId="4612"/>
    <cellStyle name="Normal 53" xfId="2768"/>
    <cellStyle name="Normal 53 2" xfId="2769"/>
    <cellStyle name="Normal 53 3" xfId="2770"/>
    <cellStyle name="Normal 53 4" xfId="4613"/>
    <cellStyle name="Normal 54" xfId="2771"/>
    <cellStyle name="Normal 54 2" xfId="2772"/>
    <cellStyle name="Normal 54 3" xfId="2773"/>
    <cellStyle name="Normal 54 4" xfId="4614"/>
    <cellStyle name="Normal 55" xfId="2774"/>
    <cellStyle name="Normal 55 2" xfId="2775"/>
    <cellStyle name="Normal 56" xfId="2776"/>
    <cellStyle name="Normal 56 2" xfId="2777"/>
    <cellStyle name="Normal 57" xfId="2778"/>
    <cellStyle name="Normal 57 2" xfId="2779"/>
    <cellStyle name="Normal 58" xfId="2780"/>
    <cellStyle name="Normal 58 2" xfId="2781"/>
    <cellStyle name="Normal 59" xfId="2782"/>
    <cellStyle name="Normal 59 2" xfId="2783"/>
    <cellStyle name="Normal 6" xfId="2784"/>
    <cellStyle name="Normal 6 10" xfId="2785"/>
    <cellStyle name="Normal 6 11" xfId="2786"/>
    <cellStyle name="Normal 6 12" xfId="2787"/>
    <cellStyle name="Normal 6 13" xfId="2788"/>
    <cellStyle name="Normal 6 14" xfId="2789"/>
    <cellStyle name="Normal 6 15" xfId="2790"/>
    <cellStyle name="Normal 6 16" xfId="2791"/>
    <cellStyle name="Normal 6 17" xfId="2792"/>
    <cellStyle name="Normal 6 2" xfId="2793"/>
    <cellStyle name="Normal 6 2 2" xfId="2794"/>
    <cellStyle name="Normal 6 2 2 2" xfId="2795"/>
    <cellStyle name="Normal 6 2 2 3" xfId="2796"/>
    <cellStyle name="Normal 6 2 3" xfId="2797"/>
    <cellStyle name="Normal 6 2 3 2" xfId="2798"/>
    <cellStyle name="Normal 6 2 4" xfId="2799"/>
    <cellStyle name="Normal 6 3" xfId="2800"/>
    <cellStyle name="Normal 6 3 2" xfId="2801"/>
    <cellStyle name="Normal 6 3 2 2" xfId="2802"/>
    <cellStyle name="Normal 6 3 3" xfId="2803"/>
    <cellStyle name="Normal 6 4" xfId="2804"/>
    <cellStyle name="Normal 6 4 2" xfId="2805"/>
    <cellStyle name="Normal 6 5" xfId="2806"/>
    <cellStyle name="Normal 6 5 2" xfId="2807"/>
    <cellStyle name="Normal 6 6" xfId="2808"/>
    <cellStyle name="Normal 6 7" xfId="2809"/>
    <cellStyle name="Normal 6 8" xfId="2810"/>
    <cellStyle name="Normal 6 9" xfId="2811"/>
    <cellStyle name="Normal 6_20110401_SAN_Rev#1_ PTP 2012" xfId="2812"/>
    <cellStyle name="Normal 60" xfId="2813"/>
    <cellStyle name="Normal 60 2" xfId="2814"/>
    <cellStyle name="Normal 61" xfId="2815"/>
    <cellStyle name="Normal 61 2" xfId="2816"/>
    <cellStyle name="Normal 62" xfId="2817"/>
    <cellStyle name="Normal 62 2" xfId="2818"/>
    <cellStyle name="Normal 63" xfId="2819"/>
    <cellStyle name="Normal 63 2" xfId="2820"/>
    <cellStyle name="Normal 64" xfId="2821"/>
    <cellStyle name="Normal 64 2" xfId="2822"/>
    <cellStyle name="Normal 64 3" xfId="2823"/>
    <cellStyle name="Normal 65" xfId="2824"/>
    <cellStyle name="Normal 65 2" xfId="2825"/>
    <cellStyle name="Normal 66" xfId="2826"/>
    <cellStyle name="Normal 66 2" xfId="2827"/>
    <cellStyle name="Normal 67" xfId="2828"/>
    <cellStyle name="Normal 67 2" xfId="2829"/>
    <cellStyle name="Normal 68" xfId="2830"/>
    <cellStyle name="Normal 68 2" xfId="2831"/>
    <cellStyle name="Normal 69" xfId="2832"/>
    <cellStyle name="Normal 69 2" xfId="2833"/>
    <cellStyle name="Normal 69 3" xfId="2834"/>
    <cellStyle name="Normal 7" xfId="2835"/>
    <cellStyle name="Normal 7 10" xfId="2836"/>
    <cellStyle name="Normal 7 11" xfId="2837"/>
    <cellStyle name="Normal 7 12" xfId="2838"/>
    <cellStyle name="Normal 7 13" xfId="2839"/>
    <cellStyle name="Normal 7 14" xfId="2840"/>
    <cellStyle name="Normal 7 15" xfId="2841"/>
    <cellStyle name="Normal 7 16" xfId="2842"/>
    <cellStyle name="Normal 7 2" xfId="2843"/>
    <cellStyle name="Normal 7 2 2" xfId="2844"/>
    <cellStyle name="Normal 7 2 3" xfId="2845"/>
    <cellStyle name="Normal 7 2 4" xfId="2846"/>
    <cellStyle name="Normal 7 2 5" xfId="4472"/>
    <cellStyle name="Normal 7 2 6" xfId="4473"/>
    <cellStyle name="Normal 7 3" xfId="2847"/>
    <cellStyle name="Normal 7 3 2" xfId="2848"/>
    <cellStyle name="Normal 7 4" xfId="2849"/>
    <cellStyle name="Normal 7 4 2" xfId="2850"/>
    <cellStyle name="Normal 7 5" xfId="2851"/>
    <cellStyle name="Normal 7 5 2" xfId="2852"/>
    <cellStyle name="Normal 7 6" xfId="2853"/>
    <cellStyle name="Normal 7 7" xfId="2854"/>
    <cellStyle name="Normal 7 8" xfId="2855"/>
    <cellStyle name="Normal 7 9" xfId="2856"/>
    <cellStyle name="Normal 7_20110401_SAN_Rev#1_ PTP 2012" xfId="2857"/>
    <cellStyle name="Normal 70" xfId="2858"/>
    <cellStyle name="Normal 70 2" xfId="2859"/>
    <cellStyle name="Normal 70 3" xfId="2860"/>
    <cellStyle name="Normal 71" xfId="2861"/>
    <cellStyle name="Normal 71 2" xfId="2862"/>
    <cellStyle name="Normal 71 3" xfId="2863"/>
    <cellStyle name="Normal 72" xfId="2864"/>
    <cellStyle name="Normal 72 2" xfId="2865"/>
    <cellStyle name="Normal 72 3" xfId="2866"/>
    <cellStyle name="Normal 73" xfId="2867"/>
    <cellStyle name="Normal 73 2" xfId="2868"/>
    <cellStyle name="Normal 73 3" xfId="2869"/>
    <cellStyle name="Normal 74" xfId="2870"/>
    <cellStyle name="Normal 74 2" xfId="2871"/>
    <cellStyle name="Normal 74 3" xfId="2872"/>
    <cellStyle name="Normal 75" xfId="2873"/>
    <cellStyle name="Normal 75 2" xfId="2874"/>
    <cellStyle name="Normal 75 3" xfId="2875"/>
    <cellStyle name="Normal 76" xfId="2876"/>
    <cellStyle name="Normal 76 2" xfId="2877"/>
    <cellStyle name="Normal 76 3" xfId="2878"/>
    <cellStyle name="Normal 76 3 2" xfId="4615"/>
    <cellStyle name="Normal 77" xfId="2879"/>
    <cellStyle name="Normal 77 2" xfId="2880"/>
    <cellStyle name="Normal 77 3" xfId="2881"/>
    <cellStyle name="Normal 78" xfId="2882"/>
    <cellStyle name="Normal 78 2" xfId="2883"/>
    <cellStyle name="Normal 78 3" xfId="2884"/>
    <cellStyle name="Normal 79" xfId="2885"/>
    <cellStyle name="Normal 79 2" xfId="2886"/>
    <cellStyle name="Normal 79 3" xfId="2887"/>
    <cellStyle name="Normal 8" xfId="2888"/>
    <cellStyle name="Normal 8 10" xfId="2889"/>
    <cellStyle name="Normal 8 11" xfId="2890"/>
    <cellStyle name="Normal 8 12" xfId="2891"/>
    <cellStyle name="Normal 8 13" xfId="2892"/>
    <cellStyle name="Normal 8 14" xfId="2893"/>
    <cellStyle name="Normal 8 15" xfId="2894"/>
    <cellStyle name="Normal 8 16" xfId="4474"/>
    <cellStyle name="Normal 8 2" xfId="2895"/>
    <cellStyle name="Normal 8 2 2" xfId="2896"/>
    <cellStyle name="Normal 8 2 3" xfId="2897"/>
    <cellStyle name="Normal 8 2 4" xfId="2898"/>
    <cellStyle name="Normal 8 2 5" xfId="4475"/>
    <cellStyle name="Normal 8 3" xfId="2899"/>
    <cellStyle name="Normal 8 3 2" xfId="2900"/>
    <cellStyle name="Normal 8 4" xfId="2901"/>
    <cellStyle name="Normal 8 5" xfId="2902"/>
    <cellStyle name="Normal 8 6" xfId="2903"/>
    <cellStyle name="Normal 8 7" xfId="2904"/>
    <cellStyle name="Normal 8 8" xfId="2905"/>
    <cellStyle name="Normal 8 9" xfId="2906"/>
    <cellStyle name="Normal 8_20110401_SAN_Rev#1_ PTP 2012" xfId="2907"/>
    <cellStyle name="Normal 80" xfId="2908"/>
    <cellStyle name="Normal 80 2" xfId="2909"/>
    <cellStyle name="Normal 80 3" xfId="2910"/>
    <cellStyle name="Normal 81" xfId="2911"/>
    <cellStyle name="Normal 81 2" xfId="2912"/>
    <cellStyle name="Normal 81 3" xfId="2913"/>
    <cellStyle name="Normal 82" xfId="2914"/>
    <cellStyle name="Normal 82 2" xfId="2915"/>
    <cellStyle name="Normal 82 3" xfId="2916"/>
    <cellStyle name="Normal 83" xfId="2917"/>
    <cellStyle name="Normal 83 2" xfId="2918"/>
    <cellStyle name="Normal 83 3" xfId="2919"/>
    <cellStyle name="Normal 84" xfId="2920"/>
    <cellStyle name="Normal 84 2" xfId="2921"/>
    <cellStyle name="Normal 84 3" xfId="2922"/>
    <cellStyle name="Normal 85" xfId="2923"/>
    <cellStyle name="Normal 85 2" xfId="2924"/>
    <cellStyle name="Normal 85 3" xfId="2925"/>
    <cellStyle name="Normal 86" xfId="2926"/>
    <cellStyle name="Normal 86 2" xfId="2927"/>
    <cellStyle name="Normal 86 3" xfId="2928"/>
    <cellStyle name="Normal 87" xfId="2929"/>
    <cellStyle name="Normal 87 2" xfId="2930"/>
    <cellStyle name="Normal 87 3" xfId="2931"/>
    <cellStyle name="Normal 88" xfId="2932"/>
    <cellStyle name="Normal 88 2" xfId="2933"/>
    <cellStyle name="Normal 88 3" xfId="2934"/>
    <cellStyle name="Normal 89" xfId="2935"/>
    <cellStyle name="Normal 89 2" xfId="2936"/>
    <cellStyle name="Normal 89 3" xfId="2937"/>
    <cellStyle name="Normal 9" xfId="2938"/>
    <cellStyle name="Normal 9 10" xfId="2939"/>
    <cellStyle name="Normal 9 11" xfId="2940"/>
    <cellStyle name="Normal 9 12" xfId="2941"/>
    <cellStyle name="Normal 9 13" xfId="2942"/>
    <cellStyle name="Normal 9 14" xfId="2943"/>
    <cellStyle name="Normal 9 15" xfId="2944"/>
    <cellStyle name="Normal 9 16" xfId="2945"/>
    <cellStyle name="Normal 9 17" xfId="4476"/>
    <cellStyle name="Normal 9 2" xfId="2946"/>
    <cellStyle name="Normal 9 2 2" xfId="2947"/>
    <cellStyle name="Normal 9 2 3" xfId="2948"/>
    <cellStyle name="Normal 9 2 4" xfId="2949"/>
    <cellStyle name="Normal 9 2 5" xfId="4477"/>
    <cellStyle name="Normal 9 2 6" xfId="4478"/>
    <cellStyle name="Normal 9 3" xfId="2950"/>
    <cellStyle name="Normal 9 3 2" xfId="2951"/>
    <cellStyle name="Normal 9 4" xfId="2952"/>
    <cellStyle name="Normal 9 4 2" xfId="2953"/>
    <cellStyle name="Normal 9 4 2 2" xfId="4616"/>
    <cellStyle name="Normal 9 5" xfId="2954"/>
    <cellStyle name="Normal 9 5 2" xfId="2955"/>
    <cellStyle name="Normal 9 6" xfId="2956"/>
    <cellStyle name="Normal 9 7" xfId="2957"/>
    <cellStyle name="Normal 9 8" xfId="2958"/>
    <cellStyle name="Normal 9 9" xfId="2959"/>
    <cellStyle name="Normal 9_20110401_SAN_Rev#1_ PTP 2012" xfId="2960"/>
    <cellStyle name="Normal 90" xfId="2961"/>
    <cellStyle name="Normal 90 2" xfId="2962"/>
    <cellStyle name="Normal 91" xfId="2963"/>
    <cellStyle name="Normal 91 2" xfId="2964"/>
    <cellStyle name="Normal 92" xfId="2965"/>
    <cellStyle name="Normal 92 2" xfId="2966"/>
    <cellStyle name="Normal 93" xfId="2967"/>
    <cellStyle name="Normal 93 2" xfId="2968"/>
    <cellStyle name="Normal 94" xfId="2969"/>
    <cellStyle name="Normal 94 2" xfId="2970"/>
    <cellStyle name="Normal 95" xfId="2971"/>
    <cellStyle name="Normal 95 2" xfId="2972"/>
    <cellStyle name="Normal 96" xfId="2973"/>
    <cellStyle name="Normal 96 2" xfId="2974"/>
    <cellStyle name="Normal 97" xfId="2975"/>
    <cellStyle name="Normal 97 2" xfId="2976"/>
    <cellStyle name="Normal 98" xfId="2977"/>
    <cellStyle name="Normal 98 2" xfId="2978"/>
    <cellStyle name="Normal 99" xfId="2979"/>
    <cellStyle name="Normal 99 2" xfId="2980"/>
    <cellStyle name="NormalMultiple" xfId="2981"/>
    <cellStyle name="NormalX" xfId="2982"/>
    <cellStyle name="Nota" xfId="2983"/>
    <cellStyle name="Notas" xfId="2984"/>
    <cellStyle name="Notas 10" xfId="2985"/>
    <cellStyle name="Notas 11" xfId="2986"/>
    <cellStyle name="Notas 12" xfId="2987"/>
    <cellStyle name="Notas 13" xfId="2988"/>
    <cellStyle name="Notas 14" xfId="2989"/>
    <cellStyle name="Notas 2" xfId="2990"/>
    <cellStyle name="Notas 2 2" xfId="2991"/>
    <cellStyle name="Notas 2 2 2" xfId="2992"/>
    <cellStyle name="Notas 2 3" xfId="2993"/>
    <cellStyle name="Notas 2 4" xfId="2994"/>
    <cellStyle name="Notas 2 4 2" xfId="4617"/>
    <cellStyle name="Notas 2_1.400 Inversiones Oper ITAÚ" xfId="2995"/>
    <cellStyle name="Notas 3" xfId="2996"/>
    <cellStyle name="Notas 3 2" xfId="2997"/>
    <cellStyle name="Notas 3 2 2" xfId="2998"/>
    <cellStyle name="Notas 3 3" xfId="2999"/>
    <cellStyle name="Notas 3_1.400 Inversiones Oper ITAÚ" xfId="3000"/>
    <cellStyle name="Notas 4" xfId="3001"/>
    <cellStyle name="Notas 4 2" xfId="3002"/>
    <cellStyle name="Notas 5" xfId="3003"/>
    <cellStyle name="Notas 5 2" xfId="3004"/>
    <cellStyle name="Notas 6" xfId="3005"/>
    <cellStyle name="Notas 6 2" xfId="3006"/>
    <cellStyle name="Notas 6 3" xfId="3007"/>
    <cellStyle name="Notas 7" xfId="3008"/>
    <cellStyle name="Notas 8" xfId="3009"/>
    <cellStyle name="Notas 9" xfId="3010"/>
    <cellStyle name="Note 2" xfId="39"/>
    <cellStyle name="Note 2 2" xfId="3011"/>
    <cellStyle name="Note 2 2 2" xfId="3012"/>
    <cellStyle name="Note 2 2 3" xfId="3013"/>
    <cellStyle name="Note 2 2 4" xfId="3014"/>
    <cellStyle name="Note 2 2 5" xfId="4479"/>
    <cellStyle name="Note 2 2 6" xfId="4480"/>
    <cellStyle name="Note 2 3" xfId="3015"/>
    <cellStyle name="Note 2 4" xfId="3016"/>
    <cellStyle name="Note 2 5" xfId="3017"/>
    <cellStyle name="Note 2 6" xfId="3018"/>
    <cellStyle name="Note 2 7" xfId="3019"/>
    <cellStyle name="Note 2 8" xfId="4481"/>
    <cellStyle name="Note 2_1.400 Inversiones Oper ITAÚ" xfId="3020"/>
    <cellStyle name="Note 3" xfId="3021"/>
    <cellStyle name="Note 3 2" xfId="3022"/>
    <cellStyle name="Note 3 3" xfId="3023"/>
    <cellStyle name="Note 3 4" xfId="3024"/>
    <cellStyle name="Note 3 5" xfId="3025"/>
    <cellStyle name="Note 4" xfId="3026"/>
    <cellStyle name="Note 5" xfId="3027"/>
    <cellStyle name="Note 6" xfId="3028"/>
    <cellStyle name="Note 7" xfId="4482"/>
    <cellStyle name="Note 8" xfId="4483"/>
    <cellStyle name="Numero" xfId="3029"/>
    <cellStyle name="Numero 2" xfId="3030"/>
    <cellStyle name="Output 2" xfId="40"/>
    <cellStyle name="Output 2 2" xfId="3031"/>
    <cellStyle name="Output 2 2 2" xfId="3032"/>
    <cellStyle name="Output 2 2 3" xfId="3033"/>
    <cellStyle name="Output 2 2 4" xfId="4484"/>
    <cellStyle name="Output 2 2 5" xfId="4485"/>
    <cellStyle name="Output 2 3" xfId="3034"/>
    <cellStyle name="Output 2 4" xfId="3035"/>
    <cellStyle name="Output 2 5" xfId="3036"/>
    <cellStyle name="Output 2 6" xfId="3037"/>
    <cellStyle name="Output 2 7" xfId="3038"/>
    <cellStyle name="Output 2 8" xfId="3039"/>
    <cellStyle name="Output 2 9" xfId="4486"/>
    <cellStyle name="Output 3" xfId="3040"/>
    <cellStyle name="Output 3 2" xfId="3041"/>
    <cellStyle name="Output 3 3" xfId="3042"/>
    <cellStyle name="Output 3 4" xfId="3043"/>
    <cellStyle name="Output 3 5" xfId="3044"/>
    <cellStyle name="Output 4" xfId="3045"/>
    <cellStyle name="Output 5" xfId="3046"/>
    <cellStyle name="Output 6" xfId="4487"/>
    <cellStyle name="PAGE" xfId="3047"/>
    <cellStyle name="PAGE 2" xfId="3048"/>
    <cellStyle name="PAGE2" xfId="3049"/>
    <cellStyle name="PAGE2 2" xfId="3050"/>
    <cellStyle name="Percent 2" xfId="3051"/>
    <cellStyle name="Percent 2 2" xfId="3052"/>
    <cellStyle name="Percent 2 2 2" xfId="3053"/>
    <cellStyle name="Percent 2 2 3" xfId="3054"/>
    <cellStyle name="Percent 2 3" xfId="3055"/>
    <cellStyle name="Percent 2 3 2" xfId="4618"/>
    <cellStyle name="Percent 2 4" xfId="3056"/>
    <cellStyle name="Percent 3" xfId="3057"/>
    <cellStyle name="Percent 3 2" xfId="3058"/>
    <cellStyle name="Percent 3 3" xfId="3059"/>
    <cellStyle name="Percent 4" xfId="3060"/>
    <cellStyle name="Percent 4 2" xfId="3061"/>
    <cellStyle name="PillarData" xfId="3062"/>
    <cellStyle name="PillarData 2" xfId="3063"/>
    <cellStyle name="PillarData 2 2" xfId="3064"/>
    <cellStyle name="PillarData 3" xfId="3065"/>
    <cellStyle name="PillarData_20110401_SAN_Rev#1_ PTP 2012" xfId="3066"/>
    <cellStyle name="PillarHeading" xfId="3067"/>
    <cellStyle name="PillarHeading 2" xfId="3068"/>
    <cellStyle name="PillarText" xfId="3069"/>
    <cellStyle name="PillarText 2" xfId="3070"/>
    <cellStyle name="PillarText 2 2" xfId="3071"/>
    <cellStyle name="PillarText 3" xfId="3072"/>
    <cellStyle name="PillarText_20110401_SAN_Rev#1_ PTP 2012" xfId="3073"/>
    <cellStyle name="PillarTotal" xfId="3074"/>
    <cellStyle name="PillarTotal 2" xfId="3075"/>
    <cellStyle name="Porcentaje" xfId="3076"/>
    <cellStyle name="Porcentaje 2" xfId="3077"/>
    <cellStyle name="Porcentaje 2 2" xfId="3078"/>
    <cellStyle name="Porcentaje 2 2 2" xfId="3079"/>
    <cellStyle name="Porcentaje 2 3" xfId="3080"/>
    <cellStyle name="Porcentaje 2 3 2" xfId="3081"/>
    <cellStyle name="Porcentaje 2 4" xfId="3082"/>
    <cellStyle name="Porcentaje 2 5" xfId="3083"/>
    <cellStyle name="Porcentaje 2_20110401_SAL_Rev#1_ PTP 2011" xfId="3084"/>
    <cellStyle name="Porcentaje 3" xfId="3085"/>
    <cellStyle name="Porcentaje 3 2" xfId="3086"/>
    <cellStyle name="Porcentaje_20110401_SAL_Rev#1_ PTP 2011" xfId="3087"/>
    <cellStyle name="Porcentual 10" xfId="3088"/>
    <cellStyle name="Porcentual 11" xfId="3089"/>
    <cellStyle name="Porcentual 12" xfId="3090"/>
    <cellStyle name="Porcentual 13" xfId="3091"/>
    <cellStyle name="Porcentual 2" xfId="3092"/>
    <cellStyle name="Porcentual 2 10" xfId="3093"/>
    <cellStyle name="Porcentual 2 11" xfId="3094"/>
    <cellStyle name="Porcentual 2 12" xfId="3095"/>
    <cellStyle name="Porcentual 2 13" xfId="3096"/>
    <cellStyle name="Porcentual 2 14" xfId="3097"/>
    <cellStyle name="Porcentual 2 2" xfId="3098"/>
    <cellStyle name="Porcentual 2 2 2" xfId="3099"/>
    <cellStyle name="Porcentual 2 3" xfId="3100"/>
    <cellStyle name="Porcentual 2 3 2" xfId="3101"/>
    <cellStyle name="Porcentual 2 4" xfId="3102"/>
    <cellStyle name="Porcentual 2 5" xfId="3103"/>
    <cellStyle name="Porcentual 2 6" xfId="3104"/>
    <cellStyle name="Porcentual 2 7" xfId="3105"/>
    <cellStyle name="Porcentual 2 8" xfId="3106"/>
    <cellStyle name="Porcentual 2 9" xfId="3107"/>
    <cellStyle name="Porcentual 3" xfId="3108"/>
    <cellStyle name="Porcentual 3 10" xfId="3109"/>
    <cellStyle name="Porcentual 3 11" xfId="3110"/>
    <cellStyle name="Porcentual 3 12" xfId="3111"/>
    <cellStyle name="Porcentual 3 13" xfId="3112"/>
    <cellStyle name="Porcentual 3 14" xfId="3113"/>
    <cellStyle name="Porcentual 3 15" xfId="4619"/>
    <cellStyle name="Porcentual 3 2" xfId="3114"/>
    <cellStyle name="Porcentual 3 2 2" xfId="3115"/>
    <cellStyle name="Porcentual 3 3" xfId="3116"/>
    <cellStyle name="Porcentual 3 4" xfId="3117"/>
    <cellStyle name="Porcentual 3 5" xfId="3118"/>
    <cellStyle name="Porcentual 3 6" xfId="3119"/>
    <cellStyle name="Porcentual 3 7" xfId="3120"/>
    <cellStyle name="Porcentual 3 8" xfId="3121"/>
    <cellStyle name="Porcentual 3 9" xfId="3122"/>
    <cellStyle name="Porcentual 4" xfId="3123"/>
    <cellStyle name="Porcentual 4 2" xfId="3124"/>
    <cellStyle name="Porcentual 5" xfId="3125"/>
    <cellStyle name="Porcentual 5 2" xfId="3126"/>
    <cellStyle name="Porcentual 5 3" xfId="3127"/>
    <cellStyle name="Porcentual 6" xfId="3128"/>
    <cellStyle name="Porcentual 7" xfId="3129"/>
    <cellStyle name="Porcentual 8" xfId="3130"/>
    <cellStyle name="Porcentual 8 2" xfId="3131"/>
    <cellStyle name="Porcentual 8 2 2" xfId="3132"/>
    <cellStyle name="Porcentual 9" xfId="3133"/>
    <cellStyle name="Porcentual 9 2" xfId="3134"/>
    <cellStyle name="Ratio" xfId="3135"/>
    <cellStyle name="Ratio 2" xfId="3136"/>
    <cellStyle name="Red Font" xfId="3137"/>
    <cellStyle name="Results" xfId="3138"/>
    <cellStyle name="Results 2" xfId="3139"/>
    <cellStyle name="Saída" xfId="3140"/>
    <cellStyle name="Salida" xfId="3141"/>
    <cellStyle name="Salida 10" xfId="3142"/>
    <cellStyle name="Salida 11" xfId="3143"/>
    <cellStyle name="Salida 12" xfId="3144"/>
    <cellStyle name="Salida 13" xfId="3145"/>
    <cellStyle name="Salida 14" xfId="3146"/>
    <cellStyle name="Salida 2" xfId="3147"/>
    <cellStyle name="Salida 2 2" xfId="3148"/>
    <cellStyle name="Salida 3" xfId="3149"/>
    <cellStyle name="Salida 3 2" xfId="3150"/>
    <cellStyle name="Salida 4" xfId="3151"/>
    <cellStyle name="Salida 5" xfId="3152"/>
    <cellStyle name="Salida 6" xfId="3153"/>
    <cellStyle name="Salida 7" xfId="3154"/>
    <cellStyle name="Salida 8" xfId="3155"/>
    <cellStyle name="Salida 9" xfId="3156"/>
    <cellStyle name="SAPBEXaggData" xfId="3157"/>
    <cellStyle name="SAPBEXaggData 10" xfId="3158"/>
    <cellStyle name="SAPBEXaggData 11" xfId="3159"/>
    <cellStyle name="SAPBEXaggData 12" xfId="3160"/>
    <cellStyle name="SAPBEXaggData 2" xfId="3161"/>
    <cellStyle name="SAPBEXaggData 2 2" xfId="3162"/>
    <cellStyle name="SAPBEXaggData 2 2 2" xfId="3163"/>
    <cellStyle name="SAPBEXaggData 2 3" xfId="3164"/>
    <cellStyle name="SAPBEXaggData 2_20110401_SAL_Rev#1_ PTP 2011" xfId="3165"/>
    <cellStyle name="SAPBEXaggData 3" xfId="3166"/>
    <cellStyle name="SAPBEXaggData 3 2" xfId="3167"/>
    <cellStyle name="SAPBEXaggData 4" xfId="3168"/>
    <cellStyle name="SAPBEXaggData 5" xfId="3169"/>
    <cellStyle name="SAPBEXaggData 6" xfId="3170"/>
    <cellStyle name="SAPBEXaggData 7" xfId="3171"/>
    <cellStyle name="SAPBEXaggData 8" xfId="3172"/>
    <cellStyle name="SAPBEXaggData 9" xfId="3173"/>
    <cellStyle name="SAPBEXaggData_1.400 Inversiones Oper ITAÚ" xfId="3174"/>
    <cellStyle name="SAPBEXaggDataEmph" xfId="3175"/>
    <cellStyle name="SAPBEXaggDataEmph 10" xfId="3176"/>
    <cellStyle name="SAPBEXaggDataEmph 11" xfId="3177"/>
    <cellStyle name="SAPBEXaggDataEmph 12" xfId="3178"/>
    <cellStyle name="SAPBEXaggDataEmph 2" xfId="3179"/>
    <cellStyle name="SAPBEXaggDataEmph 2 2" xfId="3180"/>
    <cellStyle name="SAPBEXaggDataEmph 2 2 2" xfId="3181"/>
    <cellStyle name="SAPBEXaggDataEmph 2 3" xfId="3182"/>
    <cellStyle name="SAPBEXaggDataEmph 2_20110401_SAL_Rev#1_ PTP 2011" xfId="3183"/>
    <cellStyle name="SAPBEXaggDataEmph 3" xfId="3184"/>
    <cellStyle name="SAPBEXaggDataEmph 3 2" xfId="3185"/>
    <cellStyle name="SAPBEXaggDataEmph 4" xfId="3186"/>
    <cellStyle name="SAPBEXaggDataEmph 5" xfId="3187"/>
    <cellStyle name="SAPBEXaggDataEmph 6" xfId="3188"/>
    <cellStyle name="SAPBEXaggDataEmph 7" xfId="3189"/>
    <cellStyle name="SAPBEXaggDataEmph 8" xfId="3190"/>
    <cellStyle name="SAPBEXaggDataEmph 9" xfId="3191"/>
    <cellStyle name="SAPBEXaggDataEmph_1.400 Inversiones Oper ITAÚ" xfId="3192"/>
    <cellStyle name="SAPBEXaggItem" xfId="3193"/>
    <cellStyle name="SAPBEXaggItem 10" xfId="3194"/>
    <cellStyle name="SAPBEXaggItem 11" xfId="3195"/>
    <cellStyle name="SAPBEXaggItem 12" xfId="3196"/>
    <cellStyle name="SAPBEXaggItem 2" xfId="3197"/>
    <cellStyle name="SAPBEXaggItem 2 2" xfId="3198"/>
    <cellStyle name="SAPBEXaggItem 2 2 2" xfId="3199"/>
    <cellStyle name="SAPBEXaggItem 2 3" xfId="3200"/>
    <cellStyle name="SAPBEXaggItem 2_20110401_SAL_Rev#1_ PTP 2011" xfId="3201"/>
    <cellStyle name="SAPBEXaggItem 3" xfId="3202"/>
    <cellStyle name="SAPBEXaggItem 3 2" xfId="3203"/>
    <cellStyle name="SAPBEXaggItem 4" xfId="3204"/>
    <cellStyle name="SAPBEXaggItem 5" xfId="3205"/>
    <cellStyle name="SAPBEXaggItem 6" xfId="3206"/>
    <cellStyle name="SAPBEXaggItem 7" xfId="3207"/>
    <cellStyle name="SAPBEXaggItem 8" xfId="3208"/>
    <cellStyle name="SAPBEXaggItem 9" xfId="3209"/>
    <cellStyle name="SAPBEXaggItem_1.400 Inversiones Oper ITAÚ" xfId="3210"/>
    <cellStyle name="SAPBEXaggItemX" xfId="3211"/>
    <cellStyle name="SAPBEXaggItemX 10" xfId="3212"/>
    <cellStyle name="SAPBEXaggItemX 11" xfId="3213"/>
    <cellStyle name="SAPBEXaggItemX 12" xfId="3214"/>
    <cellStyle name="SAPBEXaggItemX 2" xfId="3215"/>
    <cellStyle name="SAPBEXaggItemX 2 2" xfId="3216"/>
    <cellStyle name="SAPBEXaggItemX 2 2 2" xfId="3217"/>
    <cellStyle name="SAPBEXaggItemX 2 3" xfId="3218"/>
    <cellStyle name="SAPBEXaggItemX 2_20110401_SAL_Rev#1_ PTP 2011" xfId="3219"/>
    <cellStyle name="SAPBEXaggItemX 3" xfId="3220"/>
    <cellStyle name="SAPBEXaggItemX 3 2" xfId="3221"/>
    <cellStyle name="SAPBEXaggItemX 3 3" xfId="3222"/>
    <cellStyle name="SAPBEXaggItemX 4" xfId="3223"/>
    <cellStyle name="SAPBEXaggItemX 5" xfId="3224"/>
    <cellStyle name="SAPBEXaggItemX 6" xfId="3225"/>
    <cellStyle name="SAPBEXaggItemX 7" xfId="3226"/>
    <cellStyle name="SAPBEXaggItemX 8" xfId="3227"/>
    <cellStyle name="SAPBEXaggItemX 9" xfId="3228"/>
    <cellStyle name="SAPBEXaggItemX_1.400 Inversiones Oper ITAÚ" xfId="3229"/>
    <cellStyle name="SAPBEXchaText" xfId="3230"/>
    <cellStyle name="SAPBEXchaText 10" xfId="3231"/>
    <cellStyle name="SAPBEXchaText 11" xfId="3232"/>
    <cellStyle name="SAPBEXchaText 12" xfId="3233"/>
    <cellStyle name="SAPBEXchaText 2" xfId="3234"/>
    <cellStyle name="SAPBEXchaText 2 2" xfId="3235"/>
    <cellStyle name="SAPBEXchaText 2 2 2" xfId="3236"/>
    <cellStyle name="SAPBEXchaText 2 3" xfId="3237"/>
    <cellStyle name="SAPBEXchaText 2_20110401_SAL_Rev#1_ PTP 2011" xfId="3238"/>
    <cellStyle name="SAPBEXchaText 3" xfId="3239"/>
    <cellStyle name="SAPBEXchaText 3 2" xfId="3240"/>
    <cellStyle name="SAPBEXchaText 4" xfId="3241"/>
    <cellStyle name="SAPBEXchaText 5" xfId="3242"/>
    <cellStyle name="SAPBEXchaText 6" xfId="3243"/>
    <cellStyle name="SAPBEXchaText 7" xfId="3244"/>
    <cellStyle name="SAPBEXchaText 8" xfId="3245"/>
    <cellStyle name="SAPBEXchaText 9" xfId="3246"/>
    <cellStyle name="SAPBEXchaText_1.400 Inversiones Oper ITAÚ" xfId="3247"/>
    <cellStyle name="SAPBEXexcBad7" xfId="3248"/>
    <cellStyle name="SAPBEXexcBad7 10" xfId="3249"/>
    <cellStyle name="SAPBEXexcBad7 11" xfId="3250"/>
    <cellStyle name="SAPBEXexcBad7 12" xfId="3251"/>
    <cellStyle name="SAPBEXexcBad7 13" xfId="3252"/>
    <cellStyle name="SAPBEXexcBad7 14" xfId="3253"/>
    <cellStyle name="SAPBEXexcBad7 2" xfId="3254"/>
    <cellStyle name="SAPBEXexcBad7 2 2" xfId="3255"/>
    <cellStyle name="SAPBEXexcBad7 2 2 2" xfId="3256"/>
    <cellStyle name="SAPBEXexcBad7 2 3" xfId="3257"/>
    <cellStyle name="SAPBEXexcBad7 2_20110401_SAL_Rev#1_ PTP 2011" xfId="3258"/>
    <cellStyle name="SAPBEXexcBad7 3" xfId="3259"/>
    <cellStyle name="SAPBEXexcBad7 3 2" xfId="3260"/>
    <cellStyle name="SAPBEXexcBad7 4" xfId="3261"/>
    <cellStyle name="SAPBEXexcBad7 5" xfId="3262"/>
    <cellStyle name="SAPBEXexcBad7 6" xfId="3263"/>
    <cellStyle name="SAPBEXexcBad7 7" xfId="3264"/>
    <cellStyle name="SAPBEXexcBad7 8" xfId="3265"/>
    <cellStyle name="SAPBEXexcBad7 9" xfId="3266"/>
    <cellStyle name="SAPBEXexcBad7_1.400 Inversiones Oper ITAÚ" xfId="3267"/>
    <cellStyle name="SAPBEXexcBad8" xfId="3268"/>
    <cellStyle name="SAPBEXexcBad8 10" xfId="3269"/>
    <cellStyle name="SAPBEXexcBad8 11" xfId="3270"/>
    <cellStyle name="SAPBEXexcBad8 12" xfId="3271"/>
    <cellStyle name="SAPBEXexcBad8 13" xfId="3272"/>
    <cellStyle name="SAPBEXexcBad8 14" xfId="3273"/>
    <cellStyle name="SAPBEXexcBad8 2" xfId="3274"/>
    <cellStyle name="SAPBEXexcBad8 2 2" xfId="3275"/>
    <cellStyle name="SAPBEXexcBad8 2 2 2" xfId="3276"/>
    <cellStyle name="SAPBEXexcBad8 2 3" xfId="3277"/>
    <cellStyle name="SAPBEXexcBad8 2_20110401_SAL_Rev#1_ PTP 2011" xfId="3278"/>
    <cellStyle name="SAPBEXexcBad8 3" xfId="3279"/>
    <cellStyle name="SAPBEXexcBad8 3 2" xfId="3280"/>
    <cellStyle name="SAPBEXexcBad8 4" xfId="3281"/>
    <cellStyle name="SAPBEXexcBad8 5" xfId="3282"/>
    <cellStyle name="SAPBEXexcBad8 6" xfId="3283"/>
    <cellStyle name="SAPBEXexcBad8 7" xfId="3284"/>
    <cellStyle name="SAPBEXexcBad8 8" xfId="3285"/>
    <cellStyle name="SAPBEXexcBad8 9" xfId="3286"/>
    <cellStyle name="SAPBEXexcBad8_1.400 Inversiones Oper ITAÚ" xfId="3287"/>
    <cellStyle name="SAPBEXexcBad9" xfId="3288"/>
    <cellStyle name="SAPBEXexcBad9 10" xfId="3289"/>
    <cellStyle name="SAPBEXexcBad9 11" xfId="3290"/>
    <cellStyle name="SAPBEXexcBad9 12" xfId="3291"/>
    <cellStyle name="SAPBEXexcBad9 13" xfId="3292"/>
    <cellStyle name="SAPBEXexcBad9 14" xfId="3293"/>
    <cellStyle name="SAPBEXexcBad9 2" xfId="3294"/>
    <cellStyle name="SAPBEXexcBad9 2 2" xfId="3295"/>
    <cellStyle name="SAPBEXexcBad9 2 2 2" xfId="3296"/>
    <cellStyle name="SAPBEXexcBad9 2 3" xfId="3297"/>
    <cellStyle name="SAPBEXexcBad9 2_20110401_SAL_Rev#1_ PTP 2011" xfId="3298"/>
    <cellStyle name="SAPBEXexcBad9 3" xfId="3299"/>
    <cellStyle name="SAPBEXexcBad9 3 2" xfId="3300"/>
    <cellStyle name="SAPBEXexcBad9 4" xfId="3301"/>
    <cellStyle name="SAPBEXexcBad9 5" xfId="3302"/>
    <cellStyle name="SAPBEXexcBad9 6" xfId="3303"/>
    <cellStyle name="SAPBEXexcBad9 7" xfId="3304"/>
    <cellStyle name="SAPBEXexcBad9 8" xfId="3305"/>
    <cellStyle name="SAPBEXexcBad9 9" xfId="3306"/>
    <cellStyle name="SAPBEXexcBad9_1.400 Inversiones Oper ITAÚ" xfId="3307"/>
    <cellStyle name="SAPBEXexcCritical4" xfId="3308"/>
    <cellStyle name="SAPBEXexcCritical4 10" xfId="3309"/>
    <cellStyle name="SAPBEXexcCritical4 11" xfId="3310"/>
    <cellStyle name="SAPBEXexcCritical4 12" xfId="3311"/>
    <cellStyle name="SAPBEXexcCritical4 13" xfId="3312"/>
    <cellStyle name="SAPBEXexcCritical4 14" xfId="3313"/>
    <cellStyle name="SAPBEXexcCritical4 2" xfId="3314"/>
    <cellStyle name="SAPBEXexcCritical4 2 2" xfId="3315"/>
    <cellStyle name="SAPBEXexcCritical4 2 2 2" xfId="3316"/>
    <cellStyle name="SAPBEXexcCritical4 2 3" xfId="3317"/>
    <cellStyle name="SAPBEXexcCritical4 2_20110401_SAL_Rev#1_ PTP 2011" xfId="3318"/>
    <cellStyle name="SAPBEXexcCritical4 3" xfId="3319"/>
    <cellStyle name="SAPBEXexcCritical4 3 2" xfId="3320"/>
    <cellStyle name="SAPBEXexcCritical4 4" xfId="3321"/>
    <cellStyle name="SAPBEXexcCritical4 5" xfId="3322"/>
    <cellStyle name="SAPBEXexcCritical4 6" xfId="3323"/>
    <cellStyle name="SAPBEXexcCritical4 7" xfId="3324"/>
    <cellStyle name="SAPBEXexcCritical4 8" xfId="3325"/>
    <cellStyle name="SAPBEXexcCritical4 9" xfId="3326"/>
    <cellStyle name="SAPBEXexcCritical4_1.400 Inversiones Oper ITAÚ" xfId="3327"/>
    <cellStyle name="SAPBEXexcCritical5" xfId="3328"/>
    <cellStyle name="SAPBEXexcCritical5 10" xfId="3329"/>
    <cellStyle name="SAPBEXexcCritical5 11" xfId="3330"/>
    <cellStyle name="SAPBEXexcCritical5 12" xfId="3331"/>
    <cellStyle name="SAPBEXexcCritical5 13" xfId="3332"/>
    <cellStyle name="SAPBEXexcCritical5 14" xfId="3333"/>
    <cellStyle name="SAPBEXexcCritical5 2" xfId="3334"/>
    <cellStyle name="SAPBEXexcCritical5 2 2" xfId="3335"/>
    <cellStyle name="SAPBEXexcCritical5 2 2 2" xfId="3336"/>
    <cellStyle name="SAPBEXexcCritical5 2 3" xfId="3337"/>
    <cellStyle name="SAPBEXexcCritical5 2_20110401_SAL_Rev#1_ PTP 2011" xfId="3338"/>
    <cellStyle name="SAPBEXexcCritical5 3" xfId="3339"/>
    <cellStyle name="SAPBEXexcCritical5 3 2" xfId="3340"/>
    <cellStyle name="SAPBEXexcCritical5 4" xfId="3341"/>
    <cellStyle name="SAPBEXexcCritical5 5" xfId="3342"/>
    <cellStyle name="SAPBEXexcCritical5 6" xfId="3343"/>
    <cellStyle name="SAPBEXexcCritical5 7" xfId="3344"/>
    <cellStyle name="SAPBEXexcCritical5 8" xfId="3345"/>
    <cellStyle name="SAPBEXexcCritical5 9" xfId="3346"/>
    <cellStyle name="SAPBEXexcCritical5_1.400 Inversiones Oper ITAÚ" xfId="3347"/>
    <cellStyle name="SAPBEXexcCritical6" xfId="3348"/>
    <cellStyle name="SAPBEXexcCritical6 10" xfId="3349"/>
    <cellStyle name="SAPBEXexcCritical6 11" xfId="3350"/>
    <cellStyle name="SAPBEXexcCritical6 12" xfId="3351"/>
    <cellStyle name="SAPBEXexcCritical6 13" xfId="3352"/>
    <cellStyle name="SAPBEXexcCritical6 14" xfId="3353"/>
    <cellStyle name="SAPBEXexcCritical6 2" xfId="3354"/>
    <cellStyle name="SAPBEXexcCritical6 2 2" xfId="3355"/>
    <cellStyle name="SAPBEXexcCritical6 2 2 2" xfId="3356"/>
    <cellStyle name="SAPBEXexcCritical6 2 3" xfId="3357"/>
    <cellStyle name="SAPBEXexcCritical6 2_20110401_SAL_Rev#1_ PTP 2011" xfId="3358"/>
    <cellStyle name="SAPBEXexcCritical6 3" xfId="3359"/>
    <cellStyle name="SAPBEXexcCritical6 3 2" xfId="3360"/>
    <cellStyle name="SAPBEXexcCritical6 4" xfId="3361"/>
    <cellStyle name="SAPBEXexcCritical6 5" xfId="3362"/>
    <cellStyle name="SAPBEXexcCritical6 6" xfId="3363"/>
    <cellStyle name="SAPBEXexcCritical6 7" xfId="3364"/>
    <cellStyle name="SAPBEXexcCritical6 8" xfId="3365"/>
    <cellStyle name="SAPBEXexcCritical6 9" xfId="3366"/>
    <cellStyle name="SAPBEXexcCritical6_1.400 Inversiones Oper ITAÚ" xfId="3367"/>
    <cellStyle name="SAPBEXexcGood1" xfId="3368"/>
    <cellStyle name="SAPBEXexcGood1 10" xfId="3369"/>
    <cellStyle name="SAPBEXexcGood1 11" xfId="3370"/>
    <cellStyle name="SAPBEXexcGood1 12" xfId="3371"/>
    <cellStyle name="SAPBEXexcGood1 13" xfId="3372"/>
    <cellStyle name="SAPBEXexcGood1 14" xfId="3373"/>
    <cellStyle name="SAPBEXexcGood1 2" xfId="3374"/>
    <cellStyle name="SAPBEXexcGood1 2 2" xfId="3375"/>
    <cellStyle name="SAPBEXexcGood1 2 2 2" xfId="3376"/>
    <cellStyle name="SAPBEXexcGood1 2 3" xfId="3377"/>
    <cellStyle name="SAPBEXexcGood1 2_20110401_SAL_Rev#1_ PTP 2011" xfId="3378"/>
    <cellStyle name="SAPBEXexcGood1 3" xfId="3379"/>
    <cellStyle name="SAPBEXexcGood1 3 2" xfId="3380"/>
    <cellStyle name="SAPBEXexcGood1 4" xfId="3381"/>
    <cellStyle name="SAPBEXexcGood1 5" xfId="3382"/>
    <cellStyle name="SAPBEXexcGood1 6" xfId="3383"/>
    <cellStyle name="SAPBEXexcGood1 7" xfId="3384"/>
    <cellStyle name="SAPBEXexcGood1 8" xfId="3385"/>
    <cellStyle name="SAPBEXexcGood1 9" xfId="3386"/>
    <cellStyle name="SAPBEXexcGood1_1.400 Inversiones Oper ITAÚ" xfId="3387"/>
    <cellStyle name="SAPBEXexcGood2" xfId="3388"/>
    <cellStyle name="SAPBEXexcGood2 10" xfId="3389"/>
    <cellStyle name="SAPBEXexcGood2 11" xfId="3390"/>
    <cellStyle name="SAPBEXexcGood2 12" xfId="3391"/>
    <cellStyle name="SAPBEXexcGood2 13" xfId="3392"/>
    <cellStyle name="SAPBEXexcGood2 14" xfId="3393"/>
    <cellStyle name="SAPBEXexcGood2 2" xfId="3394"/>
    <cellStyle name="SAPBEXexcGood2 2 2" xfId="3395"/>
    <cellStyle name="SAPBEXexcGood2 2 2 2" xfId="3396"/>
    <cellStyle name="SAPBEXexcGood2 2 3" xfId="3397"/>
    <cellStyle name="SAPBEXexcGood2 2_20110401_SAL_Rev#1_ PTP 2011" xfId="3398"/>
    <cellStyle name="SAPBEXexcGood2 3" xfId="3399"/>
    <cellStyle name="SAPBEXexcGood2 3 2" xfId="3400"/>
    <cellStyle name="SAPBEXexcGood2 4" xfId="3401"/>
    <cellStyle name="SAPBEXexcGood2 5" xfId="3402"/>
    <cellStyle name="SAPBEXexcGood2 6" xfId="3403"/>
    <cellStyle name="SAPBEXexcGood2 7" xfId="3404"/>
    <cellStyle name="SAPBEXexcGood2 8" xfId="3405"/>
    <cellStyle name="SAPBEXexcGood2 9" xfId="3406"/>
    <cellStyle name="SAPBEXexcGood2_1.400 Inversiones Oper ITAÚ" xfId="3407"/>
    <cellStyle name="SAPBEXexcGood3" xfId="3408"/>
    <cellStyle name="SAPBEXexcGood3 10" xfId="3409"/>
    <cellStyle name="SAPBEXexcGood3 11" xfId="3410"/>
    <cellStyle name="SAPBEXexcGood3 12" xfId="3411"/>
    <cellStyle name="SAPBEXexcGood3 13" xfId="3412"/>
    <cellStyle name="SAPBEXexcGood3 14" xfId="3413"/>
    <cellStyle name="SAPBEXexcGood3 2" xfId="3414"/>
    <cellStyle name="SAPBEXexcGood3 2 2" xfId="3415"/>
    <cellStyle name="SAPBEXexcGood3 2 2 2" xfId="3416"/>
    <cellStyle name="SAPBEXexcGood3 2 3" xfId="3417"/>
    <cellStyle name="SAPBEXexcGood3 2_20110401_SAL_Rev#1_ PTP 2011" xfId="3418"/>
    <cellStyle name="SAPBEXexcGood3 3" xfId="3419"/>
    <cellStyle name="SAPBEXexcGood3 3 2" xfId="3420"/>
    <cellStyle name="SAPBEXexcGood3 4" xfId="3421"/>
    <cellStyle name="SAPBEXexcGood3 5" xfId="3422"/>
    <cellStyle name="SAPBEXexcGood3 6" xfId="3423"/>
    <cellStyle name="SAPBEXexcGood3 7" xfId="3424"/>
    <cellStyle name="SAPBEXexcGood3 8" xfId="3425"/>
    <cellStyle name="SAPBEXexcGood3 9" xfId="3426"/>
    <cellStyle name="SAPBEXexcGood3_1.400 Inversiones Oper ITAÚ" xfId="3427"/>
    <cellStyle name="SAPBEXfilterDrill" xfId="3428"/>
    <cellStyle name="SAPBEXfilterDrill 10" xfId="3429"/>
    <cellStyle name="SAPBEXfilterDrill 11" xfId="3430"/>
    <cellStyle name="SAPBEXfilterDrill 12" xfId="3431"/>
    <cellStyle name="SAPBEXfilterDrill 2" xfId="3432"/>
    <cellStyle name="SAPBEXfilterDrill 2 2" xfId="3433"/>
    <cellStyle name="SAPBEXfilterDrill 2 2 2" xfId="3434"/>
    <cellStyle name="SAPBEXfilterDrill 2 3" xfId="3435"/>
    <cellStyle name="SAPBEXfilterDrill 2_20110401_SAL_Rev#1_ PTP 2011" xfId="3436"/>
    <cellStyle name="SAPBEXfilterDrill 3" xfId="3437"/>
    <cellStyle name="SAPBEXfilterDrill 3 2" xfId="3438"/>
    <cellStyle name="SAPBEXfilterDrill 4" xfId="3439"/>
    <cellStyle name="SAPBEXfilterDrill 5" xfId="3440"/>
    <cellStyle name="SAPBEXfilterDrill 6" xfId="3441"/>
    <cellStyle name="SAPBEXfilterDrill 7" xfId="3442"/>
    <cellStyle name="SAPBEXfilterDrill 8" xfId="3443"/>
    <cellStyle name="SAPBEXfilterDrill 9" xfId="3444"/>
    <cellStyle name="SAPBEXfilterDrill_1.400 Inversiones Oper ITAÚ" xfId="3445"/>
    <cellStyle name="SAPBEXfilterItem" xfId="3446"/>
    <cellStyle name="SAPBEXfilterItem 10" xfId="3447"/>
    <cellStyle name="SAPBEXfilterItem 11" xfId="3448"/>
    <cellStyle name="SAPBEXfilterItem 12" xfId="3449"/>
    <cellStyle name="SAPBEXfilterItem 13" xfId="3450"/>
    <cellStyle name="SAPBEXfilterItem 14" xfId="3451"/>
    <cellStyle name="SAPBEXfilterItem 2" xfId="3452"/>
    <cellStyle name="SAPBEXfilterItem 2 2" xfId="3453"/>
    <cellStyle name="SAPBEXfilterItem 2 2 2" xfId="3454"/>
    <cellStyle name="SAPBEXfilterItem 2 3" xfId="3455"/>
    <cellStyle name="SAPBEXfilterItem 2_20110401_SAL_Rev#1_ PTP 2011" xfId="3456"/>
    <cellStyle name="SAPBEXfilterItem 3" xfId="3457"/>
    <cellStyle name="SAPBEXfilterItem 3 2" xfId="3458"/>
    <cellStyle name="SAPBEXfilterItem 4" xfId="3459"/>
    <cellStyle name="SAPBEXfilterItem 5" xfId="3460"/>
    <cellStyle name="SAPBEXfilterItem 6" xfId="3461"/>
    <cellStyle name="SAPBEXfilterItem 7" xfId="3462"/>
    <cellStyle name="SAPBEXfilterItem 8" xfId="3463"/>
    <cellStyle name="SAPBEXfilterItem 9" xfId="3464"/>
    <cellStyle name="SAPBEXfilterItem_1.400 Inversiones Oper ITAÚ" xfId="3465"/>
    <cellStyle name="SAPBEXfilterText" xfId="3466"/>
    <cellStyle name="SAPBEXfilterText 10" xfId="3467"/>
    <cellStyle name="SAPBEXfilterText 11" xfId="3468"/>
    <cellStyle name="SAPBEXfilterText 12" xfId="3469"/>
    <cellStyle name="SAPBEXfilterText 2" xfId="3470"/>
    <cellStyle name="SAPBEXfilterText 2 2" xfId="3471"/>
    <cellStyle name="SAPBEXfilterText 2 2 2" xfId="3472"/>
    <cellStyle name="SAPBEXfilterText 2 3" xfId="3473"/>
    <cellStyle name="SAPBEXfilterText 2_20110401_SAL_Rev#1_ PTP 2011" xfId="3474"/>
    <cellStyle name="SAPBEXfilterText 3" xfId="3475"/>
    <cellStyle name="SAPBEXfilterText 3 2" xfId="3476"/>
    <cellStyle name="SAPBEXfilterText 4" xfId="3477"/>
    <cellStyle name="SAPBEXfilterText 5" xfId="3478"/>
    <cellStyle name="SAPBEXfilterText 6" xfId="3479"/>
    <cellStyle name="SAPBEXfilterText 7" xfId="3480"/>
    <cellStyle name="SAPBEXfilterText 8" xfId="3481"/>
    <cellStyle name="SAPBEXfilterText 9" xfId="3482"/>
    <cellStyle name="SAPBEXfilterText_1.400 Inversiones Oper ITAÚ" xfId="3483"/>
    <cellStyle name="SAPBEXformats" xfId="3484"/>
    <cellStyle name="SAPBEXformats 10" xfId="3485"/>
    <cellStyle name="SAPBEXformats 11" xfId="3486"/>
    <cellStyle name="SAPBEXformats 12" xfId="3487"/>
    <cellStyle name="SAPBEXformats 13" xfId="3488"/>
    <cellStyle name="SAPBEXformats 14" xfId="3489"/>
    <cellStyle name="SAPBEXformats 2" xfId="3490"/>
    <cellStyle name="SAPBEXformats 2 2" xfId="3491"/>
    <cellStyle name="SAPBEXformats 2 2 2" xfId="3492"/>
    <cellStyle name="SAPBEXformats 2 3" xfId="3493"/>
    <cellStyle name="SAPBEXformats 2_20110401_SAL_Rev#1_ PTP 2011" xfId="3494"/>
    <cellStyle name="SAPBEXformats 3" xfId="3495"/>
    <cellStyle name="SAPBEXformats 3 2" xfId="3496"/>
    <cellStyle name="SAPBEXformats 4" xfId="3497"/>
    <cellStyle name="SAPBEXformats 5" xfId="3498"/>
    <cellStyle name="SAPBEXformats 6" xfId="3499"/>
    <cellStyle name="SAPBEXformats 7" xfId="3500"/>
    <cellStyle name="SAPBEXformats 8" xfId="3501"/>
    <cellStyle name="SAPBEXformats 9" xfId="3502"/>
    <cellStyle name="SAPBEXformats_1.400 Inversiones Oper ITAÚ" xfId="3503"/>
    <cellStyle name="SAPBEXheaderItem" xfId="3504"/>
    <cellStyle name="SAPBEXheaderItem 2" xfId="3505"/>
    <cellStyle name="SAPBEXheaderItem 2 2" xfId="3506"/>
    <cellStyle name="SAPBEXheaderItem 2 2 2" xfId="3507"/>
    <cellStyle name="SAPBEXheaderItem 2 3" xfId="3508"/>
    <cellStyle name="SAPBEXheaderItem 2_20110401_SAL_Rev#1_ PTP 2011" xfId="3509"/>
    <cellStyle name="SAPBEXheaderItem 3" xfId="3510"/>
    <cellStyle name="SAPBEXheaderItem 3 2" xfId="3511"/>
    <cellStyle name="SAPBEXheaderItem 4" xfId="3512"/>
    <cellStyle name="SAPBEXheaderItem 5" xfId="3513"/>
    <cellStyle name="SAPBEXheaderItem 6" xfId="3514"/>
    <cellStyle name="SAPBEXheaderItem 7" xfId="3515"/>
    <cellStyle name="SAPBEXheaderItem 8" xfId="3516"/>
    <cellStyle name="SAPBEXheaderItem_1.400 Inversiones Oper ITAÚ" xfId="3517"/>
    <cellStyle name="SAPBEXheaderText" xfId="3518"/>
    <cellStyle name="SAPBEXheaderText 10" xfId="3519"/>
    <cellStyle name="SAPBEXheaderText 11" xfId="3520"/>
    <cellStyle name="SAPBEXheaderText 12" xfId="3521"/>
    <cellStyle name="SAPBEXheaderText 13" xfId="3522"/>
    <cellStyle name="SAPBEXheaderText 2" xfId="3523"/>
    <cellStyle name="SAPBEXheaderText 2 2" xfId="3524"/>
    <cellStyle name="SAPBEXheaderText 2 2 2" xfId="3525"/>
    <cellStyle name="SAPBEXheaderText 2 3" xfId="3526"/>
    <cellStyle name="SAPBEXheaderText 2_20110401_SAL_Rev#1_ PTP 2011" xfId="3527"/>
    <cellStyle name="SAPBEXheaderText 3" xfId="3528"/>
    <cellStyle name="SAPBEXheaderText 3 2" xfId="3529"/>
    <cellStyle name="SAPBEXheaderText 4" xfId="3530"/>
    <cellStyle name="SAPBEXheaderText 5" xfId="3531"/>
    <cellStyle name="SAPBEXheaderText 6" xfId="3532"/>
    <cellStyle name="SAPBEXheaderText 7" xfId="3533"/>
    <cellStyle name="SAPBEXheaderText 8" xfId="3534"/>
    <cellStyle name="SAPBEXheaderText 9" xfId="3535"/>
    <cellStyle name="SAPBEXheaderText_1.400 Inversiones Oper ITAÚ" xfId="3536"/>
    <cellStyle name="SAPBEXHLevel0" xfId="3537"/>
    <cellStyle name="SAPBEXHLevel0 10" xfId="3538"/>
    <cellStyle name="SAPBEXHLevel0 11" xfId="3539"/>
    <cellStyle name="SAPBEXHLevel0 12" xfId="3540"/>
    <cellStyle name="SAPBEXHLevel0 2" xfId="3541"/>
    <cellStyle name="SAPBEXHLevel0 2 2" xfId="3542"/>
    <cellStyle name="SAPBEXHLevel0 2 2 2" xfId="3543"/>
    <cellStyle name="SAPBEXHLevel0 2 3" xfId="3544"/>
    <cellStyle name="SAPBEXHLevel0 2_1.400 Inversiones Oper ITAÚ" xfId="3545"/>
    <cellStyle name="SAPBEXHLevel0 3" xfId="3546"/>
    <cellStyle name="SAPBEXHLevel0 3 2" xfId="3547"/>
    <cellStyle name="SAPBEXHLevel0 3 3" xfId="3548"/>
    <cellStyle name="SAPBEXHLevel0 4" xfId="3549"/>
    <cellStyle name="SAPBEXHLevel0 5" xfId="3550"/>
    <cellStyle name="SAPBEXHLevel0 6" xfId="3551"/>
    <cellStyle name="SAPBEXHLevel0 7" xfId="3552"/>
    <cellStyle name="SAPBEXHLevel0 8" xfId="3553"/>
    <cellStyle name="SAPBEXHLevel0 9" xfId="3554"/>
    <cellStyle name="SAPBEXHLevel0_1.400 Inversiones Oper ITAÚ" xfId="3555"/>
    <cellStyle name="SAPBEXHLevel0X" xfId="3556"/>
    <cellStyle name="SAPBEXHLevel0X 10" xfId="3557"/>
    <cellStyle name="SAPBEXHLevel0X 11" xfId="3558"/>
    <cellStyle name="SAPBEXHLevel0X 12" xfId="3559"/>
    <cellStyle name="SAPBEXHLevel0X 2" xfId="3560"/>
    <cellStyle name="SAPBEXHLevel0X 2 2" xfId="3561"/>
    <cellStyle name="SAPBEXHLevel0X 2 2 2" xfId="3562"/>
    <cellStyle name="SAPBEXHLevel0X 2 3" xfId="3563"/>
    <cellStyle name="SAPBEXHLevel0X 2_1.400 Inversiones Oper ITAÚ" xfId="3564"/>
    <cellStyle name="SAPBEXHLevel0X 3" xfId="3565"/>
    <cellStyle name="SAPBEXHLevel0X 3 2" xfId="3566"/>
    <cellStyle name="SAPBEXHLevel0X 3 3" xfId="3567"/>
    <cellStyle name="SAPBEXHLevel0X 4" xfId="3568"/>
    <cellStyle name="SAPBEXHLevel0X 5" xfId="3569"/>
    <cellStyle name="SAPBEXHLevel0X 6" xfId="3570"/>
    <cellStyle name="SAPBEXHLevel0X 7" xfId="3571"/>
    <cellStyle name="SAPBEXHLevel0X 8" xfId="3572"/>
    <cellStyle name="SAPBEXHLevel0X 9" xfId="3573"/>
    <cellStyle name="SAPBEXHLevel0X_1.400 Inversiones Oper ITAÚ" xfId="3574"/>
    <cellStyle name="SAPBEXHLevel1" xfId="3575"/>
    <cellStyle name="SAPBEXHLevel1 10" xfId="3576"/>
    <cellStyle name="SAPBEXHLevel1 11" xfId="3577"/>
    <cellStyle name="SAPBEXHLevel1 12" xfId="3578"/>
    <cellStyle name="SAPBEXHLevel1 2" xfId="3579"/>
    <cellStyle name="SAPBEXHLevel1 2 2" xfId="3580"/>
    <cellStyle name="SAPBEXHLevel1 2 2 2" xfId="3581"/>
    <cellStyle name="SAPBEXHLevel1 2 3" xfId="3582"/>
    <cellStyle name="SAPBEXHLevel1 2_1.400 Inversiones Oper ITAÚ" xfId="3583"/>
    <cellStyle name="SAPBEXHLevel1 3" xfId="3584"/>
    <cellStyle name="SAPBEXHLevel1 3 2" xfId="3585"/>
    <cellStyle name="SAPBEXHLevel1 3 3" xfId="3586"/>
    <cellStyle name="SAPBEXHLevel1 4" xfId="3587"/>
    <cellStyle name="SAPBEXHLevel1 5" xfId="3588"/>
    <cellStyle name="SAPBEXHLevel1 6" xfId="3589"/>
    <cellStyle name="SAPBEXHLevel1 7" xfId="3590"/>
    <cellStyle name="SAPBEXHLevel1 8" xfId="3591"/>
    <cellStyle name="SAPBEXHLevel1 9" xfId="3592"/>
    <cellStyle name="SAPBEXHLevel1_1.400 Inversiones Oper ITAÚ" xfId="3593"/>
    <cellStyle name="SAPBEXHLevel1X" xfId="3594"/>
    <cellStyle name="SAPBEXHLevel1X 10" xfId="3595"/>
    <cellStyle name="SAPBEXHLevel1X 11" xfId="3596"/>
    <cellStyle name="SAPBEXHLevel1X 12" xfId="3597"/>
    <cellStyle name="SAPBEXHLevel1X 2" xfId="3598"/>
    <cellStyle name="SAPBEXHLevel1X 2 2" xfId="3599"/>
    <cellStyle name="SAPBEXHLevel1X 2 2 2" xfId="3600"/>
    <cellStyle name="SAPBEXHLevel1X 2 3" xfId="3601"/>
    <cellStyle name="SAPBEXHLevel1X 2_1.400 Inversiones Oper ITAÚ" xfId="3602"/>
    <cellStyle name="SAPBEXHLevel1X 3" xfId="3603"/>
    <cellStyle name="SAPBEXHLevel1X 3 2" xfId="3604"/>
    <cellStyle name="SAPBEXHLevel1X 3 3" xfId="3605"/>
    <cellStyle name="SAPBEXHLevel1X 4" xfId="3606"/>
    <cellStyle name="SAPBEXHLevel1X 5" xfId="3607"/>
    <cellStyle name="SAPBEXHLevel1X 6" xfId="3608"/>
    <cellStyle name="SAPBEXHLevel1X 7" xfId="3609"/>
    <cellStyle name="SAPBEXHLevel1X 8" xfId="3610"/>
    <cellStyle name="SAPBEXHLevel1X 9" xfId="3611"/>
    <cellStyle name="SAPBEXHLevel1X_1.400 Inversiones Oper ITAÚ" xfId="3612"/>
    <cellStyle name="SAPBEXHLevel2" xfId="3613"/>
    <cellStyle name="SAPBEXHLevel2 10" xfId="3614"/>
    <cellStyle name="SAPBEXHLevel2 11" xfId="3615"/>
    <cellStyle name="SAPBEXHLevel2 12" xfId="3616"/>
    <cellStyle name="SAPBEXHLevel2 2" xfId="3617"/>
    <cellStyle name="SAPBEXHLevel2 2 2" xfId="3618"/>
    <cellStyle name="SAPBEXHLevel2 2 2 2" xfId="3619"/>
    <cellStyle name="SAPBEXHLevel2 2 3" xfId="3620"/>
    <cellStyle name="SAPBEXHLevel2 2_1.400 Inversiones Oper ITAÚ" xfId="3621"/>
    <cellStyle name="SAPBEXHLevel2 3" xfId="3622"/>
    <cellStyle name="SAPBEXHLevel2 3 2" xfId="3623"/>
    <cellStyle name="SAPBEXHLevel2 3 3" xfId="3624"/>
    <cellStyle name="SAPBEXHLevel2 4" xfId="3625"/>
    <cellStyle name="SAPBEXHLevel2 5" xfId="3626"/>
    <cellStyle name="SAPBEXHLevel2 6" xfId="3627"/>
    <cellStyle name="SAPBEXHLevel2 7" xfId="3628"/>
    <cellStyle name="SAPBEXHLevel2 8" xfId="3629"/>
    <cellStyle name="SAPBEXHLevel2 9" xfId="3630"/>
    <cellStyle name="SAPBEXHLevel2_1.400 Inversiones Oper ITAÚ" xfId="3631"/>
    <cellStyle name="SAPBEXHLevel2X" xfId="3632"/>
    <cellStyle name="SAPBEXHLevel2X 10" xfId="3633"/>
    <cellStyle name="SAPBEXHLevel2X 11" xfId="3634"/>
    <cellStyle name="SAPBEXHLevel2X 12" xfId="3635"/>
    <cellStyle name="SAPBEXHLevel2X 2" xfId="3636"/>
    <cellStyle name="SAPBEXHLevel2X 2 2" xfId="3637"/>
    <cellStyle name="SAPBEXHLevel2X 2 2 2" xfId="3638"/>
    <cellStyle name="SAPBEXHLevel2X 2 3" xfId="3639"/>
    <cellStyle name="SAPBEXHLevel2X 2_1.400 Inversiones Oper ITAÚ" xfId="3640"/>
    <cellStyle name="SAPBEXHLevel2X 3" xfId="3641"/>
    <cellStyle name="SAPBEXHLevel2X 3 2" xfId="3642"/>
    <cellStyle name="SAPBEXHLevel2X 3 3" xfId="3643"/>
    <cellStyle name="SAPBEXHLevel2X 4" xfId="3644"/>
    <cellStyle name="SAPBEXHLevel2X 5" xfId="3645"/>
    <cellStyle name="SAPBEXHLevel2X 6" xfId="3646"/>
    <cellStyle name="SAPBEXHLevel2X 7" xfId="3647"/>
    <cellStyle name="SAPBEXHLevel2X 8" xfId="3648"/>
    <cellStyle name="SAPBEXHLevel2X 9" xfId="3649"/>
    <cellStyle name="SAPBEXHLevel2X_1.400 Inversiones Oper ITAÚ" xfId="3650"/>
    <cellStyle name="SAPBEXHLevel3" xfId="3651"/>
    <cellStyle name="SAPBEXHLevel3 10" xfId="3652"/>
    <cellStyle name="SAPBEXHLevel3 11" xfId="3653"/>
    <cellStyle name="SAPBEXHLevel3 12" xfId="3654"/>
    <cellStyle name="SAPBEXHLevel3 2" xfId="3655"/>
    <cellStyle name="SAPBEXHLevel3 2 2" xfId="3656"/>
    <cellStyle name="SAPBEXHLevel3 2 2 2" xfId="3657"/>
    <cellStyle name="SAPBEXHLevel3 2 3" xfId="3658"/>
    <cellStyle name="SAPBEXHLevel3 2_1.400 Inversiones Oper ITAÚ" xfId="3659"/>
    <cellStyle name="SAPBEXHLevel3 3" xfId="3660"/>
    <cellStyle name="SAPBEXHLevel3 3 2" xfId="3661"/>
    <cellStyle name="SAPBEXHLevel3 3 3" xfId="3662"/>
    <cellStyle name="SAPBEXHLevel3 4" xfId="3663"/>
    <cellStyle name="SAPBEXHLevel3 5" xfId="3664"/>
    <cellStyle name="SAPBEXHLevel3 6" xfId="3665"/>
    <cellStyle name="SAPBEXHLevel3 7" xfId="3666"/>
    <cellStyle name="SAPBEXHLevel3 8" xfId="3667"/>
    <cellStyle name="SAPBEXHLevel3 9" xfId="3668"/>
    <cellStyle name="SAPBEXHLevel3_1.400 Inversiones Oper ITAÚ" xfId="3669"/>
    <cellStyle name="SAPBEXHLevel3X" xfId="3670"/>
    <cellStyle name="SAPBEXHLevel3X 10" xfId="3671"/>
    <cellStyle name="SAPBEXHLevel3X 11" xfId="3672"/>
    <cellStyle name="SAPBEXHLevel3X 12" xfId="3673"/>
    <cellStyle name="SAPBEXHLevel3X 2" xfId="3674"/>
    <cellStyle name="SAPBEXHLevel3X 2 2" xfId="3675"/>
    <cellStyle name="SAPBEXHLevel3X 2 2 2" xfId="3676"/>
    <cellStyle name="SAPBEXHLevel3X 2 3" xfId="3677"/>
    <cellStyle name="SAPBEXHLevel3X 2_1.400 Inversiones Oper ITAÚ" xfId="3678"/>
    <cellStyle name="SAPBEXHLevel3X 3" xfId="3679"/>
    <cellStyle name="SAPBEXHLevel3X 3 2" xfId="3680"/>
    <cellStyle name="SAPBEXHLevel3X 3 3" xfId="3681"/>
    <cellStyle name="SAPBEXHLevel3X 4" xfId="3682"/>
    <cellStyle name="SAPBEXHLevel3X 5" xfId="3683"/>
    <cellStyle name="SAPBEXHLevel3X 6" xfId="3684"/>
    <cellStyle name="SAPBEXHLevel3X 7" xfId="3685"/>
    <cellStyle name="SAPBEXHLevel3X 8" xfId="3686"/>
    <cellStyle name="SAPBEXHLevel3X 9" xfId="3687"/>
    <cellStyle name="SAPBEXHLevel3X_1.400 Inversiones Oper ITAÚ" xfId="3688"/>
    <cellStyle name="SAPBEXinputData" xfId="3689"/>
    <cellStyle name="SAPBEXinputData 10" xfId="3690"/>
    <cellStyle name="SAPBEXinputData 11" xfId="3691"/>
    <cellStyle name="SAPBEXinputData 12" xfId="3692"/>
    <cellStyle name="SAPBEXinputData 2" xfId="3693"/>
    <cellStyle name="SAPBEXinputData 2 2" xfId="3694"/>
    <cellStyle name="SAPBEXinputData 2 2 2" xfId="3695"/>
    <cellStyle name="SAPBEXinputData 2 3" xfId="3696"/>
    <cellStyle name="SAPBEXinputData 2_1.400 Inversiones Oper ITAÚ" xfId="3697"/>
    <cellStyle name="SAPBEXinputData 3" xfId="3698"/>
    <cellStyle name="SAPBEXinputData 3 2" xfId="3699"/>
    <cellStyle name="SAPBEXinputData 3 3" xfId="3700"/>
    <cellStyle name="SAPBEXinputData 4" xfId="3701"/>
    <cellStyle name="SAPBEXinputData 5" xfId="3702"/>
    <cellStyle name="SAPBEXinputData 6" xfId="3703"/>
    <cellStyle name="SAPBEXinputData 7" xfId="3704"/>
    <cellStyle name="SAPBEXinputData 8" xfId="3705"/>
    <cellStyle name="SAPBEXinputData 9" xfId="3706"/>
    <cellStyle name="SAPBEXinputData_1.400 Inversiones Oper ITAÚ" xfId="3707"/>
    <cellStyle name="SAPBEXItemHeader" xfId="3708"/>
    <cellStyle name="SAPBEXresData" xfId="3709"/>
    <cellStyle name="SAPBEXresData 10" xfId="3710"/>
    <cellStyle name="SAPBEXresData 11" xfId="3711"/>
    <cellStyle name="SAPBEXresData 12" xfId="3712"/>
    <cellStyle name="SAPBEXresData 13" xfId="3713"/>
    <cellStyle name="SAPBEXresData 14" xfId="3714"/>
    <cellStyle name="SAPBEXresData 2" xfId="3715"/>
    <cellStyle name="SAPBEXresData 2 2" xfId="3716"/>
    <cellStyle name="SAPBEXresData 2 2 2" xfId="3717"/>
    <cellStyle name="SAPBEXresData 2 3" xfId="3718"/>
    <cellStyle name="SAPBEXresData 2_20110401_SAL_Rev#1_ PTP 2011" xfId="3719"/>
    <cellStyle name="SAPBEXresData 3" xfId="3720"/>
    <cellStyle name="SAPBEXresData 3 2" xfId="3721"/>
    <cellStyle name="SAPBEXresData 4" xfId="3722"/>
    <cellStyle name="SAPBEXresData 5" xfId="3723"/>
    <cellStyle name="SAPBEXresData 6" xfId="3724"/>
    <cellStyle name="SAPBEXresData 7" xfId="3725"/>
    <cellStyle name="SAPBEXresData 8" xfId="3726"/>
    <cellStyle name="SAPBEXresData 9" xfId="3727"/>
    <cellStyle name="SAPBEXresData_1.400 Inversiones Oper ITAÚ" xfId="3728"/>
    <cellStyle name="SAPBEXresDataEmph" xfId="3729"/>
    <cellStyle name="SAPBEXresDataEmph 10" xfId="3730"/>
    <cellStyle name="SAPBEXresDataEmph 11" xfId="3731"/>
    <cellStyle name="SAPBEXresDataEmph 12" xfId="3732"/>
    <cellStyle name="SAPBEXresDataEmph 2" xfId="3733"/>
    <cellStyle name="SAPBEXresDataEmph 2 2" xfId="3734"/>
    <cellStyle name="SAPBEXresDataEmph 2 2 2" xfId="3735"/>
    <cellStyle name="SAPBEXresDataEmph 2 3" xfId="3736"/>
    <cellStyle name="SAPBEXresDataEmph 2_20110401_SAL_Rev#1_ PTP 2011" xfId="3737"/>
    <cellStyle name="SAPBEXresDataEmph 3" xfId="3738"/>
    <cellStyle name="SAPBEXresDataEmph 3 2" xfId="3739"/>
    <cellStyle name="SAPBEXresDataEmph 4" xfId="3740"/>
    <cellStyle name="SAPBEXresDataEmph 5" xfId="3741"/>
    <cellStyle name="SAPBEXresDataEmph 6" xfId="3742"/>
    <cellStyle name="SAPBEXresDataEmph 7" xfId="3743"/>
    <cellStyle name="SAPBEXresDataEmph 8" xfId="3744"/>
    <cellStyle name="SAPBEXresDataEmph 9" xfId="3745"/>
    <cellStyle name="SAPBEXresDataEmph_1.400 Inversiones Oper ITAÚ" xfId="3746"/>
    <cellStyle name="SAPBEXresItem" xfId="3747"/>
    <cellStyle name="SAPBEXresItem 10" xfId="3748"/>
    <cellStyle name="SAPBEXresItem 11" xfId="3749"/>
    <cellStyle name="SAPBEXresItem 12" xfId="3750"/>
    <cellStyle name="SAPBEXresItem 13" xfId="3751"/>
    <cellStyle name="SAPBEXresItem 14" xfId="3752"/>
    <cellStyle name="SAPBEXresItem 2" xfId="3753"/>
    <cellStyle name="SAPBEXresItem 2 2" xfId="3754"/>
    <cellStyle name="SAPBEXresItem 2 2 2" xfId="3755"/>
    <cellStyle name="SAPBEXresItem 2 3" xfId="3756"/>
    <cellStyle name="SAPBEXresItem 2_20110401_SAL_Rev#1_ PTP 2011" xfId="3757"/>
    <cellStyle name="SAPBEXresItem 3" xfId="3758"/>
    <cellStyle name="SAPBEXresItem 3 2" xfId="3759"/>
    <cellStyle name="SAPBEXresItem 4" xfId="3760"/>
    <cellStyle name="SAPBEXresItem 5" xfId="3761"/>
    <cellStyle name="SAPBEXresItem 6" xfId="3762"/>
    <cellStyle name="SAPBEXresItem 7" xfId="3763"/>
    <cellStyle name="SAPBEXresItem 8" xfId="3764"/>
    <cellStyle name="SAPBEXresItem 9" xfId="3765"/>
    <cellStyle name="SAPBEXresItem_1.400 Inversiones Oper ITAÚ" xfId="3766"/>
    <cellStyle name="SAPBEXresItemX" xfId="3767"/>
    <cellStyle name="SAPBEXresItemX 10" xfId="3768"/>
    <cellStyle name="SAPBEXresItemX 11" xfId="3769"/>
    <cellStyle name="SAPBEXresItemX 12" xfId="3770"/>
    <cellStyle name="SAPBEXresItemX 13" xfId="3771"/>
    <cellStyle name="SAPBEXresItemX 14" xfId="3772"/>
    <cellStyle name="SAPBEXresItemX 2" xfId="3773"/>
    <cellStyle name="SAPBEXresItemX 2 2" xfId="3774"/>
    <cellStyle name="SAPBEXresItemX 2 2 2" xfId="3775"/>
    <cellStyle name="SAPBEXresItemX 2 3" xfId="3776"/>
    <cellStyle name="SAPBEXresItemX 2_20110401_SAL_Rev#1_ PTP 2011" xfId="3777"/>
    <cellStyle name="SAPBEXresItemX 3" xfId="3778"/>
    <cellStyle name="SAPBEXresItemX 3 2" xfId="3779"/>
    <cellStyle name="SAPBEXresItemX 3 3" xfId="3780"/>
    <cellStyle name="SAPBEXresItemX 4" xfId="3781"/>
    <cellStyle name="SAPBEXresItemX 5" xfId="3782"/>
    <cellStyle name="SAPBEXresItemX 6" xfId="3783"/>
    <cellStyle name="SAPBEXresItemX 7" xfId="3784"/>
    <cellStyle name="SAPBEXresItemX 8" xfId="3785"/>
    <cellStyle name="SAPBEXresItemX 9" xfId="3786"/>
    <cellStyle name="SAPBEXresItemX_1.400 Inversiones Oper ITAÚ" xfId="3787"/>
    <cellStyle name="SAPBEXstdData" xfId="3788"/>
    <cellStyle name="SAPBEXstdData 10" xfId="3789"/>
    <cellStyle name="SAPBEXstdData 11" xfId="3790"/>
    <cellStyle name="SAPBEXstdData 12" xfId="3791"/>
    <cellStyle name="SAPBEXstdData 13" xfId="3792"/>
    <cellStyle name="SAPBEXstdData 2" xfId="3793"/>
    <cellStyle name="SAPBEXstdData 2 2" xfId="3794"/>
    <cellStyle name="SAPBEXstdData 3" xfId="3795"/>
    <cellStyle name="SAPBEXstdData 4" xfId="3796"/>
    <cellStyle name="SAPBEXstdData 5" xfId="3797"/>
    <cellStyle name="SAPBEXstdData 6" xfId="3798"/>
    <cellStyle name="SAPBEXstdData 7" xfId="3799"/>
    <cellStyle name="SAPBEXstdData 8" xfId="3800"/>
    <cellStyle name="SAPBEXstdData 9" xfId="3801"/>
    <cellStyle name="SAPBEXstdData_1.400 Inversiones Oper ITAÚ" xfId="3802"/>
    <cellStyle name="SAPBEXstdDataEmph" xfId="3803"/>
    <cellStyle name="SAPBEXstdDataEmph 10" xfId="3804"/>
    <cellStyle name="SAPBEXstdDataEmph 11" xfId="3805"/>
    <cellStyle name="SAPBEXstdDataEmph 2" xfId="3806"/>
    <cellStyle name="SAPBEXstdDataEmph 2 2" xfId="3807"/>
    <cellStyle name="SAPBEXstdDataEmph 3" xfId="3808"/>
    <cellStyle name="SAPBEXstdDataEmph 4" xfId="3809"/>
    <cellStyle name="SAPBEXstdDataEmph 5" xfId="3810"/>
    <cellStyle name="SAPBEXstdDataEmph 6" xfId="3811"/>
    <cellStyle name="SAPBEXstdDataEmph 7" xfId="3812"/>
    <cellStyle name="SAPBEXstdDataEmph 8" xfId="3813"/>
    <cellStyle name="SAPBEXstdDataEmph 9" xfId="3814"/>
    <cellStyle name="SAPBEXstdDataEmph_1.400 Inversiones Oper ITAÚ" xfId="3815"/>
    <cellStyle name="SAPBEXstdItem" xfId="3816"/>
    <cellStyle name="SAPBEXstdItem 10" xfId="3817"/>
    <cellStyle name="SAPBEXstdItem 11" xfId="3818"/>
    <cellStyle name="SAPBEXstdItem 12" xfId="3819"/>
    <cellStyle name="SAPBEXstdItem 13" xfId="3820"/>
    <cellStyle name="SAPBEXstdItem 2" xfId="3821"/>
    <cellStyle name="SAPBEXstdItem 2 2" xfId="3822"/>
    <cellStyle name="SAPBEXstdItem 3" xfId="3823"/>
    <cellStyle name="SAPBEXstdItem 4" xfId="3824"/>
    <cellStyle name="SAPBEXstdItem 5" xfId="3825"/>
    <cellStyle name="SAPBEXstdItem 6" xfId="3826"/>
    <cellStyle name="SAPBEXstdItem 7" xfId="3827"/>
    <cellStyle name="SAPBEXstdItem 8" xfId="3828"/>
    <cellStyle name="SAPBEXstdItem 9" xfId="3829"/>
    <cellStyle name="SAPBEXstdItem_1.400 Inversiones Oper ITAÚ" xfId="3830"/>
    <cellStyle name="SAPBEXstdItemX" xfId="3831"/>
    <cellStyle name="SAPBEXstdItemX 10" xfId="3832"/>
    <cellStyle name="SAPBEXstdItemX 11" xfId="3833"/>
    <cellStyle name="SAPBEXstdItemX 12" xfId="3834"/>
    <cellStyle name="SAPBEXstdItemX 13" xfId="3835"/>
    <cellStyle name="SAPBEXstdItemX 14" xfId="3836"/>
    <cellStyle name="SAPBEXstdItemX 2" xfId="3837"/>
    <cellStyle name="SAPBEXstdItemX 2 2" xfId="3838"/>
    <cellStyle name="SAPBEXstdItemX 2 2 2" xfId="3839"/>
    <cellStyle name="SAPBEXstdItemX 2 3" xfId="3840"/>
    <cellStyle name="SAPBEXstdItemX 2_20110401_SAL_Rev#1_ PTP 2011" xfId="3841"/>
    <cellStyle name="SAPBEXstdItemX 3" xfId="3842"/>
    <cellStyle name="SAPBEXstdItemX 3 2" xfId="3843"/>
    <cellStyle name="SAPBEXstdItemX 3 3" xfId="3844"/>
    <cellStyle name="SAPBEXstdItemX 4" xfId="3845"/>
    <cellStyle name="SAPBEXstdItemX 5" xfId="3846"/>
    <cellStyle name="SAPBEXstdItemX 6" xfId="3847"/>
    <cellStyle name="SAPBEXstdItemX 7" xfId="3848"/>
    <cellStyle name="SAPBEXstdItemX 8" xfId="3849"/>
    <cellStyle name="SAPBEXstdItemX 9" xfId="3850"/>
    <cellStyle name="SAPBEXstdItemX_1.400 Inversiones Oper ITAÚ" xfId="3851"/>
    <cellStyle name="SAPBEXtitle" xfId="3852"/>
    <cellStyle name="SAPBEXtitle 10" xfId="3853"/>
    <cellStyle name="SAPBEXtitle 11" xfId="3854"/>
    <cellStyle name="SAPBEXtitle 12" xfId="3855"/>
    <cellStyle name="SAPBEXtitle 2" xfId="3856"/>
    <cellStyle name="SAPBEXtitle 2 2" xfId="3857"/>
    <cellStyle name="SAPBEXtitle 2 2 2" xfId="3858"/>
    <cellStyle name="SAPBEXtitle 2 3" xfId="3859"/>
    <cellStyle name="SAPBEXtitle 2_20110401_SAL_Rev#1_ PTP 2011" xfId="3860"/>
    <cellStyle name="SAPBEXtitle 3" xfId="3861"/>
    <cellStyle name="SAPBEXtitle 3 2" xfId="3862"/>
    <cellStyle name="SAPBEXtitle 4" xfId="3863"/>
    <cellStyle name="SAPBEXtitle 5" xfId="3864"/>
    <cellStyle name="SAPBEXtitle 6" xfId="3865"/>
    <cellStyle name="SAPBEXtitle 7" xfId="3866"/>
    <cellStyle name="SAPBEXtitle 8" xfId="3867"/>
    <cellStyle name="SAPBEXtitle 9" xfId="3868"/>
    <cellStyle name="SAPBEXtitle_1.400 Inversiones Oper ITAÚ" xfId="3869"/>
    <cellStyle name="SAPBEXunassignedItem" xfId="3870"/>
    <cellStyle name="SAPBEXundefined" xfId="3871"/>
    <cellStyle name="SAPBEXundefined 10" xfId="3872"/>
    <cellStyle name="SAPBEXundefined 11" xfId="3873"/>
    <cellStyle name="SAPBEXundefined 12" xfId="3874"/>
    <cellStyle name="SAPBEXundefined 2" xfId="3875"/>
    <cellStyle name="SAPBEXundefined 2 2" xfId="3876"/>
    <cellStyle name="SAPBEXundefined 2 2 2" xfId="3877"/>
    <cellStyle name="SAPBEXundefined 2 3" xfId="3878"/>
    <cellStyle name="SAPBEXundefined 2_20110401_SAL_Rev#1_ PTP 2011" xfId="3879"/>
    <cellStyle name="SAPBEXundefined 3" xfId="3880"/>
    <cellStyle name="SAPBEXundefined 3 2" xfId="3881"/>
    <cellStyle name="SAPBEXundefined 4" xfId="3882"/>
    <cellStyle name="SAPBEXundefined 5" xfId="3883"/>
    <cellStyle name="SAPBEXundefined 6" xfId="3884"/>
    <cellStyle name="SAPBEXundefined 7" xfId="3885"/>
    <cellStyle name="SAPBEXundefined 8" xfId="3886"/>
    <cellStyle name="SAPBEXundefined 9" xfId="3887"/>
    <cellStyle name="SAPBEXundefined_1.400 Inversiones Oper ITAÚ" xfId="3888"/>
    <cellStyle name="Separador de milhares 2" xfId="3889"/>
    <cellStyle name="Separador de milhares_Flujo PBR-06" xfId="3890"/>
    <cellStyle name="Sheet Title" xfId="3891"/>
    <cellStyle name="Sheet Title 2" xfId="3892"/>
    <cellStyle name="Shell" xfId="3893"/>
    <cellStyle name="Shell 2" xfId="3894"/>
    <cellStyle name="Style 1" xfId="3895"/>
    <cellStyle name="Style 1 2" xfId="3896"/>
    <cellStyle name="Style 1 3" xfId="3897"/>
    <cellStyle name="Style 1 4" xfId="3898"/>
    <cellStyle name="Style 1 5" xfId="3899"/>
    <cellStyle name="STYLE1" xfId="3900"/>
    <cellStyle name="STYLE1 2" xfId="3901"/>
    <cellStyle name="STYLE10" xfId="3902"/>
    <cellStyle name="STYLE10 2" xfId="3903"/>
    <cellStyle name="STYLE11" xfId="3904"/>
    <cellStyle name="STYLE11 2" xfId="3905"/>
    <cellStyle name="STYLE12" xfId="3906"/>
    <cellStyle name="STYLE12 2" xfId="3907"/>
    <cellStyle name="STYLE2" xfId="3908"/>
    <cellStyle name="STYLE2 2" xfId="3909"/>
    <cellStyle name="STYLE3" xfId="3910"/>
    <cellStyle name="STYLE3 2" xfId="3911"/>
    <cellStyle name="STYLE4" xfId="3912"/>
    <cellStyle name="STYLE4 2" xfId="3913"/>
    <cellStyle name="STYLE5" xfId="3914"/>
    <cellStyle name="STYLE5 2" xfId="3915"/>
    <cellStyle name="STYLE6" xfId="3916"/>
    <cellStyle name="STYLE6 2" xfId="3917"/>
    <cellStyle name="STYLE7" xfId="3918"/>
    <cellStyle name="STYLE7 2" xfId="3919"/>
    <cellStyle name="STYLE8" xfId="3920"/>
    <cellStyle name="STYLE8 2" xfId="3921"/>
    <cellStyle name="STYLE9" xfId="3922"/>
    <cellStyle name="STYLE9 2" xfId="3923"/>
    <cellStyle name="Sum" xfId="3924"/>
    <cellStyle name="Summary to GL" xfId="3925"/>
    <cellStyle name="Summary to GL 2" xfId="3926"/>
    <cellStyle name="Summary to GL 2 2" xfId="3927"/>
    <cellStyle name="Summary to GL 3" xfId="3928"/>
    <cellStyle name="Summary to GL 4" xfId="3929"/>
    <cellStyle name="Tag" xfId="3930"/>
    <cellStyle name="Texto de advertencia" xfId="3931"/>
    <cellStyle name="Texto de advertencia 10" xfId="3932"/>
    <cellStyle name="Texto de advertencia 11" xfId="3933"/>
    <cellStyle name="Texto de advertencia 12" xfId="3934"/>
    <cellStyle name="Texto de advertencia 13" xfId="3935"/>
    <cellStyle name="Texto de advertencia 14" xfId="3936"/>
    <cellStyle name="Texto de advertencia 15" xfId="4488"/>
    <cellStyle name="Texto de advertencia 2" xfId="3937"/>
    <cellStyle name="Texto de advertencia 2 2" xfId="3938"/>
    <cellStyle name="Texto de advertencia 3" xfId="3939"/>
    <cellStyle name="Texto de advertencia 3 2" xfId="3940"/>
    <cellStyle name="Texto de advertencia 4" xfId="3941"/>
    <cellStyle name="Texto de advertencia 5" xfId="3942"/>
    <cellStyle name="Texto de advertencia 6" xfId="3943"/>
    <cellStyle name="Texto de advertencia 7" xfId="3944"/>
    <cellStyle name="Texto de advertencia 8" xfId="3945"/>
    <cellStyle name="Texto de advertencia 9" xfId="3946"/>
    <cellStyle name="Texto de Aviso" xfId="3947"/>
    <cellStyle name="Texto explicativo" xfId="3948"/>
    <cellStyle name="Texto explicativo 10" xfId="3949"/>
    <cellStyle name="Texto explicativo 11" xfId="3950"/>
    <cellStyle name="Texto explicativo 12" xfId="3951"/>
    <cellStyle name="Texto explicativo 13" xfId="3952"/>
    <cellStyle name="Texto explicativo 14" xfId="3953"/>
    <cellStyle name="Texto explicativo 2" xfId="3954"/>
    <cellStyle name="Texto explicativo 2 2" xfId="3955"/>
    <cellStyle name="Texto explicativo 3" xfId="3956"/>
    <cellStyle name="Texto explicativo 3 2" xfId="3957"/>
    <cellStyle name="Texto explicativo 4" xfId="3958"/>
    <cellStyle name="Texto explicativo 5" xfId="3959"/>
    <cellStyle name="Texto explicativo 6" xfId="3960"/>
    <cellStyle name="Texto explicativo 7" xfId="3961"/>
    <cellStyle name="Texto explicativo 8" xfId="3962"/>
    <cellStyle name="Texto explicativo 9" xfId="3963"/>
    <cellStyle name="Title 2" xfId="41"/>
    <cellStyle name="Title 2 2" xfId="4489"/>
    <cellStyle name="Title 2 3" xfId="4490"/>
    <cellStyle name="Title 3" xfId="3964"/>
    <cellStyle name="Title 4" xfId="4491"/>
    <cellStyle name="Título" xfId="3965"/>
    <cellStyle name="Título 1" xfId="3966"/>
    <cellStyle name="Título 1 10" xfId="3967"/>
    <cellStyle name="Título 1 11" xfId="3968"/>
    <cellStyle name="Título 1 12" xfId="3969"/>
    <cellStyle name="Título 1 13" xfId="3970"/>
    <cellStyle name="Título 1 14" xfId="3971"/>
    <cellStyle name="Título 1 2" xfId="3972"/>
    <cellStyle name="Título 1 2 2" xfId="3973"/>
    <cellStyle name="Título 1 3" xfId="3974"/>
    <cellStyle name="Título 1 3 2" xfId="3975"/>
    <cellStyle name="Título 1 4" xfId="3976"/>
    <cellStyle name="Título 1 5" xfId="3977"/>
    <cellStyle name="Título 1 6" xfId="3978"/>
    <cellStyle name="Título 1 7" xfId="3979"/>
    <cellStyle name="Título 1 8" xfId="3980"/>
    <cellStyle name="Título 1 9" xfId="3981"/>
    <cellStyle name="Título 10" xfId="3982"/>
    <cellStyle name="Título 11" xfId="3983"/>
    <cellStyle name="Título 12" xfId="3984"/>
    <cellStyle name="Título 13" xfId="3985"/>
    <cellStyle name="Título 14" xfId="3986"/>
    <cellStyle name="Título 15" xfId="3987"/>
    <cellStyle name="Título 16" xfId="3988"/>
    <cellStyle name="Título 17" xfId="3989"/>
    <cellStyle name="Título 18" xfId="3990"/>
    <cellStyle name="Título 19" xfId="3991"/>
    <cellStyle name="Título 2" xfId="3992"/>
    <cellStyle name="Título 2 10" xfId="3993"/>
    <cellStyle name="Título 2 11" xfId="3994"/>
    <cellStyle name="Título 2 12" xfId="3995"/>
    <cellStyle name="Título 2 13" xfId="3996"/>
    <cellStyle name="Título 2 14" xfId="3997"/>
    <cellStyle name="Título 2 2" xfId="3998"/>
    <cellStyle name="Título 2 2 2" xfId="3999"/>
    <cellStyle name="Título 2 3" xfId="4000"/>
    <cellStyle name="Título 2 3 2" xfId="4001"/>
    <cellStyle name="Título 2 4" xfId="4002"/>
    <cellStyle name="Título 2 5" xfId="4003"/>
    <cellStyle name="Título 2 6" xfId="4004"/>
    <cellStyle name="Título 2 7" xfId="4005"/>
    <cellStyle name="Título 2 8" xfId="4006"/>
    <cellStyle name="Título 2 9" xfId="4007"/>
    <cellStyle name="Título 20" xfId="4008"/>
    <cellStyle name="Título 21" xfId="4009"/>
    <cellStyle name="Título 22" xfId="4010"/>
    <cellStyle name="Título 23" xfId="4011"/>
    <cellStyle name="Título 24" xfId="4012"/>
    <cellStyle name="Título 25" xfId="4013"/>
    <cellStyle name="Título 26" xfId="4014"/>
    <cellStyle name="Título 27" xfId="4015"/>
    <cellStyle name="Título 28" xfId="4016"/>
    <cellStyle name="Título 29" xfId="4017"/>
    <cellStyle name="Título 3" xfId="4018"/>
    <cellStyle name="Título 3 10" xfId="4019"/>
    <cellStyle name="Título 3 11" xfId="4020"/>
    <cellStyle name="Título 3 12" xfId="4021"/>
    <cellStyle name="Título 3 13" xfId="4022"/>
    <cellStyle name="Título 3 14" xfId="4023"/>
    <cellStyle name="Título 3 2" xfId="4024"/>
    <cellStyle name="Título 3 2 2" xfId="4025"/>
    <cellStyle name="Título 3 3" xfId="4026"/>
    <cellStyle name="Título 3 3 2" xfId="4027"/>
    <cellStyle name="Título 3 4" xfId="4028"/>
    <cellStyle name="Título 3 5" xfId="4029"/>
    <cellStyle name="Título 3 6" xfId="4030"/>
    <cellStyle name="Título 3 7" xfId="4031"/>
    <cellStyle name="Título 3 8" xfId="4032"/>
    <cellStyle name="Título 3 9" xfId="4033"/>
    <cellStyle name="Título 30" xfId="4034"/>
    <cellStyle name="Título 31" xfId="4035"/>
    <cellStyle name="Título 32" xfId="4036"/>
    <cellStyle name="Título 33" xfId="4037"/>
    <cellStyle name="Título 34" xfId="4038"/>
    <cellStyle name="Título 35" xfId="4039"/>
    <cellStyle name="Título 36" xfId="4040"/>
    <cellStyle name="Título 37" xfId="4041"/>
    <cellStyle name="Título 38" xfId="4042"/>
    <cellStyle name="Título 39" xfId="4043"/>
    <cellStyle name="Título 4" xfId="4044"/>
    <cellStyle name="Título 4 2" xfId="4045"/>
    <cellStyle name="Título 40" xfId="4046"/>
    <cellStyle name="Título 41" xfId="4047"/>
    <cellStyle name="Título 42" xfId="4048"/>
    <cellStyle name="Título 43" xfId="4049"/>
    <cellStyle name="Título 44" xfId="4050"/>
    <cellStyle name="Título 45" xfId="4051"/>
    <cellStyle name="Título 5" xfId="4052"/>
    <cellStyle name="Título 6" xfId="4053"/>
    <cellStyle name="Título 7" xfId="4054"/>
    <cellStyle name="Título 8" xfId="4055"/>
    <cellStyle name="Título 9" xfId="4056"/>
    <cellStyle name="Total 10" xfId="4057"/>
    <cellStyle name="Total 11" xfId="4058"/>
    <cellStyle name="total 11 2" xfId="4059"/>
    <cellStyle name="Total 12" xfId="4060"/>
    <cellStyle name="total 12 2" xfId="4061"/>
    <cellStyle name="Total 13" xfId="4062"/>
    <cellStyle name="total 13 2" xfId="4063"/>
    <cellStyle name="Total 14" xfId="4064"/>
    <cellStyle name="total 14 2" xfId="4065"/>
    <cellStyle name="total 15" xfId="4066"/>
    <cellStyle name="total 16" xfId="4067"/>
    <cellStyle name="total 17" xfId="4068"/>
    <cellStyle name="total 18" xfId="4069"/>
    <cellStyle name="total 19" xfId="4070"/>
    <cellStyle name="Total 2" xfId="42"/>
    <cellStyle name="Total 2 2" xfId="4072"/>
    <cellStyle name="Total 2 2 10" xfId="4073"/>
    <cellStyle name="Total 2 2 11" xfId="4492"/>
    <cellStyle name="Total 2 2 12" xfId="4493"/>
    <cellStyle name="total 2 2 2" xfId="4074"/>
    <cellStyle name="Total 2 2 3" xfId="4075"/>
    <cellStyle name="Total 2 2 4" xfId="4076"/>
    <cellStyle name="Total 2 2 5" xfId="4077"/>
    <cellStyle name="Total 2 2 6" xfId="4078"/>
    <cellStyle name="Total 2 2 7" xfId="4079"/>
    <cellStyle name="Total 2 2 8" xfId="4080"/>
    <cellStyle name="Total 2 2 9" xfId="4081"/>
    <cellStyle name="Total 2 3" xfId="4082"/>
    <cellStyle name="total 2 4" xfId="4083"/>
    <cellStyle name="total 2 5" xfId="4071"/>
    <cellStyle name="Total 2 6" xfId="4494"/>
    <cellStyle name="total 2_1.400 Inversiones Oper ITAÚ" xfId="4084"/>
    <cellStyle name="total 20" xfId="4085"/>
    <cellStyle name="total 21" xfId="4086"/>
    <cellStyle name="total 22" xfId="4087"/>
    <cellStyle name="total 23" xfId="4088"/>
    <cellStyle name="total 24" xfId="4089"/>
    <cellStyle name="total 25" xfId="4090"/>
    <cellStyle name="total 26" xfId="4091"/>
    <cellStyle name="total 27" xfId="4092"/>
    <cellStyle name="total 28" xfId="4093"/>
    <cellStyle name="total 29" xfId="4094"/>
    <cellStyle name="total 3" xfId="4095"/>
    <cellStyle name="Total 3 2" xfId="4096"/>
    <cellStyle name="total 30" xfId="4097"/>
    <cellStyle name="total 31" xfId="4098"/>
    <cellStyle name="total 32" xfId="4099"/>
    <cellStyle name="total 33" xfId="4100"/>
    <cellStyle name="total 34" xfId="4101"/>
    <cellStyle name="total 35" xfId="4102"/>
    <cellStyle name="total 36" xfId="4103"/>
    <cellStyle name="total 37" xfId="4104"/>
    <cellStyle name="total 38" xfId="4105"/>
    <cellStyle name="total 39" xfId="4106"/>
    <cellStyle name="Total 4" xfId="4107"/>
    <cellStyle name="Total 4 2" xfId="4108"/>
    <cellStyle name="total 40" xfId="4109"/>
    <cellStyle name="total 41" xfId="4110"/>
    <cellStyle name="total 42" xfId="4111"/>
    <cellStyle name="total 43" xfId="4112"/>
    <cellStyle name="total 44" xfId="4113"/>
    <cellStyle name="total 45" xfId="4114"/>
    <cellStyle name="total 46" xfId="4115"/>
    <cellStyle name="Total 5" xfId="4116"/>
    <cellStyle name="Total 5 2" xfId="4117"/>
    <cellStyle name="Total 6" xfId="4118"/>
    <cellStyle name="Total 6 2" xfId="4119"/>
    <cellStyle name="Total 7" xfId="4120"/>
    <cellStyle name="Total 7 2" xfId="4121"/>
    <cellStyle name="Total 8" xfId="4122"/>
    <cellStyle name="Total 8 2" xfId="4123"/>
    <cellStyle name="Total 9" xfId="4124"/>
    <cellStyle name="Total 9 2" xfId="4125"/>
    <cellStyle name="Total1 - Style1" xfId="4126"/>
    <cellStyle name="Total1 - Style1 2" xfId="4127"/>
    <cellStyle name="Unit Price" xfId="4128"/>
    <cellStyle name="Unit Price 2" xfId="4129"/>
    <cellStyle name="Unit Price 2 2" xfId="4130"/>
    <cellStyle name="Unit Price 3" xfId="4131"/>
    <cellStyle name="Unit Price 4" xfId="4132"/>
    <cellStyle name="Warning Text 2" xfId="43"/>
    <cellStyle name="Warning Text 2 2" xfId="4134"/>
    <cellStyle name="Warning Text 2 2 2" xfId="4135"/>
    <cellStyle name="Warning Text 2 2 3" xfId="4136"/>
    <cellStyle name="Warning Text 2 2 4" xfId="4137"/>
    <cellStyle name="Warning Text 2 2 5" xfId="4138"/>
    <cellStyle name="Warning Text 2 2 6" xfId="4495"/>
    <cellStyle name="Warning Text 2 3" xfId="4139"/>
    <cellStyle name="Warning Text 2 4" xfId="4140"/>
    <cellStyle name="Warning Text 2 5" xfId="4141"/>
    <cellStyle name="Warning Text 2 6" xfId="4133"/>
    <cellStyle name="Warning Text 3" xfId="4142"/>
    <cellStyle name="Warning Text 3 2" xfId="4143"/>
    <cellStyle name="Warning Text 3 3" xfId="4144"/>
    <cellStyle name="Warning Text 3 4" xfId="4145"/>
    <cellStyle name="Warning Text 3 5" xfId="4146"/>
    <cellStyle name="Warning Text 4" xfId="4147"/>
    <cellStyle name="Warning Text 5" xfId="4148"/>
  </cellStyles>
  <dxfs count="0"/>
  <tableStyles count="0" defaultTableStyle="TableStyleMedium2" defaultPivotStyle="PivotStyleLight16"/>
  <colors>
    <mruColors>
      <color rgb="FF0000FF"/>
      <color rgb="FFFF99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C00000"/>
                </a:solidFill>
              </a:defRPr>
            </a:pPr>
            <a:r>
              <a:rPr lang="en-US" sz="900" u="none">
                <a:solidFill>
                  <a:srgbClr val="C00000"/>
                </a:solidFill>
              </a:rPr>
              <a:t>Well Gas Production,</a:t>
            </a:r>
            <a:r>
              <a:rPr lang="en-US" sz="900" u="none" baseline="0">
                <a:solidFill>
                  <a:srgbClr val="C00000"/>
                </a:solidFill>
              </a:rPr>
              <a:t> </a:t>
            </a:r>
            <a:r>
              <a:rPr lang="en-US" sz="900" u="none">
                <a:solidFill>
                  <a:srgbClr val="C00000"/>
                </a:solidFill>
              </a:rPr>
              <a:t>MMscfd</a:t>
            </a: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5739685136760524"/>
          <c:h val="0.68887115777194519"/>
        </c:manualLayout>
      </c:layout>
      <c:scatterChart>
        <c:scatterStyle val="smoothMarker"/>
        <c:varyColors val="0"/>
        <c:ser>
          <c:idx val="0"/>
          <c:order val="0"/>
          <c:tx>
            <c:v>Monthly Prod.</c:v>
          </c:tx>
          <c:spPr>
            <a:ln w="3175" cap="rnd" cmpd="sng" algn="ctr">
              <a:solidFill>
                <a:srgbClr val="FF0000"/>
              </a:solidFill>
              <a:prstDash val="sysDash"/>
              <a:round/>
            </a:ln>
            <a:effectLst/>
            <a:extLst/>
          </c:spPr>
          <c:marker>
            <c:symbol val="circle"/>
            <c:size val="8"/>
            <c:spPr>
              <a:solidFill>
                <a:schemeClr val="accent2">
                  <a:lumMod val="20000"/>
                  <a:lumOff val="80000"/>
                </a:schemeClr>
              </a:solidFill>
              <a:ln w="3175">
                <a:solidFill>
                  <a:srgbClr val="C00000"/>
                </a:solidFill>
                <a:prstDash val="solid"/>
              </a:ln>
              <a:effectLst/>
              <a:extLst/>
            </c:spPr>
          </c:marker>
          <c:xVal>
            <c:numRef>
              <c:f>'Well Prod'!$K$36:$IP$36</c:f>
              <c:numCache>
                <c:formatCode>General</c:formatCode>
                <c:ptCount val="2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numCache>
            </c:numRef>
          </c:xVal>
          <c:yVal>
            <c:numRef>
              <c:f>'Well Prod'!$K$40:$IP$40</c:f>
              <c:numCache>
                <c:formatCode>#,##0.00</c:formatCode>
                <c:ptCount val="240"/>
                <c:pt idx="0">
                  <c:v>5</c:v>
                </c:pt>
                <c:pt idx="1">
                  <c:v>2.988071523335984</c:v>
                </c:pt>
                <c:pt idx="2">
                  <c:v>2.3312620206007844</c:v>
                </c:pt>
                <c:pt idx="3">
                  <c:v>1.976423537605237</c:v>
                </c:pt>
                <c:pt idx="4">
                  <c:v>1.7460757394239457</c:v>
                </c:pt>
                <c:pt idx="5">
                  <c:v>1.5811388300841895</c:v>
                </c:pt>
                <c:pt idx="6">
                  <c:v>1.455556274348955</c:v>
                </c:pt>
                <c:pt idx="7">
                  <c:v>1.3558153613666011</c:v>
                </c:pt>
                <c:pt idx="8">
                  <c:v>1.2741179785940637</c:v>
                </c:pt>
                <c:pt idx="9">
                  <c:v>1.2056070554260303</c:v>
                </c:pt>
                <c:pt idx="10">
                  <c:v>1.1470786693528088</c:v>
                </c:pt>
                <c:pt idx="11">
                  <c:v>1.0963225241337864</c:v>
                </c:pt>
                <c:pt idx="12">
                  <c:v>1.0517579047791781</c:v>
                </c:pt>
                <c:pt idx="13">
                  <c:v>1.0122204127236449</c:v>
                </c:pt>
                <c:pt idx="14">
                  <c:v>0.97683083145570437</c:v>
                </c:pt>
                <c:pt idx="15">
                  <c:v>0.94491118252306805</c:v>
                </c:pt>
                <c:pt idx="16">
                  <c:v>0.9159291318091396</c:v>
                </c:pt>
                <c:pt idx="17">
                  <c:v>0.88946008370602503</c:v>
                </c:pt>
                <c:pt idx="18">
                  <c:v>0.86516067525747853</c:v>
                </c:pt>
                <c:pt idx="19">
                  <c:v>0.84274982807905263</c:v>
                </c:pt>
                <c:pt idx="20">
                  <c:v>0.82199493652678646</c:v>
                </c:pt>
                <c:pt idx="21">
                  <c:v>0.80270162383491939</c:v>
                </c:pt>
                <c:pt idx="22">
                  <c:v>0.78470602571793058</c:v>
                </c:pt>
                <c:pt idx="23">
                  <c:v>0.76786889604243902</c:v>
                </c:pt>
                <c:pt idx="24">
                  <c:v>0.75207104699523353</c:v>
                </c:pt>
                <c:pt idx="25">
                  <c:v>0.73720978077448562</c:v>
                </c:pt>
                <c:pt idx="26">
                  <c:v>0.72319606767546463</c:v>
                </c:pt>
                <c:pt idx="27">
                  <c:v>0.70995229280883099</c:v>
                </c:pt>
                <c:pt idx="28">
                  <c:v>0.69741044081458836</c:v>
                </c:pt>
                <c:pt idx="29">
                  <c:v>0.68551062138385221</c:v>
                </c:pt>
                <c:pt idx="30">
                  <c:v>0.67419986246324204</c:v>
                </c:pt>
                <c:pt idx="31">
                  <c:v>0.66343111554284406</c:v>
                </c:pt>
                <c:pt idx="32">
                  <c:v>0.65316243034145516</c:v>
                </c:pt>
                <c:pt idx="33">
                  <c:v>0.64335626581872341</c:v>
                </c:pt>
                <c:pt idx="34">
                  <c:v>0.63397891167621712</c:v>
                </c:pt>
                <c:pt idx="35">
                  <c:v>0.625</c:v>
                </c:pt>
                <c:pt idx="36">
                  <c:v>0.61639209090192237</c:v>
                </c:pt>
                <c:pt idx="37">
                  <c:v>0.60813031926314987</c:v>
                </c:pt>
                <c:pt idx="38">
                  <c:v>0.60019209220917957</c:v>
                </c:pt>
                <c:pt idx="39">
                  <c:v>0.59255682892497152</c:v>
                </c:pt>
                <c:pt idx="40">
                  <c:v>0.58520573598065284</c:v>
                </c:pt>
                <c:pt idx="41">
                  <c:v>0.57812161257860029</c:v>
                </c:pt>
                <c:pt idx="42">
                  <c:v>0.5712886811237875</c:v>
                </c:pt>
                <c:pt idx="43">
                  <c:v>0.56469243931578206</c:v>
                </c:pt>
                <c:pt idx="44">
                  <c:v>0.55831953060444162</c:v>
                </c:pt>
                <c:pt idx="45">
                  <c:v>0.55215763037423271</c:v>
                </c:pt>
                <c:pt idx="46">
                  <c:v>0.54619534564896455</c:v>
                </c:pt>
                <c:pt idx="47">
                  <c:v>0.54042212645889609</c:v>
                </c:pt>
                <c:pt idx="48">
                  <c:v>0.53482818730069759</c:v>
                </c:pt>
                <c:pt idx="49">
                  <c:v>0.52940443735953346</c:v>
                </c:pt>
                <c:pt idx="50">
                  <c:v>0.52414241836095921</c:v>
                </c:pt>
                <c:pt idx="51">
                  <c:v>0.51903424908587481</c:v>
                </c:pt>
                <c:pt idx="52">
                  <c:v>0.51407257572041554</c:v>
                </c:pt>
                <c:pt idx="53">
                  <c:v>0.50925052732919407</c:v>
                </c:pt>
                <c:pt idx="54">
                  <c:v>0.50456167583859457</c:v>
                </c:pt>
                <c:pt idx="55">
                  <c:v>0.5</c:v>
                </c:pt>
                <c:pt idx="56">
                  <c:v>0.49555985287345539</c:v>
                </c:pt>
                <c:pt idx="57">
                  <c:v>0.49123593243241204</c:v>
                </c:pt>
                <c:pt idx="58">
                  <c:v>0.48702325494157866</c:v>
                </c:pt>
                <c:pt idx="59">
                  <c:v>0.48291713080390986</c:v>
                </c:pt>
                <c:pt idx="60">
                  <c:v>0.47891314261057566</c:v>
                </c:pt>
                <c:pt idx="61">
                  <c:v>0.47500712516031646</c:v>
                </c:pt>
                <c:pt idx="62">
                  <c:v>0.47119514724271078</c:v>
                </c:pt>
                <c:pt idx="63">
                  <c:v>0.46747349500422858</c:v>
                </c:pt>
                <c:pt idx="64">
                  <c:v>0.46383865673706937</c:v>
                </c:pt>
                <c:pt idx="65">
                  <c:v>0.4602873089491617</c:v>
                </c:pt>
                <c:pt idx="66">
                  <c:v>0.45681630358972042</c:v>
                </c:pt>
                <c:pt idx="67">
                  <c:v>0.45342265631875722</c:v>
                </c:pt>
                <c:pt idx="68">
                  <c:v>0.45010353572119338</c:v>
                </c:pt>
                <c:pt idx="69">
                  <c:v>0.44685625337697649</c:v>
                </c:pt>
                <c:pt idx="70">
                  <c:v>0.44367825470805694</c:v>
                </c:pt>
                <c:pt idx="71">
                  <c:v>0.44056711053140085</c:v>
                </c:pt>
                <c:pt idx="72">
                  <c:v>0.43752050925456826</c:v>
                </c:pt>
                <c:pt idx="73">
                  <c:v>0.43453624965687387</c:v>
                </c:pt>
                <c:pt idx="74">
                  <c:v>0.43161223420490546</c:v>
                </c:pt>
                <c:pt idx="75">
                  <c:v>0.42874646285627205</c:v>
                </c:pt>
                <c:pt idx="76">
                  <c:v>0.42593702730999095</c:v>
                </c:pt>
                <c:pt idx="77">
                  <c:v>0.42318210566595788</c:v>
                </c:pt>
                <c:pt idx="78">
                  <c:v>0.42047995745954025</c:v>
                </c:pt>
                <c:pt idx="79">
                  <c:v>0.41782891904054725</c:v>
                </c:pt>
                <c:pt idx="80">
                  <c:v>0.41522739926869984</c:v>
                </c:pt>
                <c:pt idx="81">
                  <c:v>0.4126738755002986</c:v>
                </c:pt>
                <c:pt idx="82">
                  <c:v>0.41016688984308958</c:v>
                </c:pt>
                <c:pt idx="83">
                  <c:v>0.40770504565840132</c:v>
                </c:pt>
                <c:pt idx="84">
                  <c:v>0.40528700429148845</c:v>
                </c:pt>
                <c:pt idx="85">
                  <c:v>0.40291148201269011</c:v>
                </c:pt>
                <c:pt idx="86">
                  <c:v>0.40057724715352822</c:v>
                </c:pt>
                <c:pt idx="87">
                  <c:v>0.39828311742322886</c:v>
                </c:pt>
                <c:pt idx="88">
                  <c:v>0.39602795739238716</c:v>
                </c:pt>
                <c:pt idx="89">
                  <c:v>0.39381067613160986</c:v>
                </c:pt>
                <c:pt idx="90">
                  <c:v>0.3916302249939787</c:v>
                </c:pt>
                <c:pt idx="91">
                  <c:v>0.38948559553109741</c:v>
                </c:pt>
                <c:pt idx="92">
                  <c:v>0.38737581753331463</c:v>
                </c:pt>
                <c:pt idx="93">
                  <c:v>0.38529995718547116</c:v>
                </c:pt>
                <c:pt idx="94">
                  <c:v>0.38325711533020995</c:v>
                </c:pt>
                <c:pt idx="95">
                  <c:v>0.38124642583151169</c:v>
                </c:pt>
                <c:pt idx="96">
                  <c:v>0.37926705403169153</c:v>
                </c:pt>
                <c:pt idx="97">
                  <c:v>0.37731819529561378</c:v>
                </c:pt>
                <c:pt idx="98">
                  <c:v>0.37539907363635694</c:v>
                </c:pt>
                <c:pt idx="99">
                  <c:v>0.373508940416998</c:v>
                </c:pt>
                <c:pt idx="100">
                  <c:v>0.37164707312358319</c:v>
                </c:pt>
                <c:pt idx="101">
                  <c:v>0.36981277420471703</c:v>
                </c:pt>
                <c:pt idx="102">
                  <c:v>0.36800536997353828</c:v>
                </c:pt>
                <c:pt idx="103">
                  <c:v>0.36622420956815477</c:v>
                </c:pt>
                <c:pt idx="104">
                  <c:v>0.36446866396689731</c:v>
                </c:pt>
                <c:pt idx="105">
                  <c:v>0.36273812505500586</c:v>
                </c:pt>
                <c:pt idx="106">
                  <c:v>0.36103200473960506</c:v>
                </c:pt>
                <c:pt idx="107">
                  <c:v>0.35934973411004312</c:v>
                </c:pt>
                <c:pt idx="108">
                  <c:v>0.35769076264087107</c:v>
                </c:pt>
                <c:pt idx="109">
                  <c:v>0.35605455743492814</c:v>
                </c:pt>
                <c:pt idx="110">
                  <c:v>0.35444060250416792</c:v>
                </c:pt>
                <c:pt idx="111">
                  <c:v>0.35284839808602292</c:v>
                </c:pt>
                <c:pt idx="112">
                  <c:v>0.3512774599932495</c:v>
                </c:pt>
                <c:pt idx="113">
                  <c:v>0.34972731899533299</c:v>
                </c:pt>
                <c:pt idx="114">
                  <c:v>0.3481975202296585</c:v>
                </c:pt>
                <c:pt idx="115">
                  <c:v>0.34668762264076824</c:v>
                </c:pt>
                <c:pt idx="116">
                  <c:v>0.34519719844613739</c:v>
                </c:pt>
                <c:pt idx="117">
                  <c:v>0.3437258326269978</c:v>
                </c:pt>
                <c:pt idx="118">
                  <c:v>0.34227312244283309</c:v>
                </c:pt>
                <c:pt idx="119">
                  <c:v>0.34083867696825737</c:v>
                </c:pt>
                <c:pt idx="120">
                  <c:v>0.33942211665106536</c:v>
                </c:pt>
                <c:pt idx="121">
                  <c:v>0.33802307289032163</c:v>
                </c:pt>
                <c:pt idx="122">
                  <c:v>0.33664118763342382</c:v>
                </c:pt>
                <c:pt idx="123">
                  <c:v>0.33527611299113758</c:v>
                </c:pt>
                <c:pt idx="124">
                  <c:v>0.33392751086966627</c:v>
                </c:pt>
                <c:pt idx="125">
                  <c:v>0.33259505261886968</c:v>
                </c:pt>
                <c:pt idx="126">
                  <c:v>0.33127841869580166</c:v>
                </c:pt>
                <c:pt idx="127">
                  <c:v>0.32997729834278416</c:v>
                </c:pt>
                <c:pt idx="128">
                  <c:v>0.32869138927928127</c:v>
                </c:pt>
                <c:pt idx="129">
                  <c:v>0.3274203974068795</c:v>
                </c:pt>
                <c:pt idx="130">
                  <c:v>0.3261640365267211</c:v>
                </c:pt>
                <c:pt idx="131">
                  <c:v>0.32492202806877268</c:v>
                </c:pt>
                <c:pt idx="132">
                  <c:v>0.32369410083234917</c:v>
                </c:pt>
                <c:pt idx="133">
                  <c:v>0.32247999073734285</c:v>
                </c:pt>
                <c:pt idx="134">
                  <c:v>0.32127944058564079</c:v>
                </c:pt>
                <c:pt idx="135">
                  <c:v>0.32009219983223997</c:v>
                </c:pt>
                <c:pt idx="136">
                  <c:v>0.31891802436559824</c:v>
                </c:pt>
                <c:pt idx="137">
                  <c:v>0.31775667629678422</c:v>
                </c:pt>
                <c:pt idx="138">
                  <c:v>0.31660792375701169</c:v>
                </c:pt>
                <c:pt idx="139">
                  <c:v>0.31547154070316796</c:v>
                </c:pt>
                <c:pt idx="140">
                  <c:v>0.31434730673096573</c:v>
                </c:pt>
                <c:pt idx="141">
                  <c:v>0.31323500689536754</c:v>
                </c:pt>
                <c:pt idx="142">
                  <c:v>0.31213443153795106</c:v>
                </c:pt>
                <c:pt idx="143">
                  <c:v>0.31104537612089966</c:v>
                </c:pt>
                <c:pt idx="144">
                  <c:v>0.30996764106732067</c:v>
                </c:pt>
                <c:pt idx="145">
                  <c:v>0.30890103160760773</c:v>
                </c:pt>
                <c:pt idx="146">
                  <c:v>0.30784535763157878</c:v>
                </c:pt>
                <c:pt idx="147">
                  <c:v>0.30680043354613495</c:v>
                </c:pt>
                <c:pt idx="148">
                  <c:v>0.30576607813819856</c:v>
                </c:pt>
                <c:pt idx="149">
                  <c:v>0.30474211444269966</c:v>
                </c:pt>
                <c:pt idx="150">
                  <c:v>0.30372836961539346</c:v>
                </c:pt>
                <c:pt idx="151">
                  <c:v>0.30272467481030169</c:v>
                </c:pt>
                <c:pt idx="152">
                  <c:v>0.30173086506157842</c:v>
                </c:pt>
                <c:pt idx="153">
                  <c:v>0.30074677916961512</c:v>
                </c:pt>
                <c:pt idx="154">
                  <c:v>0.29977225959120529</c:v>
                </c:pt>
                <c:pt idx="155">
                  <c:v>0.29880715233359839</c:v>
                </c:pt>
                <c:pt idx="156">
                  <c:v>0.29785130685228239</c:v>
                </c:pt>
                <c:pt idx="157">
                  <c:v>0.29690457595233966</c:v>
                </c:pt>
                <c:pt idx="158">
                  <c:v>0.29596681569323058</c:v>
                </c:pt>
                <c:pt idx="159">
                  <c:v>0.29503788529686437</c:v>
                </c:pt>
                <c:pt idx="160">
                  <c:v>0.29411764705882354</c:v>
                </c:pt>
                <c:pt idx="161">
                  <c:v>0.2932059662626163</c:v>
                </c:pt>
                <c:pt idx="162">
                  <c:v>0.29230271109683387</c:v>
                </c:pt>
                <c:pt idx="163">
                  <c:v>0.29140775257509804</c:v>
                </c:pt>
                <c:pt idx="164">
                  <c:v>0.29052096445868886</c:v>
                </c:pt>
                <c:pt idx="165">
                  <c:v>0.28964222318174615</c:v>
                </c:pt>
                <c:pt idx="166">
                  <c:v>0.288771407778945</c:v>
                </c:pt>
                <c:pt idx="167">
                  <c:v>0.28790839981554917</c:v>
                </c:pt>
                <c:pt idx="168">
                  <c:v>0.28705308331974955</c:v>
                </c:pt>
                <c:pt idx="169">
                  <c:v>0.28620534471720127</c:v>
                </c:pt>
                <c:pt idx="170">
                  <c:v>0.28536507276767481</c:v>
                </c:pt>
                <c:pt idx="171">
                  <c:v>0.28453215850374086</c:v>
                </c:pt>
                <c:pt idx="172">
                  <c:v>0.28370649517141283</c:v>
                </c:pt>
                <c:pt idx="173">
                  <c:v>0.28288797817267219</c:v>
                </c:pt>
                <c:pt idx="174">
                  <c:v>0.28207650500980885</c:v>
                </c:pt>
                <c:pt idx="175">
                  <c:v>0.28127197523150599</c:v>
                </c:pt>
                <c:pt idx="176">
                  <c:v>0.28047429038060862</c:v>
                </c:pt>
                <c:pt idx="177">
                  <c:v>0.27968335394351118</c:v>
                </c:pt>
                <c:pt idx="178">
                  <c:v>0.27889907130110664</c:v>
                </c:pt>
                <c:pt idx="179">
                  <c:v>0.27812134968124047</c:v>
                </c:pt>
                <c:pt idx="180">
                  <c:v>0.27735009811261457</c:v>
                </c:pt>
                <c:pt idx="181">
                  <c:v>0.27658522738008978</c:v>
                </c:pt>
                <c:pt idx="182">
                  <c:v>0.27582664998133694</c:v>
                </c:pt>
                <c:pt idx="183">
                  <c:v>0.27507428008478846</c:v>
                </c:pt>
                <c:pt idx="184">
                  <c:v>0.27432803348884471</c:v>
                </c:pt>
                <c:pt idx="185">
                  <c:v>0.27358782758229139</c:v>
                </c:pt>
                <c:pt idx="186">
                  <c:v>0.27285358130588522</c:v>
                </c:pt>
                <c:pt idx="187">
                  <c:v>0.2721252151150676</c:v>
                </c:pt>
                <c:pt idx="188">
                  <c:v>0.27140265094376781</c:v>
                </c:pt>
                <c:pt idx="189">
                  <c:v>0.27068581216925713</c:v>
                </c:pt>
                <c:pt idx="190">
                  <c:v>0.26997462357801943</c:v>
                </c:pt>
                <c:pt idx="191">
                  <c:v>0.26926901133260234</c:v>
                </c:pt>
                <c:pt idx="192">
                  <c:v>0.26856890293941688</c:v>
                </c:pt>
                <c:pt idx="193">
                  <c:v>0.26787422721745346</c:v>
                </c:pt>
                <c:pt idx="194">
                  <c:v>0.26718491426788266</c:v>
                </c:pt>
                <c:pt idx="195">
                  <c:v>0.26650089544451305</c:v>
                </c:pt>
                <c:pt idx="196">
                  <c:v>0.26582210332507589</c:v>
                </c:pt>
                <c:pt idx="197">
                  <c:v>0.26514847168331085</c:v>
                </c:pt>
                <c:pt idx="198">
                  <c:v>0.26447993546182563</c:v>
                </c:pt>
                <c:pt idx="199">
                  <c:v>0.26381643074570454</c:v>
                </c:pt>
                <c:pt idx="200">
                  <c:v>0.26315789473684209</c:v>
                </c:pt>
                <c:pt idx="201">
                  <c:v>0.26250426572897745</c:v>
                </c:pt>
                <c:pt idx="202">
                  <c:v>0.26185548308340756</c:v>
                </c:pt>
                <c:pt idx="203">
                  <c:v>0.26121148720535803</c:v>
                </c:pt>
                <c:pt idx="204">
                  <c:v>0.26057221952098908</c:v>
                </c:pt>
                <c:pt idx="205">
                  <c:v>0.25993762245501817</c:v>
                </c:pt>
                <c:pt idx="206">
                  <c:v>0.25930763940893931</c:v>
                </c:pt>
                <c:pt idx="207">
                  <c:v>0.25868221473981945</c:v>
                </c:pt>
                <c:pt idx="208">
                  <c:v>0.25806129373965592</c:v>
                </c:pt>
                <c:pt idx="209">
                  <c:v>0.25744482261527496</c:v>
                </c:pt>
                <c:pt idx="210">
                  <c:v>0.25683274846875703</c:v>
                </c:pt>
                <c:pt idx="211">
                  <c:v>0.25622501927837116</c:v>
                </c:pt>
                <c:pt idx="212">
                  <c:v>0.25562158388000317</c:v>
                </c:pt>
                <c:pt idx="213">
                  <c:v>0.25502239194906284</c:v>
                </c:pt>
                <c:pt idx="214">
                  <c:v>0.2544273939828558</c:v>
                </c:pt>
                <c:pt idx="215">
                  <c:v>0.25383654128340477</c:v>
                </c:pt>
                <c:pt idx="216">
                  <c:v>0.2532497859407089</c:v>
                </c:pt>
                <c:pt idx="217">
                  <c:v>0.25266708081642569</c:v>
                </c:pt>
                <c:pt idx="218">
                  <c:v>0.25208837952796448</c:v>
                </c:pt>
                <c:pt idx="219">
                  <c:v>0.2515136364329793</c:v>
                </c:pt>
                <c:pt idx="220">
                  <c:v>0.25094280661424778</c:v>
                </c:pt>
                <c:pt idx="221">
                  <c:v>0.25037584586492712</c:v>
                </c:pt>
                <c:pt idx="222">
                  <c:v>0.24981271067417374</c:v>
                </c:pt>
                <c:pt idx="223">
                  <c:v>0.24925335821311792</c:v>
                </c:pt>
                <c:pt idx="224">
                  <c:v>0.24869774632118211</c:v>
                </c:pt>
                <c:pt idx="225">
                  <c:v>0.24814583349273256</c:v>
                </c:pt>
                <c:pt idx="226">
                  <c:v>0.24759757886405676</c:v>
                </c:pt>
                <c:pt idx="227">
                  <c:v>0.24705294220065463</c:v>
                </c:pt>
                <c:pt idx="228">
                  <c:v>0.24651188388483655</c:v>
                </c:pt>
                <c:pt idx="229">
                  <c:v>0.24597436490361882</c:v>
                </c:pt>
                <c:pt idx="230">
                  <c:v>0.24544034683690799</c:v>
                </c:pt>
                <c:pt idx="231">
                  <c:v>0.24490979184596631</c:v>
                </c:pt>
                <c:pt idx="232">
                  <c:v>0.24438266266215022</c:v>
                </c:pt>
                <c:pt idx="233">
                  <c:v>0.24385892257591443</c:v>
                </c:pt>
                <c:pt idx="234">
                  <c:v>0.24333853542607364</c:v>
                </c:pt>
                <c:pt idx="235">
                  <c:v>0.24282146558931603</c:v>
                </c:pt>
                <c:pt idx="236">
                  <c:v>0.24230767796996031</c:v>
                </c:pt>
                <c:pt idx="237">
                  <c:v>0.24179713798995009</c:v>
                </c:pt>
                <c:pt idx="238">
                  <c:v>0.24128981157907958</c:v>
                </c:pt>
                <c:pt idx="239">
                  <c:v>0.24078566516544361</c:v>
                </c:pt>
              </c:numCache>
            </c:numRef>
          </c:yVal>
          <c:smooth val="1"/>
          <c:extLst>
            <c:ext xmlns:c16="http://schemas.microsoft.com/office/drawing/2014/chart" uri="{C3380CC4-5D6E-409C-BE32-E72D297353CC}">
              <c16:uniqueId val="{00000000-CB74-4235-BBDF-EBF36A8E0CC9}"/>
            </c:ext>
          </c:extLst>
        </c:ser>
        <c:ser>
          <c:idx val="1"/>
          <c:order val="1"/>
          <c:tx>
            <c:v>Yearly Prod.</c:v>
          </c:tx>
          <c:spPr>
            <a:ln>
              <a:noFill/>
            </a:ln>
          </c:spPr>
          <c:marker>
            <c:symbol val="circle"/>
            <c:size val="7"/>
            <c:spPr>
              <a:solidFill>
                <a:schemeClr val="accent1">
                  <a:lumMod val="20000"/>
                  <a:lumOff val="80000"/>
                </a:schemeClr>
              </a:solidFill>
              <a:ln>
                <a:solidFill>
                  <a:srgbClr val="0000FF"/>
                </a:solidFill>
              </a:ln>
            </c:spPr>
          </c:marker>
          <c:xVal>
            <c:numRef>
              <c:f>'Well Prod'!$L$55:$AE$55</c:f>
              <c:numCache>
                <c:formatCode>General</c:formatCode>
                <c:ptCount val="20"/>
                <c:pt idx="0">
                  <c:v>6</c:v>
                </c:pt>
                <c:pt idx="1">
                  <c:v>18</c:v>
                </c:pt>
                <c:pt idx="2">
                  <c:v>30</c:v>
                </c:pt>
                <c:pt idx="3">
                  <c:v>42</c:v>
                </c:pt>
                <c:pt idx="4">
                  <c:v>54</c:v>
                </c:pt>
                <c:pt idx="5">
                  <c:v>66</c:v>
                </c:pt>
                <c:pt idx="6">
                  <c:v>78</c:v>
                </c:pt>
                <c:pt idx="7">
                  <c:v>90</c:v>
                </c:pt>
                <c:pt idx="8">
                  <c:v>102</c:v>
                </c:pt>
                <c:pt idx="9">
                  <c:v>114</c:v>
                </c:pt>
                <c:pt idx="10">
                  <c:v>126</c:v>
                </c:pt>
                <c:pt idx="11">
                  <c:v>138</c:v>
                </c:pt>
                <c:pt idx="12">
                  <c:v>150</c:v>
                </c:pt>
                <c:pt idx="13">
                  <c:v>162</c:v>
                </c:pt>
                <c:pt idx="14">
                  <c:v>174</c:v>
                </c:pt>
                <c:pt idx="15">
                  <c:v>186</c:v>
                </c:pt>
                <c:pt idx="16">
                  <c:v>198</c:v>
                </c:pt>
                <c:pt idx="17">
                  <c:v>210</c:v>
                </c:pt>
                <c:pt idx="18">
                  <c:v>222</c:v>
                </c:pt>
                <c:pt idx="19">
                  <c:v>234</c:v>
                </c:pt>
              </c:numCache>
            </c:numRef>
          </c:xVal>
          <c:yVal>
            <c:numRef>
              <c:f>'Well Prod'!$L$60:$AE$60</c:f>
              <c:numCache>
                <c:formatCode>0.0;\-0.0;"--"</c:formatCode>
                <c:ptCount val="20"/>
                <c:pt idx="0">
                  <c:v>1.9258591270049308</c:v>
                </c:pt>
                <c:pt idx="1">
                  <c:v>0.88900631243690853</c:v>
                </c:pt>
                <c:pt idx="2">
                  <c:v>0.6829003022646829</c:v>
                </c:pt>
                <c:pt idx="3">
                  <c:v>0.57604495485966867</c:v>
                </c:pt>
                <c:pt idx="4">
                  <c:v>0.50754481180037436</c:v>
                </c:pt>
                <c:pt idx="5">
                  <c:v>0.45892154717422362</c:v>
                </c:pt>
                <c:pt idx="6">
                  <c:v>0.42206352148133941</c:v>
                </c:pt>
                <c:pt idx="7">
                  <c:v>0.39290279113301169</c:v>
                </c:pt>
                <c:pt idx="8">
                  <c:v>0.36901679669198162</c:v>
                </c:pt>
                <c:pt idx="9">
                  <c:v>0.3490397850767421</c:v>
                </c:pt>
                <c:pt idx="10">
                  <c:v>0.33199370266062878</c:v>
                </c:pt>
                <c:pt idx="11">
                  <c:v>0.31723943162399526</c:v>
                </c:pt>
                <c:pt idx="12">
                  <c:v>0.30426785397262401</c:v>
                </c:pt>
                <c:pt idx="13">
                  <c:v>0.29277949968509431</c:v>
                </c:pt>
                <c:pt idx="14">
                  <c:v>0.28250182874437674</c:v>
                </c:pt>
                <c:pt idx="15">
                  <c:v>0.273245200837056</c:v>
                </c:pt>
                <c:pt idx="16">
                  <c:v>0.26482627380940371</c:v>
                </c:pt>
                <c:pt idx="17">
                  <c:v>0.25714829410521561</c:v>
                </c:pt>
                <c:pt idx="18">
                  <c:v>0.25010176110664617</c:v>
                </c:pt>
                <c:pt idx="19">
                  <c:v>0.24361106919543057</c:v>
                </c:pt>
              </c:numCache>
            </c:numRef>
          </c:yVal>
          <c:smooth val="1"/>
          <c:extLst>
            <c:ext xmlns:c16="http://schemas.microsoft.com/office/drawing/2014/chart" uri="{C3380CC4-5D6E-409C-BE32-E72D297353CC}">
              <c16:uniqueId val="{00000000-BDBF-4D5A-9FC4-7174A3287957}"/>
            </c:ext>
          </c:extLst>
        </c:ser>
        <c:dLbls>
          <c:showLegendKey val="0"/>
          <c:showVal val="0"/>
          <c:showCatName val="0"/>
          <c:showSerName val="0"/>
          <c:showPercent val="0"/>
          <c:showBubbleSize val="0"/>
        </c:dLbls>
        <c:axId val="-156149312"/>
        <c:axId val="-156148224"/>
      </c:scatterChart>
      <c:valAx>
        <c:axId val="-156149312"/>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Month</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56148224"/>
        <c:crossesAt val="0"/>
        <c:crossBetween val="midCat"/>
        <c:majorUnit val="12"/>
      </c:valAx>
      <c:valAx>
        <c:axId val="-156148224"/>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56149312"/>
        <c:crossesAt val="0"/>
        <c:crossBetween val="midCat"/>
        <c:majorUnit val="1"/>
      </c:valAx>
      <c:spPr>
        <a:solidFill>
          <a:srgbClr val="FFFFFF"/>
        </a:solidFill>
        <a:ln w="25400">
          <a:noFill/>
        </a:ln>
      </c:spPr>
    </c:plotArea>
    <c:legend>
      <c:legendPos val="r"/>
      <c:layout>
        <c:manualLayout>
          <c:xMode val="edge"/>
          <c:yMode val="edge"/>
          <c:x val="0.52166825571509112"/>
          <c:y val="2.0702376991608439E-2"/>
          <c:w val="0.41074342953204573"/>
          <c:h val="9.9370078740157478E-2"/>
        </c:manualLayout>
      </c:layout>
      <c:overlay val="0"/>
      <c:txPr>
        <a:bodyPr/>
        <a:lstStyle/>
        <a:p>
          <a:pPr>
            <a:defRPr b="1"/>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chemeClr val="accent3">
                    <a:lumMod val="50000"/>
                  </a:schemeClr>
                </a:solidFill>
              </a:defRPr>
            </a:pPr>
            <a:r>
              <a:rPr lang="en-US" sz="900" u="none">
                <a:solidFill>
                  <a:schemeClr val="accent3">
                    <a:lumMod val="50000"/>
                  </a:schemeClr>
                </a:solidFill>
              </a:rPr>
              <a:t>Well Oil Production,</a:t>
            </a:r>
            <a:r>
              <a:rPr lang="en-US" sz="900" u="none" baseline="0">
                <a:solidFill>
                  <a:schemeClr val="accent3">
                    <a:lumMod val="50000"/>
                  </a:schemeClr>
                </a:solidFill>
              </a:rPr>
              <a:t> bpd</a:t>
            </a:r>
            <a:endParaRPr lang="en-US" sz="900" u="none">
              <a:solidFill>
                <a:schemeClr val="accent3">
                  <a:lumMod val="50000"/>
                </a:schemeClr>
              </a:solidFill>
            </a:endParaRP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5739685136760524"/>
          <c:h val="0.68887115777194519"/>
        </c:manualLayout>
      </c:layout>
      <c:scatterChart>
        <c:scatterStyle val="smoothMarker"/>
        <c:varyColors val="0"/>
        <c:ser>
          <c:idx val="0"/>
          <c:order val="0"/>
          <c:tx>
            <c:strRef>
              <c:f>'Well Prod'!$I$42</c:f>
              <c:strCache>
                <c:ptCount val="1"/>
                <c:pt idx="0">
                  <c:v>Oil</c:v>
                </c:pt>
              </c:strCache>
            </c:strRef>
          </c:tx>
          <c:spPr>
            <a:ln w="3175" cap="rnd" cmpd="sng" algn="ctr">
              <a:solidFill>
                <a:srgbClr val="00B050"/>
              </a:solidFill>
              <a:prstDash val="sysDash"/>
              <a:round/>
            </a:ln>
            <a:effectLst/>
            <a:extLst/>
          </c:spPr>
          <c:marker>
            <c:symbol val="square"/>
            <c:size val="7"/>
            <c:spPr>
              <a:solidFill>
                <a:srgbClr val="92D050"/>
              </a:solidFill>
              <a:ln w="3175">
                <a:solidFill>
                  <a:srgbClr val="00B050"/>
                </a:solidFill>
                <a:prstDash val="solid"/>
              </a:ln>
              <a:effectLst/>
              <a:extLst/>
            </c:spPr>
          </c:marker>
          <c:xVal>
            <c:numRef>
              <c:f>'Well Prod'!$K$36:$IP$36</c:f>
              <c:numCache>
                <c:formatCode>General</c:formatCode>
                <c:ptCount val="2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numCache>
            </c:numRef>
          </c:xVal>
          <c:yVal>
            <c:numRef>
              <c:f>'Well Prod'!$K$42:$IP$42</c:f>
              <c:numCache>
                <c:formatCode>0.0;\-0.0;"--"</c:formatCode>
                <c:ptCount val="240"/>
                <c:pt idx="0">
                  <c:v>125</c:v>
                </c:pt>
                <c:pt idx="1">
                  <c:v>74.257058012382743</c:v>
                </c:pt>
                <c:pt idx="2">
                  <c:v>57.589668729145259</c:v>
                </c:pt>
                <c:pt idx="3">
                  <c:v>48.533347922589037</c:v>
                </c:pt>
                <c:pt idx="4">
                  <c:v>42.621629859758258</c:v>
                </c:pt>
                <c:pt idx="5">
                  <c:v>38.365752516593794</c:v>
                </c:pt>
                <c:pt idx="6">
                  <c:v>35.108272368643085</c:v>
                </c:pt>
                <c:pt idx="7">
                  <c:v>32.507812788757064</c:v>
                </c:pt>
                <c:pt idx="8">
                  <c:v>30.367118582774804</c:v>
                </c:pt>
                <c:pt idx="9">
                  <c:v>28.563173896476325</c:v>
                </c:pt>
                <c:pt idx="10">
                  <c:v>27.014729824755126</c:v>
                </c:pt>
                <c:pt idx="11">
                  <c:v>25.665663920768004</c:v>
                </c:pt>
                <c:pt idx="12">
                  <c:v>24.47578854966152</c:v>
                </c:pt>
                <c:pt idx="13">
                  <c:v>23.41546251374384</c:v>
                </c:pt>
                <c:pt idx="14">
                  <c:v>22.462275507270132</c:v>
                </c:pt>
                <c:pt idx="15">
                  <c:v>21.598924247715622</c:v>
                </c:pt>
                <c:pt idx="16">
                  <c:v>20.81180492725991</c:v>
                </c:pt>
                <c:pt idx="17">
                  <c:v>20.090052832474441</c:v>
                </c:pt>
                <c:pt idx="18">
                  <c:v>19.42487032930558</c:v>
                </c:pt>
                <c:pt idx="19">
                  <c:v>18.809046131711291</c:v>
                </c:pt>
                <c:pt idx="20">
                  <c:v>18.23660463944622</c:v>
                </c:pt>
                <c:pt idx="21">
                  <c:v>17.70254568114893</c:v>
                </c:pt>
                <c:pt idx="22">
                  <c:v>17.202648334483431</c:v>
                </c:pt>
                <c:pt idx="23">
                  <c:v>16.733320966006243</c:v>
                </c:pt>
                <c:pt idx="24">
                  <c:v>16.291485141773009</c:v>
                </c:pt>
                <c:pt idx="25">
                  <c:v>15.87448471793032</c:v>
                </c:pt>
                <c:pt idx="26">
                  <c:v>15.480013896904049</c:v>
                </c:pt>
                <c:pt idx="27">
                  <c:v>15.106059740499907</c:v>
                </c:pt>
                <c:pt idx="28">
                  <c:v>14.750855824913289</c:v>
                </c:pt>
                <c:pt idx="29">
                  <c:v>14.412844570263118</c:v>
                </c:pt>
                <c:pt idx="30">
                  <c:v>14.090646387276097</c:v>
                </c:pt>
                <c:pt idx="31">
                  <c:v>13.783034228235824</c:v>
                </c:pt>
                <c:pt idx="32">
                  <c:v>13.488912456932447</c:v>
                </c:pt>
                <c:pt idx="33">
                  <c:v>13.207299196422825</c:v>
                </c:pt>
                <c:pt idx="34">
                  <c:v>12.93731149706286</c:v>
                </c:pt>
                <c:pt idx="35">
                  <c:v>12.678152806751701</c:v>
                </c:pt>
                <c:pt idx="36">
                  <c:v>12.429102332183465</c:v>
                </c:pt>
                <c:pt idx="37">
                  <c:v>12.189505962437323</c:v>
                </c:pt>
                <c:pt idx="38">
                  <c:v>11.958768490478539</c:v>
                </c:pt>
                <c:pt idx="39">
                  <c:v>11.736346918508987</c:v>
                </c:pt>
                <c:pt idx="40">
                  <c:v>11.521744672863669</c:v>
                </c:pt>
                <c:pt idx="41">
                  <c:v>11.314506585737009</c:v>
                </c:pt>
                <c:pt idx="42">
                  <c:v>11.114214526272644</c:v>
                </c:pt>
                <c:pt idx="43">
                  <c:v>10.920483583851295</c:v>
                </c:pt>
                <c:pt idx="44">
                  <c:v>10.732958722823687</c:v>
                </c:pt>
                <c:pt idx="45">
                  <c:v>10.551311841273375</c:v>
                </c:pt>
                <c:pt idx="46">
                  <c:v>10.375239177287895</c:v>
                </c:pt>
                <c:pt idx="47">
                  <c:v>10.204459015156454</c:v>
                </c:pt>
                <c:pt idx="48">
                  <c:v>10.03870965128141</c:v>
                </c:pt>
                <c:pt idx="49">
                  <c:v>9.8777475856922976</c:v>
                </c:pt>
                <c:pt idx="50">
                  <c:v>9.7213459101231408</c:v>
                </c:pt>
                <c:pt idx="51">
                  <c:v>9.5692928678475901</c:v>
                </c:pt>
                <c:pt idx="52">
                  <c:v>9.421390564013155</c:v>
                </c:pt>
                <c:pt idx="53">
                  <c:v>9.277453808198473</c:v>
                </c:pt>
                <c:pt idx="54">
                  <c:v>9.1373090734341336</c:v>
                </c:pt>
                <c:pt idx="55">
                  <c:v>9.0007935580583904</c:v>
                </c:pt>
                <c:pt idx="56">
                  <c:v>8.8677543385888065</c:v>
                </c:pt>
                <c:pt idx="57">
                  <c:v>8.738047603332868</c:v>
                </c:pt>
                <c:pt idx="58">
                  <c:v>8.6115379577783191</c:v>
                </c:pt>
                <c:pt idx="59">
                  <c:v>8.4880977939332016</c:v>
                </c:pt>
                <c:pt idx="60">
                  <c:v>8.3676067167561623</c:v>
                </c:pt>
                <c:pt idx="61">
                  <c:v>8.2499510216537804</c:v>
                </c:pt>
                <c:pt idx="62">
                  <c:v>8.1350232177442816</c:v>
                </c:pt>
                <c:pt idx="63">
                  <c:v>8.0227215922125943</c:v>
                </c:pt>
                <c:pt idx="64">
                  <c:v>7.9129498116250829</c:v>
                </c:pt>
                <c:pt idx="65">
                  <c:v>7.8056165565449502</c:v>
                </c:pt>
                <c:pt idx="66">
                  <c:v>7.7006351862015956</c:v>
                </c:pt>
                <c:pt idx="67">
                  <c:v>7.5979234303276515</c:v>
                </c:pt>
                <c:pt idx="68">
                  <c:v>7.4974031055930261</c:v>
                </c:pt>
                <c:pt idx="69">
                  <c:v>7.3989998543423772</c:v>
                </c:pt>
                <c:pt idx="70">
                  <c:v>7.302642903586098</c:v>
                </c:pt>
                <c:pt idx="71">
                  <c:v>7.2082648424096103</c:v>
                </c:pt>
                <c:pt idx="72">
                  <c:v>7.1158014161553007</c:v>
                </c:pt>
                <c:pt idx="73">
                  <c:v>7.0251913358990867</c:v>
                </c:pt>
                <c:pt idx="74">
                  <c:v>6.9363761018921197</c:v>
                </c:pt>
                <c:pt idx="75">
                  <c:v>6.8492998397699481</c:v>
                </c:pt>
                <c:pt idx="76">
                  <c:v>6.7639091484486311</c:v>
                </c:pt>
                <c:pt idx="77">
                  <c:v>6.6801529587316821</c:v>
                </c:pt>
                <c:pt idx="78">
                  <c:v>6.597982401744706</c:v>
                </c:pt>
                <c:pt idx="79">
                  <c:v>6.517350686397771</c:v>
                </c:pt>
                <c:pt idx="80">
                  <c:v>6.438212985149864</c:v>
                </c:pt>
                <c:pt idx="81">
                  <c:v>6.360526327416423</c:v>
                </c:pt>
                <c:pt idx="82">
                  <c:v>6.2842495000206471</c:v>
                </c:pt>
                <c:pt idx="83">
                  <c:v>6.2093429541429908</c:v>
                </c:pt>
                <c:pt idx="84">
                  <c:v>6.1357687182715575</c:v>
                </c:pt>
                <c:pt idx="85">
                  <c:v>6.0634903166995251</c:v>
                </c:pt>
                <c:pt idx="86">
                  <c:v>5.9924726931550669</c:v>
                </c:pt>
                <c:pt idx="87">
                  <c:v>5.9226821391845634</c:v>
                </c:pt>
                <c:pt idx="88">
                  <c:v>5.8540862269419769</c:v>
                </c:pt>
                <c:pt idx="89">
                  <c:v>5.7866537460662579</c:v>
                </c:pt>
                <c:pt idx="90">
                  <c:v>5.7203546443548685</c:v>
                </c:pt>
                <c:pt idx="91">
                  <c:v>5.6551599719654337</c:v>
                </c:pt>
                <c:pt idx="92">
                  <c:v>5.5910418288991046</c:v>
                </c:pt>
                <c:pt idx="93">
                  <c:v>5.5279733155389472</c:v>
                </c:pt>
                <c:pt idx="94">
                  <c:v>5.4659284860345947</c:v>
                </c:pt>
                <c:pt idx="95">
                  <c:v>5.4048823043406999</c:v>
                </c:pt>
                <c:pt idx="96">
                  <c:v>5.3448106027316564</c:v>
                </c:pt>
                <c:pt idx="97">
                  <c:v>5.2856900426286391</c:v>
                </c:pt>
                <c:pt idx="98">
                  <c:v>5.227498077587434</c:v>
                </c:pt>
                <c:pt idx="99">
                  <c:v>5.1702129183069285</c:v>
                </c:pt>
                <c:pt idx="100">
                  <c:v>5.1138134995285176</c:v>
                </c:pt>
                <c:pt idx="101">
                  <c:v>5.0582794487062266</c:v>
                </c:pt>
                <c:pt idx="102">
                  <c:v>5.003591056336135</c:v>
                </c:pt>
                <c:pt idx="103">
                  <c:v>4.9497292478416615</c:v>
                </c:pt>
                <c:pt idx="104">
                  <c:v>4.896675556918737</c:v>
                </c:pt>
                <c:pt idx="105">
                  <c:v>4.8444121002515956</c:v>
                </c:pt>
                <c:pt idx="106">
                  <c:v>4.7929215535162459</c:v>
                </c:pt>
                <c:pt idx="107">
                  <c:v>4.7421871285943897</c:v>
                </c:pt>
                <c:pt idx="108">
                  <c:v>4.6921925519258716</c:v>
                </c:pt>
                <c:pt idx="109">
                  <c:v>4.6429220439326864</c:v>
                </c:pt>
                <c:pt idx="110">
                  <c:v>4.5943602994520205</c:v>
                </c:pt>
                <c:pt idx="111">
                  <c:v>4.5464924691200501</c:v>
                </c:pt>
                <c:pt idx="112">
                  <c:v>4.4993041416520461</c:v>
                </c:pt>
                <c:pt idx="113">
                  <c:v>4.4527813269679202</c:v>
                </c:pt>
                <c:pt idx="114">
                  <c:v>4.4069104401156727</c:v>
                </c:pt>
                <c:pt idx="115">
                  <c:v>4.3616782859482388</c:v>
                </c:pt>
                <c:pt idx="116">
                  <c:v>4.3170720445121225</c:v>
                </c:pt>
                <c:pt idx="117">
                  <c:v>4.2730792571088116</c:v>
                </c:pt>
                <c:pt idx="118">
                  <c:v>4.2296878129924229</c:v>
                </c:pt>
                <c:pt idx="119">
                  <c:v>4.1868859366693423</c:v>
                </c:pt>
                <c:pt idx="120">
                  <c:v>4.1446621757676789</c:v>
                </c:pt>
                <c:pt idx="121">
                  <c:v>4.1030053894463894</c:v>
                </c:pt>
                <c:pt idx="122">
                  <c:v>4.0619047373157295</c:v>
                </c:pt>
                <c:pt idx="123">
                  <c:v>4.0213496688423884</c:v>
                </c:pt>
                <c:pt idx="124">
                  <c:v>3.9813299132142879</c:v>
                </c:pt>
                <c:pt idx="125">
                  <c:v>3.9418354696414881</c:v>
                </c:pt>
                <c:pt idx="126">
                  <c:v>3.9028565980710419</c:v>
                </c:pt>
                <c:pt idx="127">
                  <c:v>3.8643838102949202</c:v>
                </c:pt>
                <c:pt idx="128">
                  <c:v>3.8264078614313579</c:v>
                </c:pt>
                <c:pt idx="129">
                  <c:v>3.7889197417610849</c:v>
                </c:pt>
                <c:pt idx="130">
                  <c:v>3.7519106689009751</c:v>
                </c:pt>
                <c:pt idx="131">
                  <c:v>3.7153720802986228</c:v>
                </c:pt>
                <c:pt idx="132">
                  <c:v>3.6792956260322938</c:v>
                </c:pt>
                <c:pt idx="133">
                  <c:v>3.6436731619015608</c:v>
                </c:pt>
                <c:pt idx="134">
                  <c:v>3.6084967427947454</c:v>
                </c:pt>
                <c:pt idx="135">
                  <c:v>3.5737586163200468</c:v>
                </c:pt>
                <c:pt idx="136">
                  <c:v>3.5394512166879637</c:v>
                </c:pt>
                <c:pt idx="137">
                  <c:v>3.5055671588332742</c:v>
                </c:pt>
                <c:pt idx="138">
                  <c:v>3.4720992327654754</c:v>
                </c:pt>
                <c:pt idx="139">
                  <c:v>3.4390403981371747</c:v>
                </c:pt>
                <c:pt idx="140">
                  <c:v>3.406383779020481</c:v>
                </c:pt>
                <c:pt idx="141">
                  <c:v>3.3741226588819662</c:v>
                </c:pt>
                <c:pt idx="142">
                  <c:v>3.3422504757472655</c:v>
                </c:pt>
                <c:pt idx="143">
                  <c:v>3.3107608175468273</c:v>
                </c:pt>
                <c:pt idx="144">
                  <c:v>3.2796474176347967</c:v>
                </c:pt>
                <c:pt idx="145">
                  <c:v>3.2489041504733875</c:v>
                </c:pt>
                <c:pt idx="146">
                  <c:v>3.218525027475506</c:v>
                </c:pt>
                <c:pt idx="147">
                  <c:v>3.1885041929987614</c:v>
                </c:pt>
                <c:pt idx="148">
                  <c:v>3.1588359204843171</c:v>
                </c:pt>
                <c:pt idx="149">
                  <c:v>3.1295146087343828</c:v>
                </c:pt>
                <c:pt idx="150">
                  <c:v>3.100534778322444</c:v>
                </c:pt>
                <c:pt idx="151">
                  <c:v>3.0718910681306308</c:v>
                </c:pt>
                <c:pt idx="152">
                  <c:v>3.0435782320088589</c:v>
                </c:pt>
                <c:pt idx="153">
                  <c:v>3.0155911355506935</c:v>
                </c:pt>
                <c:pt idx="154">
                  <c:v>2.9879247529810877</c:v>
                </c:pt>
                <c:pt idx="155">
                  <c:v>2.9605741641513825</c:v>
                </c:pt>
                <c:pt idx="156">
                  <c:v>2.9335345516372024</c:v>
                </c:pt>
                <c:pt idx="157">
                  <c:v>2.9068011979350432</c:v>
                </c:pt>
                <c:pt idx="158">
                  <c:v>2.8803694827535917</c:v>
                </c:pt>
                <c:pt idx="159">
                  <c:v>2.8542348803959592</c:v>
                </c:pt>
                <c:pt idx="160">
                  <c:v>2.8283929572292164</c:v>
                </c:pt>
                <c:pt idx="161">
                  <c:v>2.8028393692377764</c:v>
                </c:pt>
                <c:pt idx="162">
                  <c:v>2.7775698596573184</c:v>
                </c:pt>
                <c:pt idx="163">
                  <c:v>2.7525802566861053</c:v>
                </c:pt>
                <c:pt idx="164">
                  <c:v>2.7278664712706928</c:v>
                </c:pt>
                <c:pt idx="165">
                  <c:v>2.703424494963159</c:v>
                </c:pt>
                <c:pt idx="166">
                  <c:v>2.6792503978470985</c:v>
                </c:pt>
                <c:pt idx="167">
                  <c:v>2.6553403265297773</c:v>
                </c:pt>
                <c:pt idx="168">
                  <c:v>2.63169050219792</c:v>
                </c:pt>
                <c:pt idx="169">
                  <c:v>2.6082972187347493</c:v>
                </c:pt>
                <c:pt idx="170">
                  <c:v>2.5851568408959782</c:v>
                </c:pt>
                <c:pt idx="171">
                  <c:v>2.5622658025425529</c:v>
                </c:pt>
                <c:pt idx="172">
                  <c:v>2.5396206049280647</c:v>
                </c:pt>
                <c:pt idx="173">
                  <c:v>2.5172178150387978</c:v>
                </c:pt>
                <c:pt idx="174">
                  <c:v>2.495054063984512</c:v>
                </c:pt>
                <c:pt idx="175">
                  <c:v>2.4731260454380903</c:v>
                </c:pt>
                <c:pt idx="176">
                  <c:v>2.4514305141223156</c:v>
                </c:pt>
                <c:pt idx="177">
                  <c:v>2.4299642843420584</c:v>
                </c:pt>
                <c:pt idx="178">
                  <c:v>2.4087242285602604</c:v>
                </c:pt>
                <c:pt idx="179">
                  <c:v>2.3877072760161715</c:v>
                </c:pt>
                <c:pt idx="180">
                  <c:v>2.3669104113843265</c:v>
                </c:pt>
                <c:pt idx="181">
                  <c:v>2.34633067347285</c:v>
                </c:pt>
                <c:pt idx="182">
                  <c:v>2.3259651539597099</c:v>
                </c:pt>
                <c:pt idx="183">
                  <c:v>2.305810996165595</c:v>
                </c:pt>
                <c:pt idx="184">
                  <c:v>2.2858653938621645</c:v>
                </c:pt>
                <c:pt idx="185">
                  <c:v>2.2661255901144486</c:v>
                </c:pt>
                <c:pt idx="186">
                  <c:v>2.246588876156236</c:v>
                </c:pt>
                <c:pt idx="187">
                  <c:v>2.2272525902973235</c:v>
                </c:pt>
                <c:pt idx="188">
                  <c:v>2.2081141168615659</c:v>
                </c:pt>
                <c:pt idx="189">
                  <c:v>2.1891708851546725</c:v>
                </c:pt>
                <c:pt idx="190">
                  <c:v>2.1704203684607735</c:v>
                </c:pt>
                <c:pt idx="191">
                  <c:v>2.1518600830667913</c:v>
                </c:pt>
                <c:pt idx="192">
                  <c:v>2.1334875873137014</c:v>
                </c:pt>
                <c:pt idx="193">
                  <c:v>2.1153004806738021</c:v>
                </c:pt>
                <c:pt idx="194">
                  <c:v>2.0972964028531313</c:v>
                </c:pt>
                <c:pt idx="195">
                  <c:v>2.079473032918234</c:v>
                </c:pt>
                <c:pt idx="196">
                  <c:v>2.0618280884464681</c:v>
                </c:pt>
                <c:pt idx="197">
                  <c:v>2.0443593246991112</c:v>
                </c:pt>
                <c:pt idx="198">
                  <c:v>2.0270645338165276</c:v>
                </c:pt>
                <c:pt idx="199">
                  <c:v>2.0099415440346973</c:v>
                </c:pt>
                <c:pt idx="200">
                  <c:v>1.9929882189224315</c:v>
                </c:pt>
                <c:pt idx="201">
                  <c:v>1.9762024566386203</c:v>
                </c:pt>
                <c:pt idx="202">
                  <c:v>1.9595821892088814</c:v>
                </c:pt>
                <c:pt idx="203">
                  <c:v>1.9431253818210181</c:v>
                </c:pt>
                <c:pt idx="204">
                  <c:v>1.9268300321386833</c:v>
                </c:pt>
                <c:pt idx="205">
                  <c:v>1.9106941696327047</c:v>
                </c:pt>
                <c:pt idx="206">
                  <c:v>1.8947158549295224</c:v>
                </c:pt>
                <c:pt idx="207">
                  <c:v>1.8788931791762096</c:v>
                </c:pt>
                <c:pt idx="208">
                  <c:v>1.8632242634215859</c:v>
                </c:pt>
                <c:pt idx="209">
                  <c:v>1.8477072580129212</c:v>
                </c:pt>
                <c:pt idx="210">
                  <c:v>1.8323403420077735</c:v>
                </c:pt>
                <c:pt idx="211">
                  <c:v>1.8171217226004994</c:v>
                </c:pt>
                <c:pt idx="212">
                  <c:v>1.8020496345630022</c:v>
                </c:pt>
                <c:pt idx="213">
                  <c:v>1.7871223396992941</c:v>
                </c:pt>
                <c:pt idx="214">
                  <c:v>1.7723381263134723</c:v>
                </c:pt>
                <c:pt idx="215">
                  <c:v>1.7576953086906966</c:v>
                </c:pt>
                <c:pt idx="216">
                  <c:v>1.7431922265908135</c:v>
                </c:pt>
                <c:pt idx="217">
                  <c:v>1.7288272447542357</c:v>
                </c:pt>
                <c:pt idx="218">
                  <c:v>1.7145987524197346</c:v>
                </c:pt>
                <c:pt idx="219">
                  <c:v>1.7005051628538044</c:v>
                </c:pt>
                <c:pt idx="220">
                  <c:v>1.686544912891252</c:v>
                </c:pt>
                <c:pt idx="221">
                  <c:v>1.6727164624867117</c:v>
                </c:pt>
                <c:pt idx="222">
                  <c:v>1.6590182942767551</c:v>
                </c:pt>
                <c:pt idx="223">
                  <c:v>1.6454489131523111</c:v>
                </c:pt>
                <c:pt idx="224">
                  <c:v>1.6320068458410992</c:v>
                </c:pt>
                <c:pt idx="225">
                  <c:v>1.6186906404997921</c:v>
                </c:pt>
                <c:pt idx="226">
                  <c:v>1.6054988663156473</c:v>
                </c:pt>
                <c:pt idx="227">
                  <c:v>1.5924301131173337</c:v>
                </c:pt>
                <c:pt idx="228">
                  <c:v>1.5794829909947024</c:v>
                </c:pt>
                <c:pt idx="229">
                  <c:v>1.5666561299272612</c:v>
                </c:pt>
                <c:pt idx="230">
                  <c:v>1.5539481794211061</c:v>
                </c:pt>
                <c:pt idx="231">
                  <c:v>1.541357808154084</c:v>
                </c:pt>
                <c:pt idx="232">
                  <c:v>1.5288837036289633</c:v>
                </c:pt>
                <c:pt idx="233">
                  <c:v>1.5165245718343952</c:v>
                </c:pt>
                <c:pt idx="234">
                  <c:v>1.5042791369134525</c:v>
                </c:pt>
                <c:pt idx="235">
                  <c:v>1.4921461408395522</c:v>
                </c:pt>
                <c:pt idx="236">
                  <c:v>1.4801243430995561</c:v>
                </c:pt>
                <c:pt idx="237">
                  <c:v>1.4682125203838599</c:v>
                </c:pt>
                <c:pt idx="238">
                  <c:v>1.4564094662832945</c:v>
                </c:pt>
                <c:pt idx="239">
                  <c:v>1.4447139909926487</c:v>
                </c:pt>
              </c:numCache>
            </c:numRef>
          </c:yVal>
          <c:smooth val="1"/>
          <c:extLst>
            <c:ext xmlns:c16="http://schemas.microsoft.com/office/drawing/2014/chart" uri="{C3380CC4-5D6E-409C-BE32-E72D297353CC}">
              <c16:uniqueId val="{00000000-CA4A-44B0-90C4-EEC2EE306EDF}"/>
            </c:ext>
          </c:extLst>
        </c:ser>
        <c:dLbls>
          <c:showLegendKey val="0"/>
          <c:showVal val="0"/>
          <c:showCatName val="0"/>
          <c:showSerName val="0"/>
          <c:showPercent val="0"/>
          <c:showBubbleSize val="0"/>
        </c:dLbls>
        <c:axId val="-156149312"/>
        <c:axId val="-156148224"/>
      </c:scatterChart>
      <c:valAx>
        <c:axId val="-156149312"/>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Month</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56148224"/>
        <c:crossesAt val="0"/>
        <c:crossBetween val="midCat"/>
        <c:majorUnit val="12"/>
      </c:valAx>
      <c:valAx>
        <c:axId val="-156148224"/>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56149312"/>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chemeClr val="accent3">
                    <a:lumMod val="50000"/>
                  </a:schemeClr>
                </a:solidFill>
              </a:defRPr>
            </a:pPr>
            <a:r>
              <a:rPr lang="en-US" sz="900" u="none">
                <a:solidFill>
                  <a:schemeClr val="accent3">
                    <a:lumMod val="50000"/>
                  </a:schemeClr>
                </a:solidFill>
              </a:rPr>
              <a:t>CGR, bbl/MMscfd</a:t>
            </a: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5739685136760524"/>
          <c:h val="0.68887115777194519"/>
        </c:manualLayout>
      </c:layout>
      <c:scatterChart>
        <c:scatterStyle val="smoothMarker"/>
        <c:varyColors val="0"/>
        <c:ser>
          <c:idx val="0"/>
          <c:order val="0"/>
          <c:tx>
            <c:strRef>
              <c:f>'Well Prod'!$I$42</c:f>
              <c:strCache>
                <c:ptCount val="1"/>
                <c:pt idx="0">
                  <c:v>Oil</c:v>
                </c:pt>
              </c:strCache>
            </c:strRef>
          </c:tx>
          <c:spPr>
            <a:ln w="3175" cap="rnd" cmpd="sng" algn="ctr">
              <a:solidFill>
                <a:srgbClr val="00B050"/>
              </a:solidFill>
              <a:prstDash val="sysDash"/>
              <a:round/>
            </a:ln>
            <a:effectLst/>
            <a:extLst/>
          </c:spPr>
          <c:marker>
            <c:symbol val="square"/>
            <c:size val="5"/>
            <c:spPr>
              <a:solidFill>
                <a:schemeClr val="accent3">
                  <a:lumMod val="20000"/>
                  <a:lumOff val="80000"/>
                </a:schemeClr>
              </a:solidFill>
              <a:ln w="3175">
                <a:solidFill>
                  <a:srgbClr val="92D050"/>
                </a:solidFill>
                <a:prstDash val="solid"/>
              </a:ln>
              <a:effectLst/>
              <a:extLst/>
            </c:spPr>
          </c:marker>
          <c:xVal>
            <c:numRef>
              <c:f>'Well Prod'!$K$36:$IP$36</c:f>
              <c:numCache>
                <c:formatCode>General</c:formatCode>
                <c:ptCount val="2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numCache>
            </c:numRef>
          </c:xVal>
          <c:yVal>
            <c:numRef>
              <c:f>'Well Prod'!$K$46:$IP$46</c:f>
              <c:numCache>
                <c:formatCode>0.0;\-0.0;"--"</c:formatCode>
                <c:ptCount val="240"/>
                <c:pt idx="0">
                  <c:v>25</c:v>
                </c:pt>
                <c:pt idx="1">
                  <c:v>24.851164850793015</c:v>
                </c:pt>
                <c:pt idx="2">
                  <c:v>24.703215777651607</c:v>
                </c:pt>
                <c:pt idx="3">
                  <c:v>24.556147505405239</c:v>
                </c:pt>
                <c:pt idx="4">
                  <c:v>24.409954790288605</c:v>
                </c:pt>
                <c:pt idx="5">
                  <c:v>24.264632419754669</c:v>
                </c:pt>
                <c:pt idx="6">
                  <c:v>24.120175212288789</c:v>
                </c:pt>
                <c:pt idx="7">
                  <c:v>23.976578017224004</c:v>
                </c:pt>
                <c:pt idx="8">
                  <c:v>23.833835714557342</c:v>
                </c:pt>
                <c:pt idx="9">
                  <c:v>23.691943214767303</c:v>
                </c:pt>
                <c:pt idx="10">
                  <c:v>23.550895458632368</c:v>
                </c:pt>
                <c:pt idx="11">
                  <c:v>23.410687417050617</c:v>
                </c:pt>
                <c:pt idx="12">
                  <c:v>23.271314090860422</c:v>
                </c:pt>
                <c:pt idx="13">
                  <c:v>23.132770510662187</c:v>
                </c:pt>
                <c:pt idx="14">
                  <c:v>22.99505173664117</c:v>
                </c:pt>
                <c:pt idx="15">
                  <c:v>22.858152858391353</c:v>
                </c:pt>
                <c:pt idx="16">
                  <c:v>22.722068994740365</c:v>
                </c:pt>
                <c:pt idx="17">
                  <c:v>22.586795293575417</c:v>
                </c:pt>
                <c:pt idx="18">
                  <c:v>22.452326931670338</c:v>
                </c:pt>
                <c:pt idx="19">
                  <c:v>22.318659114513569</c:v>
                </c:pt>
                <c:pt idx="20">
                  <c:v>22.185787076137228</c:v>
                </c:pt>
                <c:pt idx="21">
                  <c:v>22.053706078947176</c:v>
                </c:pt>
                <c:pt idx="22">
                  <c:v>21.922411413554091</c:v>
                </c:pt>
                <c:pt idx="23">
                  <c:v>21.791898398605557</c:v>
                </c:pt>
                <c:pt idx="24">
                  <c:v>21.662162380619154</c:v>
                </c:pt>
                <c:pt idx="25">
                  <c:v>21.533198733816537</c:v>
                </c:pt>
                <c:pt idx="26">
                  <c:v>21.405002859958483</c:v>
                </c:pt>
                <c:pt idx="27">
                  <c:v>21.277570188180967</c:v>
                </c:pt>
                <c:pt idx="28">
                  <c:v>21.150896174832162</c:v>
                </c:pt>
                <c:pt idx="29">
                  <c:v>21.024976303310456</c:v>
                </c:pt>
                <c:pt idx="30">
                  <c:v>20.899806083903393</c:v>
                </c:pt>
                <c:pt idx="31">
                  <c:v>20.775381053627598</c:v>
                </c:pt>
                <c:pt idx="32">
                  <c:v>20.651696776069649</c:v>
                </c:pt>
                <c:pt idx="33">
                  <c:v>20.528748841227898</c:v>
                </c:pt>
                <c:pt idx="34">
                  <c:v>20.406532865355221</c:v>
                </c:pt>
                <c:pt idx="35">
                  <c:v>20.285044490802722</c:v>
                </c:pt>
                <c:pt idx="36">
                  <c:v>20.164279385864361</c:v>
                </c:pt>
                <c:pt idx="37">
                  <c:v>20.0442332446225</c:v>
                </c:pt>
                <c:pt idx="38">
                  <c:v>19.924901786794379</c:v>
                </c:pt>
                <c:pt idx="39">
                  <c:v>19.806280757579493</c:v>
                </c:pt>
                <c:pt idx="40">
                  <c:v>19.688365927507899</c:v>
                </c:pt>
                <c:pt idx="41">
                  <c:v>19.571153092289403</c:v>
                </c:pt>
                <c:pt idx="42">
                  <c:v>19.454638072663656</c:v>
                </c:pt>
                <c:pt idx="43">
                  <c:v>19.338816714251141</c:v>
                </c:pt>
                <c:pt idx="44">
                  <c:v>19.223684887405053</c:v>
                </c:pt>
                <c:pt idx="45">
                  <c:v>19.109238487064051</c:v>
                </c:pt>
                <c:pt idx="46">
                  <c:v>18.995473432605888</c:v>
                </c:pt>
                <c:pt idx="47">
                  <c:v>18.882385667701918</c:v>
                </c:pt>
                <c:pt idx="48">
                  <c:v>18.769971160172464</c:v>
                </c:pt>
                <c:pt idx="49">
                  <c:v>18.658225901843057</c:v>
                </c:pt>
                <c:pt idx="50">
                  <c:v>18.547145908401518</c:v>
                </c:pt>
                <c:pt idx="51">
                  <c:v>18.436727219255889</c:v>
                </c:pt>
                <c:pt idx="52">
                  <c:v>18.326965897393229</c:v>
                </c:pt>
                <c:pt idx="53">
                  <c:v>18.217858029239235</c:v>
                </c:pt>
                <c:pt idx="54">
                  <c:v>18.109399724518692</c:v>
                </c:pt>
                <c:pt idx="55">
                  <c:v>18.001587116116781</c:v>
                </c:pt>
                <c:pt idx="56">
                  <c:v>17.894416359941186</c:v>
                </c:pt>
                <c:pt idx="57">
                  <c:v>17.787883634785032</c:v>
                </c:pt>
                <c:pt idx="58">
                  <c:v>17.681985142190641</c:v>
                </c:pt>
                <c:pt idx="59">
                  <c:v>17.576717106314092</c:v>
                </c:pt>
                <c:pt idx="60">
                  <c:v>17.4720757737906</c:v>
                </c:pt>
                <c:pt idx="61">
                  <c:v>17.368057413600681</c:v>
                </c:pt>
                <c:pt idx="62">
                  <c:v>17.26465831693713</c:v>
                </c:pt>
                <c:pt idx="63">
                  <c:v>17.16187479707277</c:v>
                </c:pt>
                <c:pt idx="64">
                  <c:v>17.059703189229012</c:v>
                </c:pt>
                <c:pt idx="65">
                  <c:v>16.958139850445178</c:v>
                </c:pt>
                <c:pt idx="66">
                  <c:v>16.857181159448619</c:v>
                </c:pt>
                <c:pt idx="67">
                  <c:v>16.756823516525589</c:v>
                </c:pt>
                <c:pt idx="68">
                  <c:v>16.657063343392899</c:v>
                </c:pt>
                <c:pt idx="69">
                  <c:v>16.557897083070333</c:v>
                </c:pt>
                <c:pt idx="70">
                  <c:v>16.459321199753823</c:v>
                </c:pt>
                <c:pt idx="71">
                  <c:v>16.361332178689381</c:v>
                </c:pt>
                <c:pt idx="72">
                  <c:v>16.263926526047769</c:v>
                </c:pt>
                <c:pt idx="73">
                  <c:v>16.167100768799937</c:v>
                </c:pt>
                <c:pt idx="74">
                  <c:v>16.070851454593186</c:v>
                </c:pt>
                <c:pt idx="75">
                  <c:v>15.975175151628079</c:v>
                </c:pt>
                <c:pt idx="76">
                  <c:v>15.880068448536065</c:v>
                </c:pt>
                <c:pt idx="77">
                  <c:v>15.785527954257862</c:v>
                </c:pt>
                <c:pt idx="78">
                  <c:v>15.691550297922541</c:v>
                </c:pt>
                <c:pt idx="79">
                  <c:v>15.598132128727331</c:v>
                </c:pt>
                <c:pt idx="80">
                  <c:v>15.505270115818153</c:v>
                </c:pt>
                <c:pt idx="81">
                  <c:v>15.412960948170854</c:v>
                </c:pt>
                <c:pt idx="82">
                  <c:v>15.321201334473153</c:v>
                </c:pt>
                <c:pt idx="83">
                  <c:v>15.229988003007287</c:v>
                </c:pt>
                <c:pt idx="84">
                  <c:v>15.13931770153336</c:v>
                </c:pt>
                <c:pt idx="85">
                  <c:v>15.049187197173371</c:v>
                </c:pt>
                <c:pt idx="86">
                  <c:v>14.959593276295964</c:v>
                </c:pt>
                <c:pt idx="87">
                  <c:v>14.87053274440183</c:v>
                </c:pt>
                <c:pt idx="88">
                  <c:v>14.782002426009811</c:v>
                </c:pt>
                <c:pt idx="89">
                  <c:v>14.693999164543682</c:v>
                </c:pt>
                <c:pt idx="90">
                  <c:v>14.606519822219592</c:v>
                </c:pt>
                <c:pt idx="91">
                  <c:v>14.519561279934198</c:v>
                </c:pt>
                <c:pt idx="92">
                  <c:v>14.433120437153438</c:v>
                </c:pt>
                <c:pt idx="93">
                  <c:v>14.347194211801993</c:v>
                </c:pt>
                <c:pt idx="94">
                  <c:v>14.261779540153386</c:v>
                </c:pt>
                <c:pt idx="95">
                  <c:v>14.176873376720749</c:v>
                </c:pt>
                <c:pt idx="96">
                  <c:v>14.092472694148237</c:v>
                </c:pt>
                <c:pt idx="97">
                  <c:v>14.008574483103079</c:v>
                </c:pt>
                <c:pt idx="98">
                  <c:v>13.925175752168284</c:v>
                </c:pt>
                <c:pt idx="99">
                  <c:v>13.842273527735985</c:v>
                </c:pt>
                <c:pt idx="100">
                  <c:v>13.759864853901405</c:v>
                </c:pt>
                <c:pt idx="101">
                  <c:v>13.677946792357471</c:v>
                </c:pt>
                <c:pt idx="102">
                  <c:v>13.596516422290039</c:v>
                </c:pt>
                <c:pt idx="103">
                  <c:v>13.515570840273766</c:v>
                </c:pt>
                <c:pt idx="104">
                  <c:v>13.435107160168577</c:v>
                </c:pt>
                <c:pt idx="105">
                  <c:v>13.355122513016754</c:v>
                </c:pt>
                <c:pt idx="106">
                  <c:v>13.275614046940655</c:v>
                </c:pt>
                <c:pt idx="107">
                  <c:v>13.196578927041022</c:v>
                </c:pt>
                <c:pt idx="108">
                  <c:v>13.118014335295905</c:v>
                </c:pt>
                <c:pt idx="109">
                  <c:v>13.039917470460178</c:v>
                </c:pt>
                <c:pt idx="110">
                  <c:v>12.962285547965671</c:v>
                </c:pt>
                <c:pt idx="111">
                  <c:v>12.885115799821868</c:v>
                </c:pt>
                <c:pt idx="112">
                  <c:v>12.808405474517235</c:v>
                </c:pt>
                <c:pt idx="113">
                  <c:v>12.7321518369211</c:v>
                </c:pt>
                <c:pt idx="114">
                  <c:v>12.656352168186132</c:v>
                </c:pt>
                <c:pt idx="115">
                  <c:v>12.581003765651406</c:v>
                </c:pt>
                <c:pt idx="116">
                  <c:v>12.50610394274603</c:v>
                </c:pt>
                <c:pt idx="117">
                  <c:v>12.43165002889336</c:v>
                </c:pt>
                <c:pt idx="118">
                  <c:v>12.357639369415782</c:v>
                </c:pt>
                <c:pt idx="119">
                  <c:v>12.284069325440056</c:v>
                </c:pt>
                <c:pt idx="120">
                  <c:v>12.210937273803221</c:v>
                </c:pt>
                <c:pt idx="121">
                  <c:v>12.138240606959075</c:v>
                </c:pt>
                <c:pt idx="122">
                  <c:v>12.06597673288519</c:v>
                </c:pt>
                <c:pt idx="123">
                  <c:v>11.994143074990509</c:v>
                </c:pt>
                <c:pt idx="124">
                  <c:v>11.922737072023462</c:v>
                </c:pt>
                <c:pt idx="125">
                  <c:v>11.851756177980651</c:v>
                </c:pt>
                <c:pt idx="126">
                  <c:v>11.781197862016066</c:v>
                </c:pt>
                <c:pt idx="127">
                  <c:v>11.711059608350858</c:v>
                </c:pt>
                <c:pt idx="128">
                  <c:v>11.641338916183624</c:v>
                </c:pt>
                <c:pt idx="129">
                  <c:v>11.572033299601252</c:v>
                </c:pt>
                <c:pt idx="130">
                  <c:v>11.503140287490275</c:v>
                </c:pt>
                <c:pt idx="131">
                  <c:v>11.434657423448774</c:v>
                </c:pt>
                <c:pt idx="132">
                  <c:v>11.366582265698783</c:v>
                </c:pt>
                <c:pt idx="133">
                  <c:v>11.298912386999232</c:v>
                </c:pt>
                <c:pt idx="134">
                  <c:v>11.231645374559404</c:v>
                </c:pt>
                <c:pt idx="135">
                  <c:v>11.164778829952903</c:v>
                </c:pt>
                <c:pt idx="136">
                  <c:v>11.09831036903214</c:v>
                </c:pt>
                <c:pt idx="137">
                  <c:v>11.032237621843326</c:v>
                </c:pt>
                <c:pt idx="138">
                  <c:v>10.966558232541965</c:v>
                </c:pt>
                <c:pt idx="139">
                  <c:v>10.901269859308865</c:v>
                </c:pt>
                <c:pt idx="140">
                  <c:v>10.83637017426663</c:v>
                </c:pt>
                <c:pt idx="141">
                  <c:v>10.771856863396664</c:v>
                </c:pt>
                <c:pt idx="142">
                  <c:v>10.707727626456666</c:v>
                </c:pt>
                <c:pt idx="143">
                  <c:v>10.643980176898607</c:v>
                </c:pt>
                <c:pt idx="144">
                  <c:v>10.580612241787209</c:v>
                </c:pt>
                <c:pt idx="145">
                  <c:v>10.517621561718903</c:v>
                </c:pt>
                <c:pt idx="146">
                  <c:v>10.45500589074126</c:v>
                </c:pt>
                <c:pt idx="147">
                  <c:v>10.392762996272923</c:v>
                </c:pt>
                <c:pt idx="148">
                  <c:v>10.330890659023996</c:v>
                </c:pt>
                <c:pt idx="149">
                  <c:v>10.269386672916919</c:v>
                </c:pt>
                <c:pt idx="150">
                  <c:v>10.208248845007805</c:v>
                </c:pt>
                <c:pt idx="151">
                  <c:v>10.147474995408253</c:v>
                </c:pt>
                <c:pt idx="152">
                  <c:v>10.087062957207621</c:v>
                </c:pt>
                <c:pt idx="153">
                  <c:v>10.027010576395769</c:v>
                </c:pt>
                <c:pt idx="154">
                  <c:v>9.9673157117862523</c:v>
                </c:pt>
                <c:pt idx="155">
                  <c:v>9.9079762349399783</c:v>
                </c:pt>
                <c:pt idx="156">
                  <c:v>9.8489900300893147</c:v>
                </c:pt>
                <c:pt idx="157">
                  <c:v>9.7903549940626551</c:v>
                </c:pt>
                <c:pt idx="158">
                  <c:v>9.7320690362094275</c:v>
                </c:pt>
                <c:pt idx="159">
                  <c:v>9.6741300783255504</c:v>
                </c:pt>
                <c:pt idx="160">
                  <c:v>9.6165360545793348</c:v>
                </c:pt>
                <c:pt idx="161">
                  <c:v>9.5592849114378264</c:v>
                </c:pt>
                <c:pt idx="162">
                  <c:v>9.5023746075935875</c:v>
                </c:pt>
                <c:pt idx="163">
                  <c:v>9.4458031138919125</c:v>
                </c:pt>
                <c:pt idx="164">
                  <c:v>9.3895684132584751</c:v>
                </c:pt>
                <c:pt idx="165">
                  <c:v>9.3336685006274127</c:v>
                </c:pt>
                <c:pt idx="166">
                  <c:v>9.2781013828698349</c:v>
                </c:pt>
                <c:pt idx="167">
                  <c:v>9.2228650787227551</c:v>
                </c:pt>
                <c:pt idx="168">
                  <c:v>9.1679576187184502</c:v>
                </c:pt>
                <c:pt idx="169">
                  <c:v>9.1133770451142375</c:v>
                </c:pt>
                <c:pt idx="170">
                  <c:v>9.0591214118226731</c:v>
                </c:pt>
                <c:pt idx="171">
                  <c:v>9.0051887843421596</c:v>
                </c:pt>
                <c:pt idx="172">
                  <c:v>8.9515772396879729</c:v>
                </c:pt>
                <c:pt idx="173">
                  <c:v>8.8982848663236993</c:v>
                </c:pt>
                <c:pt idx="174">
                  <c:v>8.8453097640930771</c:v>
                </c:pt>
                <c:pt idx="175">
                  <c:v>8.7926500441522446</c:v>
                </c:pt>
                <c:pt idx="176">
                  <c:v>8.7403038289023947</c:v>
                </c:pt>
                <c:pt idx="177">
                  <c:v>8.6882692519228311</c:v>
                </c:pt>
                <c:pt idx="178">
                  <c:v>8.6365444579044137</c:v>
                </c:pt>
                <c:pt idx="179">
                  <c:v>8.5851276025834142</c:v>
                </c:pt>
                <c:pt idx="180">
                  <c:v>8.5340168526757534</c:v>
                </c:pt>
                <c:pt idx="181">
                  <c:v>8.4832103858116348</c:v>
                </c:pt>
                <c:pt idx="182">
                  <c:v>8.4327063904705728</c:v>
                </c:pt>
                <c:pt idx="183">
                  <c:v>8.3825030659167972</c:v>
                </c:pt>
                <c:pt idx="184">
                  <c:v>8.3325986221350465</c:v>
                </c:pt>
                <c:pt idx="185">
                  <c:v>8.2829912797667493</c:v>
                </c:pt>
                <c:pt idx="186">
                  <c:v>8.2336792700465793</c:v>
                </c:pt>
                <c:pt idx="187">
                  <c:v>8.1846608347393843</c:v>
                </c:pt>
                <c:pt idx="188">
                  <c:v>8.1359342260775023</c:v>
                </c:pt>
                <c:pt idx="189">
                  <c:v>8.0874977066984428</c:v>
                </c:pt>
                <c:pt idx="190">
                  <c:v>8.039349549582937</c:v>
                </c:pt>
                <c:pt idx="191">
                  <c:v>7.9914880379933644</c:v>
                </c:pt>
                <c:pt idx="192">
                  <c:v>7.9439114654125405</c:v>
                </c:pt>
                <c:pt idx="193">
                  <c:v>7.8966181354828704</c:v>
                </c:pt>
                <c:pt idx="194">
                  <c:v>7.8496063619458614</c:v>
                </c:pt>
                <c:pt idx="195">
                  <c:v>7.8028744685820079</c:v>
                </c:pt>
                <c:pt idx="196">
                  <c:v>7.7564207891510168</c:v>
                </c:pt>
                <c:pt idx="197">
                  <c:v>7.7102436673323984</c:v>
                </c:pt>
                <c:pt idx="198">
                  <c:v>7.6643414566664134</c:v>
                </c:pt>
                <c:pt idx="199">
                  <c:v>7.6187125204953636</c:v>
                </c:pt>
                <c:pt idx="200">
                  <c:v>7.5733552319052402</c:v>
                </c:pt>
                <c:pt idx="201">
                  <c:v>7.5282679736677141</c:v>
                </c:pt>
                <c:pt idx="202">
                  <c:v>7.4834491381824728</c:v>
                </c:pt>
                <c:pt idx="203">
                  <c:v>7.4388971274199012</c:v>
                </c:pt>
                <c:pt idx="204">
                  <c:v>7.3946103528641016</c:v>
                </c:pt>
                <c:pt idx="205">
                  <c:v>7.3505872354562589</c:v>
                </c:pt>
                <c:pt idx="206">
                  <c:v>7.306826205538334</c:v>
                </c:pt>
                <c:pt idx="207">
                  <c:v>7.2633257027971005</c:v>
                </c:pt>
                <c:pt idx="208">
                  <c:v>7.22008417620851</c:v>
                </c:pt>
                <c:pt idx="209">
                  <c:v>7.1771000839823893</c:v>
                </c:pt>
                <c:pt idx="210">
                  <c:v>7.1343718935074687</c:v>
                </c:pt>
                <c:pt idx="211">
                  <c:v>7.0918980812967352</c:v>
                </c:pt>
                <c:pt idx="212">
                  <c:v>7.0496771329331134</c:v>
                </c:pt>
                <c:pt idx="213">
                  <c:v>7.0077075430154654</c:v>
                </c:pt>
                <c:pt idx="214">
                  <c:v>6.9659878151049197</c:v>
                </c:pt>
                <c:pt idx="215">
                  <c:v>6.9245164616715114</c:v>
                </c:pt>
                <c:pt idx="216">
                  <c:v>6.8832920040411461</c:v>
                </c:pt>
                <c:pt idx="217">
                  <c:v>6.8423129723428771</c:v>
                </c:pt>
                <c:pt idx="218">
                  <c:v>6.8015779054564947</c:v>
                </c:pt>
                <c:pt idx="219">
                  <c:v>6.7610853509604318</c:v>
                </c:pt>
                <c:pt idx="220">
                  <c:v>6.7208338650799764</c:v>
                </c:pt>
                <c:pt idx="221">
                  <c:v>6.6808220126357938</c:v>
                </c:pt>
                <c:pt idx="222">
                  <c:v>6.6410483669927549</c:v>
                </c:pt>
                <c:pt idx="223">
                  <c:v>6.6015115100090673</c:v>
                </c:pt>
                <c:pt idx="224">
                  <c:v>6.5622100319857131</c:v>
                </c:pt>
                <c:pt idx="225">
                  <c:v>6.5231425316161857</c:v>
                </c:pt>
                <c:pt idx="226">
                  <c:v>6.4843076159365243</c:v>
                </c:pt>
                <c:pt idx="227">
                  <c:v>6.4457039002756478</c:v>
                </c:pt>
                <c:pt idx="228">
                  <c:v>6.4073300082059843</c:v>
                </c:pt>
                <c:pt idx="229">
                  <c:v>6.3691845714943947</c:v>
                </c:pt>
                <c:pt idx="230">
                  <c:v>6.3312662300533864</c:v>
                </c:pt>
                <c:pt idx="231">
                  <c:v>6.2935736318926212</c:v>
                </c:pt>
                <c:pt idx="232">
                  <c:v>6.2561054330707053</c:v>
                </c:pt>
                <c:pt idx="233">
                  <c:v>6.2188602976472751</c:v>
                </c:pt>
                <c:pt idx="234">
                  <c:v>6.1818368976353648</c:v>
                </c:pt>
                <c:pt idx="235">
                  <c:v>6.1450339129540517</c:v>
                </c:pt>
                <c:pt idx="236">
                  <c:v>6.1084500313813912</c:v>
                </c:pt>
                <c:pt idx="237">
                  <c:v>6.0720839485076281</c:v>
                </c:pt>
                <c:pt idx="238">
                  <c:v>6.0359343676886885</c:v>
                </c:pt>
                <c:pt idx="239">
                  <c:v>5.9999999999999467</c:v>
                </c:pt>
              </c:numCache>
            </c:numRef>
          </c:yVal>
          <c:smooth val="1"/>
          <c:extLst>
            <c:ext xmlns:c16="http://schemas.microsoft.com/office/drawing/2014/chart" uri="{C3380CC4-5D6E-409C-BE32-E72D297353CC}">
              <c16:uniqueId val="{00000000-CB84-467D-8954-BE1F697F8A75}"/>
            </c:ext>
          </c:extLst>
        </c:ser>
        <c:dLbls>
          <c:showLegendKey val="0"/>
          <c:showVal val="0"/>
          <c:showCatName val="0"/>
          <c:showSerName val="0"/>
          <c:showPercent val="0"/>
          <c:showBubbleSize val="0"/>
        </c:dLbls>
        <c:axId val="-156149312"/>
        <c:axId val="-156148224"/>
      </c:scatterChart>
      <c:valAx>
        <c:axId val="-156149312"/>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Month</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56148224"/>
        <c:crossesAt val="0"/>
        <c:crossBetween val="midCat"/>
        <c:majorUnit val="12"/>
      </c:valAx>
      <c:valAx>
        <c:axId val="-156148224"/>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56149312"/>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C00000"/>
                </a:solidFill>
              </a:defRPr>
            </a:pPr>
            <a:r>
              <a:rPr lang="en-US" sz="900" u="none">
                <a:solidFill>
                  <a:srgbClr val="C00000"/>
                </a:solidFill>
              </a:rPr>
              <a:t>Well Gas Production,</a:t>
            </a:r>
            <a:r>
              <a:rPr lang="en-US" sz="900" u="none" baseline="0">
                <a:solidFill>
                  <a:srgbClr val="C00000"/>
                </a:solidFill>
              </a:rPr>
              <a:t> </a:t>
            </a:r>
            <a:r>
              <a:rPr lang="en-US" sz="900" u="none">
                <a:solidFill>
                  <a:srgbClr val="C00000"/>
                </a:solidFill>
              </a:rPr>
              <a:t>MMscfd (Year Average)</a:t>
            </a: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5739685136760524"/>
          <c:h val="0.68887115777194519"/>
        </c:manualLayout>
      </c:layout>
      <c:scatterChart>
        <c:scatterStyle val="smoothMarker"/>
        <c:varyColors val="0"/>
        <c:ser>
          <c:idx val="0"/>
          <c:order val="0"/>
          <c:tx>
            <c:strRef>
              <c:f>'Well Prod'!$I$60</c:f>
              <c:strCache>
                <c:ptCount val="1"/>
                <c:pt idx="0">
                  <c:v>Gas Produced</c:v>
                </c:pt>
              </c:strCache>
            </c:strRef>
          </c:tx>
          <c:spPr>
            <a:ln w="3175" cap="rnd" cmpd="sng" algn="ctr">
              <a:solidFill>
                <a:srgbClr val="FF0000"/>
              </a:solidFill>
              <a:prstDash val="sysDash"/>
              <a:round/>
            </a:ln>
            <a:effectLst/>
            <a:extLst/>
          </c:spPr>
          <c:marker>
            <c:symbol val="circle"/>
            <c:size val="8"/>
            <c:spPr>
              <a:solidFill>
                <a:schemeClr val="accent2">
                  <a:lumMod val="20000"/>
                  <a:lumOff val="80000"/>
                </a:schemeClr>
              </a:solidFill>
              <a:ln w="3175">
                <a:solidFill>
                  <a:srgbClr val="C00000"/>
                </a:solidFill>
                <a:prstDash val="solid"/>
              </a:ln>
              <a:effectLst/>
              <a:extLst/>
            </c:spPr>
          </c:marker>
          <c:xVal>
            <c:numRef>
              <c:f>'Well Prod'!$L$56:$IQ$56</c:f>
              <c:numCache>
                <c:formatCode>General</c:formatCode>
                <c:ptCount val="2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numCache>
            </c:numRef>
          </c:xVal>
          <c:yVal>
            <c:numRef>
              <c:f>'Well Prod'!$L$60:$IQ$60</c:f>
              <c:numCache>
                <c:formatCode>0.0;\-0.0;"--"</c:formatCode>
                <c:ptCount val="240"/>
                <c:pt idx="0">
                  <c:v>1.9258591270049308</c:v>
                </c:pt>
                <c:pt idx="1">
                  <c:v>0.88900631243690853</c:v>
                </c:pt>
                <c:pt idx="2">
                  <c:v>0.6829003022646829</c:v>
                </c:pt>
                <c:pt idx="3">
                  <c:v>0.57604495485966867</c:v>
                </c:pt>
                <c:pt idx="4">
                  <c:v>0.50754481180037436</c:v>
                </c:pt>
                <c:pt idx="5">
                  <c:v>0.45892154717422362</c:v>
                </c:pt>
                <c:pt idx="6">
                  <c:v>0.42206352148133941</c:v>
                </c:pt>
                <c:pt idx="7">
                  <c:v>0.39290279113301169</c:v>
                </c:pt>
                <c:pt idx="8">
                  <c:v>0.36901679669198162</c:v>
                </c:pt>
                <c:pt idx="9">
                  <c:v>0.3490397850767421</c:v>
                </c:pt>
                <c:pt idx="10">
                  <c:v>0.33199370266062878</c:v>
                </c:pt>
                <c:pt idx="11">
                  <c:v>0.31723943162399526</c:v>
                </c:pt>
                <c:pt idx="12">
                  <c:v>0.30426785397262401</c:v>
                </c:pt>
                <c:pt idx="13">
                  <c:v>0.29277949968509431</c:v>
                </c:pt>
                <c:pt idx="14">
                  <c:v>0.28250182874437674</c:v>
                </c:pt>
                <c:pt idx="15">
                  <c:v>0.273245200837056</c:v>
                </c:pt>
                <c:pt idx="16">
                  <c:v>0.26482627380940371</c:v>
                </c:pt>
                <c:pt idx="17">
                  <c:v>0.25714829410521561</c:v>
                </c:pt>
                <c:pt idx="18">
                  <c:v>0.25010176110664617</c:v>
                </c:pt>
                <c:pt idx="19">
                  <c:v>0.24361106919543057</c:v>
                </c:pt>
              </c:numCache>
            </c:numRef>
          </c:yVal>
          <c:smooth val="1"/>
          <c:extLst>
            <c:ext xmlns:c16="http://schemas.microsoft.com/office/drawing/2014/chart" uri="{C3380CC4-5D6E-409C-BE32-E72D297353CC}">
              <c16:uniqueId val="{00000000-3614-484C-B242-F4B2BC8266C7}"/>
            </c:ext>
          </c:extLst>
        </c:ser>
        <c:dLbls>
          <c:showLegendKey val="0"/>
          <c:showVal val="0"/>
          <c:showCatName val="0"/>
          <c:showSerName val="0"/>
          <c:showPercent val="0"/>
          <c:showBubbleSize val="0"/>
        </c:dLbls>
        <c:axId val="-156149312"/>
        <c:axId val="-156148224"/>
      </c:scatterChart>
      <c:valAx>
        <c:axId val="-156149312"/>
        <c:scaling>
          <c:orientation val="minMax"/>
          <c:max val="20"/>
        </c:scaling>
        <c:delete val="0"/>
        <c:axPos val="b"/>
        <c:majorGridlines>
          <c:spPr>
            <a:ln w="3175">
              <a:solidFill>
                <a:schemeClr val="bg1">
                  <a:lumMod val="95000"/>
                </a:schemeClr>
              </a:solidFill>
              <a:prstDash val="sysDash"/>
            </a:ln>
          </c:spPr>
        </c:majorGridlines>
        <c:title>
          <c:tx>
            <c:rich>
              <a:bodyPr/>
              <a:lstStyle/>
              <a:p>
                <a:pPr>
                  <a:defRPr/>
                </a:pPr>
                <a:r>
                  <a:rPr lang="es-BO"/>
                  <a:t>Year</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56148224"/>
        <c:crossesAt val="0"/>
        <c:crossBetween val="midCat"/>
      </c:valAx>
      <c:valAx>
        <c:axId val="-156148224"/>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56149312"/>
        <c:crossesAt val="0"/>
        <c:crossBetween val="midCat"/>
        <c:majorUnit val="1"/>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Gas Produced, mmscfd</a:t>
            </a:r>
          </a:p>
        </c:rich>
      </c:tx>
      <c:layout/>
      <c:overlay val="0"/>
    </c:title>
    <c:autoTitleDeleted val="0"/>
    <c:plotArea>
      <c:layout/>
      <c:scatterChart>
        <c:scatterStyle val="lineMarker"/>
        <c:varyColors val="0"/>
        <c:ser>
          <c:idx val="0"/>
          <c:order val="0"/>
          <c:tx>
            <c:strRef>
              <c:f>'Well OPEX-Schedule'!$I$7:$J$7</c:f>
              <c:strCache>
                <c:ptCount val="2"/>
                <c:pt idx="0">
                  <c:v>Gas Produced</c:v>
                </c:pt>
                <c:pt idx="1">
                  <c:v>MM scfd</c:v>
                </c:pt>
              </c:strCache>
            </c:strRef>
          </c:tx>
          <c:spPr>
            <a:ln w="12700">
              <a:solidFill>
                <a:schemeClr val="tx1"/>
              </a:solidFill>
              <a:prstDash val="dash"/>
            </a:ln>
          </c:spPr>
          <c:marker>
            <c:symbol val="circle"/>
            <c:size val="6"/>
            <c:spPr>
              <a:solidFill>
                <a:srgbClr val="FF0000"/>
              </a:solidFill>
              <a:ln>
                <a:solidFill>
                  <a:schemeClr val="tx1"/>
                </a:solidFill>
              </a:ln>
            </c:spPr>
          </c:marker>
          <c:xVal>
            <c:numRef>
              <c:f>'Well OPEX-Schedule'!$K$3:$AQ$3</c:f>
              <c:numCache>
                <c:formatCode>General</c:formatCode>
                <c:ptCount val="33"/>
                <c:pt idx="0">
                  <c:v>0</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numCache>
            </c:numRef>
          </c:xVal>
          <c:yVal>
            <c:numRef>
              <c:f>'Well OPEX-Schedule'!$K$7:$AQ$7</c:f>
              <c:numCache>
                <c:formatCode>0.0;\-0.0;"--"</c:formatCode>
                <c:ptCount val="33"/>
                <c:pt idx="2">
                  <c:v>23.110309524059165</c:v>
                </c:pt>
                <c:pt idx="3">
                  <c:v>18.371512257262623</c:v>
                </c:pt>
                <c:pt idx="4">
                  <c:v>19.45426538494355</c:v>
                </c:pt>
                <c:pt idx="5">
                  <c:v>20.903602425142108</c:v>
                </c:pt>
                <c:pt idx="6">
                  <c:v>22.385780527869255</c:v>
                </c:pt>
                <c:pt idx="7">
                  <c:v>16.129044091537217</c:v>
                </c:pt>
                <c:pt idx="8">
                  <c:v>13.966408722171868</c:v>
                </c:pt>
                <c:pt idx="9">
                  <c:v>12.573132834858562</c:v>
                </c:pt>
                <c:pt idx="10">
                  <c:v>11.553932246659576</c:v>
                </c:pt>
                <c:pt idx="11">
                  <c:v>10.760096046843135</c:v>
                </c:pt>
                <c:pt idx="12">
                  <c:v>10.116016009459845</c:v>
                </c:pt>
                <c:pt idx="13">
                  <c:v>9.5786854817373968</c:v>
                </c:pt>
                <c:pt idx="14">
                  <c:v>9.120373111884879</c:v>
                </c:pt>
                <c:pt idx="15">
                  <c:v>8.7235170895570935</c:v>
                </c:pt>
                <c:pt idx="16">
                  <c:v>8.3751438967018892</c:v>
                </c:pt>
                <c:pt idx="17">
                  <c:v>8.0660968661490315</c:v>
                </c:pt>
                <c:pt idx="18">
                  <c:v>7.7890928186694506</c:v>
                </c:pt>
                <c:pt idx="19">
                  <c:v>7.5391907415663111</c:v>
                </c:pt>
                <c:pt idx="20">
                  <c:v>7.3121075232639612</c:v>
                </c:pt>
                <c:pt idx="21">
                  <c:v>7.1046189497784518</c:v>
                </c:pt>
                <c:pt idx="22">
                  <c:v>4.0627495928667843</c:v>
                </c:pt>
                <c:pt idx="23">
                  <c:v>3.0034444976291694</c:v>
                </c:pt>
                <c:pt idx="24">
                  <c:v>1.9748513212083068</c:v>
                </c:pt>
                <c:pt idx="25">
                  <c:v>0.9744442767817223</c:v>
                </c:pt>
                <c:pt idx="26">
                  <c:v>0</c:v>
                </c:pt>
                <c:pt idx="27">
                  <c:v>0</c:v>
                </c:pt>
                <c:pt idx="28">
                  <c:v>0</c:v>
                </c:pt>
                <c:pt idx="29">
                  <c:v>0</c:v>
                </c:pt>
                <c:pt idx="30">
                  <c:v>0</c:v>
                </c:pt>
                <c:pt idx="31">
                  <c:v>0</c:v>
                </c:pt>
                <c:pt idx="32">
                  <c:v>0</c:v>
                </c:pt>
              </c:numCache>
            </c:numRef>
          </c:yVal>
          <c:smooth val="0"/>
          <c:extLst>
            <c:ext xmlns:c16="http://schemas.microsoft.com/office/drawing/2014/chart" uri="{C3380CC4-5D6E-409C-BE32-E72D297353CC}">
              <c16:uniqueId val="{00000001-2FDD-4559-AE80-76904126B432}"/>
            </c:ext>
          </c:extLst>
        </c:ser>
        <c:dLbls>
          <c:showLegendKey val="0"/>
          <c:showVal val="0"/>
          <c:showCatName val="0"/>
          <c:showSerName val="0"/>
          <c:showPercent val="0"/>
          <c:showBubbleSize val="0"/>
        </c:dLbls>
        <c:axId val="-1659429792"/>
        <c:axId val="-1659430336"/>
      </c:scatterChart>
      <c:valAx>
        <c:axId val="-1659429792"/>
        <c:scaling>
          <c:orientation val="minMax"/>
          <c:min val="1"/>
        </c:scaling>
        <c:delete val="0"/>
        <c:axPos val="b"/>
        <c:numFmt formatCode="0;\-0.00;&quot;--&quot;" sourceLinked="0"/>
        <c:majorTickMark val="out"/>
        <c:minorTickMark val="none"/>
        <c:tickLblPos val="nextTo"/>
        <c:spPr>
          <a:ln w="12700">
            <a:solidFill>
              <a:schemeClr val="tx1"/>
            </a:solidFill>
          </a:ln>
        </c:spPr>
        <c:txPr>
          <a:bodyPr/>
          <a:lstStyle/>
          <a:p>
            <a:pPr>
              <a:defRPr sz="800"/>
            </a:pPr>
            <a:endParaRPr lang="es-BO"/>
          </a:p>
        </c:txPr>
        <c:crossAx val="-1659430336"/>
        <c:crosses val="autoZero"/>
        <c:crossBetween val="midCat"/>
      </c:valAx>
      <c:valAx>
        <c:axId val="-1659430336"/>
        <c:scaling>
          <c:orientation val="minMax"/>
        </c:scaling>
        <c:delete val="0"/>
        <c:axPos val="l"/>
        <c:numFmt formatCode="#,##0" sourceLinked="0"/>
        <c:majorTickMark val="out"/>
        <c:minorTickMark val="none"/>
        <c:tickLblPos val="nextTo"/>
        <c:spPr>
          <a:ln w="12700">
            <a:solidFill>
              <a:schemeClr val="tx1"/>
            </a:solidFill>
          </a:ln>
        </c:spPr>
        <c:txPr>
          <a:bodyPr/>
          <a:lstStyle/>
          <a:p>
            <a:pPr>
              <a:defRPr sz="800"/>
            </a:pPr>
            <a:endParaRPr lang="es-BO"/>
          </a:p>
        </c:txPr>
        <c:crossAx val="-165942979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Active Wells</a:t>
            </a:r>
          </a:p>
        </c:rich>
      </c:tx>
      <c:layout/>
      <c:overlay val="0"/>
    </c:title>
    <c:autoTitleDeleted val="0"/>
    <c:plotArea>
      <c:layout/>
      <c:barChart>
        <c:barDir val="col"/>
        <c:grouping val="clustered"/>
        <c:varyColors val="0"/>
        <c:ser>
          <c:idx val="0"/>
          <c:order val="0"/>
          <c:tx>
            <c:strRef>
              <c:f>'Well OPEX-Schedule'!$I$7:$J$7</c:f>
              <c:strCache>
                <c:ptCount val="2"/>
                <c:pt idx="0">
                  <c:v>Gas Produced</c:v>
                </c:pt>
                <c:pt idx="1">
                  <c:v>MM scfd</c:v>
                </c:pt>
              </c:strCache>
            </c:strRef>
          </c:tx>
          <c:spPr>
            <a:solidFill>
              <a:srgbClr val="FFC000"/>
            </a:solidFill>
            <a:ln w="12700">
              <a:solidFill>
                <a:srgbClr val="C00000"/>
              </a:solidFill>
              <a:prstDash val="solid"/>
            </a:ln>
          </c:spPr>
          <c:invertIfNegative val="0"/>
          <c:cat>
            <c:numRef>
              <c:f>'Well OPEX-Schedule'!$K$3:$AQ$3</c:f>
              <c:numCache>
                <c:formatCode>General</c:formatCode>
                <c:ptCount val="33"/>
                <c:pt idx="0">
                  <c:v>0</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numCache>
            </c:numRef>
          </c:cat>
          <c:val>
            <c:numRef>
              <c:f>'Well OPEX-Schedule'!$K$1:$AQ$1</c:f>
              <c:numCache>
                <c:formatCode>General</c:formatCode>
                <c:ptCount val="33"/>
                <c:pt idx="0">
                  <c:v>4</c:v>
                </c:pt>
                <c:pt idx="1">
                  <c:v>8</c:v>
                </c:pt>
                <c:pt idx="2">
                  <c:v>12</c:v>
                </c:pt>
                <c:pt idx="3">
                  <c:v>16</c:v>
                </c:pt>
                <c:pt idx="4">
                  <c:v>20</c:v>
                </c:pt>
                <c:pt idx="5">
                  <c:v>24</c:v>
                </c:pt>
                <c:pt idx="6">
                  <c:v>28</c:v>
                </c:pt>
                <c:pt idx="7">
                  <c:v>28</c:v>
                </c:pt>
                <c:pt idx="8">
                  <c:v>28</c:v>
                </c:pt>
                <c:pt idx="9">
                  <c:v>28</c:v>
                </c:pt>
                <c:pt idx="10">
                  <c:v>28</c:v>
                </c:pt>
                <c:pt idx="11">
                  <c:v>28</c:v>
                </c:pt>
                <c:pt idx="12">
                  <c:v>28</c:v>
                </c:pt>
                <c:pt idx="13">
                  <c:v>28</c:v>
                </c:pt>
                <c:pt idx="14">
                  <c:v>28</c:v>
                </c:pt>
                <c:pt idx="15">
                  <c:v>28</c:v>
                </c:pt>
                <c:pt idx="16">
                  <c:v>28</c:v>
                </c:pt>
                <c:pt idx="17">
                  <c:v>28</c:v>
                </c:pt>
                <c:pt idx="18">
                  <c:v>28</c:v>
                </c:pt>
                <c:pt idx="19">
                  <c:v>28</c:v>
                </c:pt>
                <c:pt idx="20">
                  <c:v>28</c:v>
                </c:pt>
                <c:pt idx="21">
                  <c:v>28</c:v>
                </c:pt>
                <c:pt idx="22">
                  <c:v>28</c:v>
                </c:pt>
                <c:pt idx="23">
                  <c:v>28</c:v>
                </c:pt>
                <c:pt idx="24">
                  <c:v>28</c:v>
                </c:pt>
                <c:pt idx="25">
                  <c:v>28</c:v>
                </c:pt>
                <c:pt idx="26">
                  <c:v>28</c:v>
                </c:pt>
                <c:pt idx="27">
                  <c:v>28</c:v>
                </c:pt>
                <c:pt idx="28">
                  <c:v>28</c:v>
                </c:pt>
                <c:pt idx="29">
                  <c:v>28</c:v>
                </c:pt>
                <c:pt idx="30">
                  <c:v>28</c:v>
                </c:pt>
                <c:pt idx="31">
                  <c:v>28</c:v>
                </c:pt>
                <c:pt idx="32">
                  <c:v>28</c:v>
                </c:pt>
              </c:numCache>
            </c:numRef>
          </c:val>
          <c:extLst>
            <c:ext xmlns:c16="http://schemas.microsoft.com/office/drawing/2014/chart" uri="{C3380CC4-5D6E-409C-BE32-E72D297353CC}">
              <c16:uniqueId val="{00000001-2FDD-4559-AE80-76904126B432}"/>
            </c:ext>
          </c:extLst>
        </c:ser>
        <c:dLbls>
          <c:showLegendKey val="0"/>
          <c:showVal val="0"/>
          <c:showCatName val="0"/>
          <c:showSerName val="0"/>
          <c:showPercent val="0"/>
          <c:showBubbleSize val="0"/>
        </c:dLbls>
        <c:gapWidth val="150"/>
        <c:axId val="-1500513936"/>
        <c:axId val="-1659432512"/>
      </c:barChart>
      <c:catAx>
        <c:axId val="-1500513936"/>
        <c:scaling>
          <c:orientation val="minMax"/>
        </c:scaling>
        <c:delete val="0"/>
        <c:axPos val="b"/>
        <c:numFmt formatCode="General" sourceLinked="1"/>
        <c:majorTickMark val="out"/>
        <c:minorTickMark val="none"/>
        <c:tickLblPos val="nextTo"/>
        <c:spPr>
          <a:ln w="12700">
            <a:solidFill>
              <a:schemeClr val="tx1"/>
            </a:solidFill>
          </a:ln>
        </c:spPr>
        <c:txPr>
          <a:bodyPr/>
          <a:lstStyle/>
          <a:p>
            <a:pPr>
              <a:defRPr sz="800"/>
            </a:pPr>
            <a:endParaRPr lang="es-BO"/>
          </a:p>
        </c:txPr>
        <c:crossAx val="-1659432512"/>
        <c:crosses val="autoZero"/>
        <c:auto val="1"/>
        <c:lblAlgn val="ctr"/>
        <c:lblOffset val="100"/>
        <c:noMultiLvlLbl val="0"/>
      </c:catAx>
      <c:valAx>
        <c:axId val="-1659432512"/>
        <c:scaling>
          <c:orientation val="minMax"/>
        </c:scaling>
        <c:delete val="0"/>
        <c:axPos val="l"/>
        <c:numFmt formatCode="#,##0" sourceLinked="0"/>
        <c:majorTickMark val="out"/>
        <c:minorTickMark val="none"/>
        <c:tickLblPos val="nextTo"/>
        <c:spPr>
          <a:ln w="12700">
            <a:solidFill>
              <a:schemeClr val="tx1"/>
            </a:solidFill>
          </a:ln>
        </c:spPr>
        <c:txPr>
          <a:bodyPr/>
          <a:lstStyle/>
          <a:p>
            <a:pPr>
              <a:defRPr sz="800"/>
            </a:pPr>
            <a:endParaRPr lang="es-BO"/>
          </a:p>
        </c:txPr>
        <c:crossAx val="-150051393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s-BO" sz="1100"/>
              <a:t>Cash Flow</a:t>
            </a:r>
          </a:p>
        </c:rich>
      </c:tx>
      <c:layout>
        <c:manualLayout>
          <c:xMode val="edge"/>
          <c:yMode val="edge"/>
          <c:x val="7.816566225311225E-2"/>
          <c:y val="3.4669551852819107E-2"/>
        </c:manualLayout>
      </c:layout>
      <c:overlay val="1"/>
    </c:title>
    <c:autoTitleDeleted val="0"/>
    <c:plotArea>
      <c:layout/>
      <c:barChart>
        <c:barDir val="col"/>
        <c:grouping val="stacked"/>
        <c:varyColors val="0"/>
        <c:ser>
          <c:idx val="0"/>
          <c:order val="0"/>
          <c:tx>
            <c:v>CF+</c:v>
          </c:tx>
          <c:spPr>
            <a:solidFill>
              <a:srgbClr val="92D050"/>
            </a:solidFill>
            <a:ln w="9525" cap="flat" cmpd="sng" algn="ctr">
              <a:solidFill>
                <a:srgbClr val="00B050"/>
              </a:solidFill>
              <a:prstDash val="solid"/>
            </a:ln>
            <a:effectLst>
              <a:outerShdw blurRad="40000" dist="20000" dir="5400000" rotWithShape="0">
                <a:srgbClr val="000000">
                  <a:alpha val="38000"/>
                </a:srgbClr>
              </a:outerShdw>
            </a:effectLst>
          </c:spPr>
          <c:invertIfNegative val="0"/>
          <c:cat>
            <c:numRef>
              <c:f>'Cash Flow'!$F$44:$AY$44</c:f>
              <c:numCache>
                <c:formatCode>yyyy</c:formatCode>
                <c:ptCount val="46"/>
                <c:pt idx="0">
                  <c:v>42005</c:v>
                </c:pt>
                <c:pt idx="1">
                  <c:v>42370</c:v>
                </c:pt>
                <c:pt idx="2">
                  <c:v>42736</c:v>
                </c:pt>
                <c:pt idx="3">
                  <c:v>43101</c:v>
                </c:pt>
                <c:pt idx="4">
                  <c:v>43466</c:v>
                </c:pt>
                <c:pt idx="5">
                  <c:v>43831</c:v>
                </c:pt>
                <c:pt idx="6">
                  <c:v>44197</c:v>
                </c:pt>
                <c:pt idx="7">
                  <c:v>44562</c:v>
                </c:pt>
                <c:pt idx="8">
                  <c:v>44927</c:v>
                </c:pt>
                <c:pt idx="9">
                  <c:v>45292</c:v>
                </c:pt>
                <c:pt idx="10">
                  <c:v>45658</c:v>
                </c:pt>
                <c:pt idx="11">
                  <c:v>46023</c:v>
                </c:pt>
                <c:pt idx="12">
                  <c:v>46388</c:v>
                </c:pt>
                <c:pt idx="13">
                  <c:v>46753</c:v>
                </c:pt>
                <c:pt idx="14">
                  <c:v>47119</c:v>
                </c:pt>
                <c:pt idx="15">
                  <c:v>47484</c:v>
                </c:pt>
                <c:pt idx="16">
                  <c:v>47849</c:v>
                </c:pt>
                <c:pt idx="17">
                  <c:v>48214</c:v>
                </c:pt>
                <c:pt idx="18">
                  <c:v>48580</c:v>
                </c:pt>
                <c:pt idx="19">
                  <c:v>48945</c:v>
                </c:pt>
                <c:pt idx="20">
                  <c:v>49310</c:v>
                </c:pt>
                <c:pt idx="21">
                  <c:v>49675</c:v>
                </c:pt>
                <c:pt idx="22">
                  <c:v>50041</c:v>
                </c:pt>
                <c:pt idx="23">
                  <c:v>50406</c:v>
                </c:pt>
                <c:pt idx="24">
                  <c:v>50771</c:v>
                </c:pt>
                <c:pt idx="25">
                  <c:v>51136</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numCache>
            </c:numRef>
          </c:cat>
          <c:val>
            <c:numRef>
              <c:f>'Cash Flow'!$F$42:$AY$42</c:f>
              <c:numCache>
                <c:formatCode>General</c:formatCode>
                <c:ptCount val="46"/>
                <c:pt idx="0">
                  <c:v>0</c:v>
                </c:pt>
                <c:pt idx="1">
                  <c:v>0</c:v>
                </c:pt>
                <c:pt idx="2">
                  <c:v>0</c:v>
                </c:pt>
                <c:pt idx="3">
                  <c:v>0</c:v>
                </c:pt>
                <c:pt idx="4">
                  <c:v>0</c:v>
                </c:pt>
                <c:pt idx="5">
                  <c:v>0</c:v>
                </c:pt>
                <c:pt idx="6">
                  <c:v>0</c:v>
                </c:pt>
                <c:pt idx="7">
                  <c:v>21.656290082222014</c:v>
                </c:pt>
                <c:pt idx="8">
                  <c:v>18.752543360764221</c:v>
                </c:pt>
                <c:pt idx="9">
                  <c:v>16.928058679349718</c:v>
                </c:pt>
                <c:pt idx="10">
                  <c:v>15.513337734335099</c:v>
                </c:pt>
                <c:pt idx="11">
                  <c:v>14.447462601039758</c:v>
                </c:pt>
                <c:pt idx="12">
                  <c:v>13.58266341972563</c:v>
                </c:pt>
                <c:pt idx="13">
                  <c:v>12.896431783201622</c:v>
                </c:pt>
                <c:pt idx="14">
                  <c:v>12.245824653223597</c:v>
                </c:pt>
                <c:pt idx="15">
                  <c:v>11.712970437460323</c:v>
                </c:pt>
                <c:pt idx="16">
                  <c:v>11.245213583518764</c:v>
                </c:pt>
                <c:pt idx="17">
                  <c:v>10.85993147904459</c:v>
                </c:pt>
                <c:pt idx="18">
                  <c:v>10.458329247606464</c:v>
                </c:pt>
                <c:pt idx="19">
                  <c:v>10.12278847760293</c:v>
                </c:pt>
                <c:pt idx="20">
                  <c:v>9.8178863383037651</c:v>
                </c:pt>
                <c:pt idx="21">
                  <c:v>9.5654287643277343</c:v>
                </c:pt>
                <c:pt idx="22">
                  <c:v>5.4550091880967093</c:v>
                </c:pt>
                <c:pt idx="23">
                  <c:v>4.0326918890772117</c:v>
                </c:pt>
                <c:pt idx="24">
                  <c:v>2.6516111456218607</c:v>
                </c:pt>
                <c:pt idx="25">
                  <c:v>1.3119602022643431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7711-4B2C-9F7A-2DE463F777F5}"/>
            </c:ext>
          </c:extLst>
        </c:ser>
        <c:ser>
          <c:idx val="1"/>
          <c:order val="1"/>
          <c:tx>
            <c:v>CF -</c:v>
          </c:tx>
          <c:spPr>
            <a:solidFill>
              <a:srgbClr val="FF0000"/>
            </a:solidFill>
            <a:ln>
              <a:solidFill>
                <a:schemeClr val="bg1">
                  <a:lumMod val="95000"/>
                </a:schemeClr>
              </a:solidFill>
            </a:ln>
          </c:spPr>
          <c:invertIfNegative val="0"/>
          <c:cat>
            <c:numRef>
              <c:f>'Cash Flow'!$F$44:$AY$44</c:f>
              <c:numCache>
                <c:formatCode>yyyy</c:formatCode>
                <c:ptCount val="46"/>
                <c:pt idx="0">
                  <c:v>42005</c:v>
                </c:pt>
                <c:pt idx="1">
                  <c:v>42370</c:v>
                </c:pt>
                <c:pt idx="2">
                  <c:v>42736</c:v>
                </c:pt>
                <c:pt idx="3">
                  <c:v>43101</c:v>
                </c:pt>
                <c:pt idx="4">
                  <c:v>43466</c:v>
                </c:pt>
                <c:pt idx="5">
                  <c:v>43831</c:v>
                </c:pt>
                <c:pt idx="6">
                  <c:v>44197</c:v>
                </c:pt>
                <c:pt idx="7">
                  <c:v>44562</c:v>
                </c:pt>
                <c:pt idx="8">
                  <c:v>44927</c:v>
                </c:pt>
                <c:pt idx="9">
                  <c:v>45292</c:v>
                </c:pt>
                <c:pt idx="10">
                  <c:v>45658</c:v>
                </c:pt>
                <c:pt idx="11">
                  <c:v>46023</c:v>
                </c:pt>
                <c:pt idx="12">
                  <c:v>46388</c:v>
                </c:pt>
                <c:pt idx="13">
                  <c:v>46753</c:v>
                </c:pt>
                <c:pt idx="14">
                  <c:v>47119</c:v>
                </c:pt>
                <c:pt idx="15">
                  <c:v>47484</c:v>
                </c:pt>
                <c:pt idx="16">
                  <c:v>47849</c:v>
                </c:pt>
                <c:pt idx="17">
                  <c:v>48214</c:v>
                </c:pt>
                <c:pt idx="18">
                  <c:v>48580</c:v>
                </c:pt>
                <c:pt idx="19">
                  <c:v>48945</c:v>
                </c:pt>
                <c:pt idx="20">
                  <c:v>49310</c:v>
                </c:pt>
                <c:pt idx="21">
                  <c:v>49675</c:v>
                </c:pt>
                <c:pt idx="22">
                  <c:v>50041</c:v>
                </c:pt>
                <c:pt idx="23">
                  <c:v>50406</c:v>
                </c:pt>
                <c:pt idx="24">
                  <c:v>50771</c:v>
                </c:pt>
                <c:pt idx="25">
                  <c:v>51136</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numCache>
            </c:numRef>
          </c:cat>
          <c:val>
            <c:numRef>
              <c:f>'Cash Flow'!$F$43:$AY$43</c:f>
              <c:numCache>
                <c:formatCode>General</c:formatCode>
                <c:ptCount val="46"/>
                <c:pt idx="0">
                  <c:v>-79</c:v>
                </c:pt>
                <c:pt idx="1">
                  <c:v>-64</c:v>
                </c:pt>
                <c:pt idx="2">
                  <c:v>-32.970041615450526</c:v>
                </c:pt>
                <c:pt idx="3">
                  <c:v>-39.33277257880831</c:v>
                </c:pt>
                <c:pt idx="4">
                  <c:v>-37.878971864555538</c:v>
                </c:pt>
                <c:pt idx="5">
                  <c:v>-35.856066971507246</c:v>
                </c:pt>
                <c:pt idx="6">
                  <c:v>-33.942858728815757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7711-4B2C-9F7A-2DE463F777F5}"/>
            </c:ext>
          </c:extLst>
        </c:ser>
        <c:dLbls>
          <c:showLegendKey val="0"/>
          <c:showVal val="0"/>
          <c:showCatName val="0"/>
          <c:showSerName val="0"/>
          <c:showPercent val="0"/>
          <c:showBubbleSize val="0"/>
        </c:dLbls>
        <c:gapWidth val="76"/>
        <c:overlap val="100"/>
        <c:axId val="-1720304320"/>
        <c:axId val="-1720301600"/>
      </c:barChart>
      <c:dateAx>
        <c:axId val="-1720304320"/>
        <c:scaling>
          <c:orientation val="minMax"/>
        </c:scaling>
        <c:delete val="0"/>
        <c:axPos val="b"/>
        <c:numFmt formatCode="yy" sourceLinked="0"/>
        <c:majorTickMark val="cross"/>
        <c:minorTickMark val="none"/>
        <c:tickLblPos val="nextTo"/>
        <c:spPr>
          <a:ln w="15875">
            <a:solidFill>
              <a:schemeClr val="tx1"/>
            </a:solidFill>
          </a:ln>
        </c:spPr>
        <c:txPr>
          <a:bodyPr/>
          <a:lstStyle/>
          <a:p>
            <a:pPr>
              <a:defRPr sz="800" b="1"/>
            </a:pPr>
            <a:endParaRPr lang="es-BO"/>
          </a:p>
        </c:txPr>
        <c:crossAx val="-1720301600"/>
        <c:crosses val="autoZero"/>
        <c:auto val="1"/>
        <c:lblOffset val="100"/>
        <c:baseTimeUnit val="years"/>
      </c:dateAx>
      <c:valAx>
        <c:axId val="-1720301600"/>
        <c:scaling>
          <c:orientation val="minMax"/>
        </c:scaling>
        <c:delete val="0"/>
        <c:axPos val="l"/>
        <c:majorGridlines>
          <c:spPr>
            <a:ln>
              <a:solidFill>
                <a:schemeClr val="bg1">
                  <a:lumMod val="95000"/>
                </a:schemeClr>
              </a:solidFill>
              <a:prstDash val="dash"/>
            </a:ln>
          </c:spPr>
        </c:majorGridlines>
        <c:numFmt formatCode="#,##0" sourceLinked="0"/>
        <c:majorTickMark val="out"/>
        <c:minorTickMark val="in"/>
        <c:tickLblPos val="nextTo"/>
        <c:spPr>
          <a:ln w="12700">
            <a:solidFill>
              <a:schemeClr val="tx1"/>
            </a:solidFill>
          </a:ln>
        </c:spPr>
        <c:txPr>
          <a:bodyPr/>
          <a:lstStyle/>
          <a:p>
            <a:pPr>
              <a:defRPr sz="800" b="1"/>
            </a:pPr>
            <a:endParaRPr lang="es-BO"/>
          </a:p>
        </c:txPr>
        <c:crossAx val="-1720304320"/>
        <c:crosses val="autoZero"/>
        <c:crossBetween val="between"/>
      </c:valAx>
    </c:plotArea>
    <c:plotVisOnly val="1"/>
    <c:dispBlanksAs val="gap"/>
    <c:showDLblsOverMax val="0"/>
  </c:chart>
  <c:spPr>
    <a:ln>
      <a:solidFill>
        <a:schemeClr val="bg1">
          <a:lumMod val="75000"/>
        </a:schemeClr>
      </a:solid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s-BO" sz="1100"/>
              <a:t>Cumulative Cash Flow</a:t>
            </a:r>
          </a:p>
        </c:rich>
      </c:tx>
      <c:layout>
        <c:manualLayout>
          <c:xMode val="edge"/>
          <c:yMode val="edge"/>
          <c:x val="6.8709368775711557E-2"/>
          <c:y val="6.5421860374050705E-2"/>
        </c:manualLayout>
      </c:layout>
      <c:overlay val="1"/>
    </c:title>
    <c:autoTitleDeleted val="0"/>
    <c:plotArea>
      <c:layout/>
      <c:barChart>
        <c:barDir val="col"/>
        <c:grouping val="stacked"/>
        <c:varyColors val="0"/>
        <c:ser>
          <c:idx val="0"/>
          <c:order val="0"/>
          <c:tx>
            <c:v>CF1</c:v>
          </c:tx>
          <c:spPr>
            <a:solidFill>
              <a:srgbClr val="92D050"/>
            </a:solidFill>
            <a:ln w="9525" cap="flat" cmpd="sng" algn="ctr">
              <a:solidFill>
                <a:srgbClr val="00B050"/>
              </a:solidFill>
              <a:prstDash val="solid"/>
            </a:ln>
            <a:effectLst>
              <a:outerShdw blurRad="40000" dist="20000" dir="5400000" rotWithShape="0">
                <a:srgbClr val="000000">
                  <a:alpha val="38000"/>
                </a:srgbClr>
              </a:outerShdw>
            </a:effectLst>
          </c:spPr>
          <c:invertIfNegative val="0"/>
          <c:cat>
            <c:numRef>
              <c:f>'Cash Flow'!$F$44:$AY$44</c:f>
              <c:numCache>
                <c:formatCode>yyyy</c:formatCode>
                <c:ptCount val="46"/>
                <c:pt idx="0">
                  <c:v>42005</c:v>
                </c:pt>
                <c:pt idx="1">
                  <c:v>42370</c:v>
                </c:pt>
                <c:pt idx="2">
                  <c:v>42736</c:v>
                </c:pt>
                <c:pt idx="3">
                  <c:v>43101</c:v>
                </c:pt>
                <c:pt idx="4">
                  <c:v>43466</c:v>
                </c:pt>
                <c:pt idx="5">
                  <c:v>43831</c:v>
                </c:pt>
                <c:pt idx="6">
                  <c:v>44197</c:v>
                </c:pt>
                <c:pt idx="7">
                  <c:v>44562</c:v>
                </c:pt>
                <c:pt idx="8">
                  <c:v>44927</c:v>
                </c:pt>
                <c:pt idx="9">
                  <c:v>45292</c:v>
                </c:pt>
                <c:pt idx="10">
                  <c:v>45658</c:v>
                </c:pt>
                <c:pt idx="11">
                  <c:v>46023</c:v>
                </c:pt>
                <c:pt idx="12">
                  <c:v>46388</c:v>
                </c:pt>
                <c:pt idx="13">
                  <c:v>46753</c:v>
                </c:pt>
                <c:pt idx="14">
                  <c:v>47119</c:v>
                </c:pt>
                <c:pt idx="15">
                  <c:v>47484</c:v>
                </c:pt>
                <c:pt idx="16">
                  <c:v>47849</c:v>
                </c:pt>
                <c:pt idx="17">
                  <c:v>48214</c:v>
                </c:pt>
                <c:pt idx="18">
                  <c:v>48580</c:v>
                </c:pt>
                <c:pt idx="19">
                  <c:v>48945</c:v>
                </c:pt>
                <c:pt idx="20">
                  <c:v>49310</c:v>
                </c:pt>
                <c:pt idx="21">
                  <c:v>49675</c:v>
                </c:pt>
                <c:pt idx="22">
                  <c:v>50041</c:v>
                </c:pt>
                <c:pt idx="23">
                  <c:v>50406</c:v>
                </c:pt>
                <c:pt idx="24">
                  <c:v>50771</c:v>
                </c:pt>
                <c:pt idx="25">
                  <c:v>51136</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numCache>
            </c:numRef>
          </c:cat>
          <c:val>
            <c:numRef>
              <c:f>'Cash Flow'!$F$45:$AY$45</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62DF-4F53-A3AF-5BE0CF67C737}"/>
            </c:ext>
          </c:extLst>
        </c:ser>
        <c:ser>
          <c:idx val="1"/>
          <c:order val="1"/>
          <c:tx>
            <c:v>CF-</c:v>
          </c:tx>
          <c:spPr>
            <a:solidFill>
              <a:srgbClr val="FF0000"/>
            </a:solidFill>
            <a:ln>
              <a:solidFill>
                <a:schemeClr val="bg1">
                  <a:lumMod val="95000"/>
                </a:schemeClr>
              </a:solidFill>
            </a:ln>
          </c:spPr>
          <c:invertIfNegative val="0"/>
          <c:cat>
            <c:numRef>
              <c:f>'Cash Flow'!$F$44:$AY$44</c:f>
              <c:numCache>
                <c:formatCode>yyyy</c:formatCode>
                <c:ptCount val="46"/>
                <c:pt idx="0">
                  <c:v>42005</c:v>
                </c:pt>
                <c:pt idx="1">
                  <c:v>42370</c:v>
                </c:pt>
                <c:pt idx="2">
                  <c:v>42736</c:v>
                </c:pt>
                <c:pt idx="3">
                  <c:v>43101</c:v>
                </c:pt>
                <c:pt idx="4">
                  <c:v>43466</c:v>
                </c:pt>
                <c:pt idx="5">
                  <c:v>43831</c:v>
                </c:pt>
                <c:pt idx="6">
                  <c:v>44197</c:v>
                </c:pt>
                <c:pt idx="7">
                  <c:v>44562</c:v>
                </c:pt>
                <c:pt idx="8">
                  <c:v>44927</c:v>
                </c:pt>
                <c:pt idx="9">
                  <c:v>45292</c:v>
                </c:pt>
                <c:pt idx="10">
                  <c:v>45658</c:v>
                </c:pt>
                <c:pt idx="11">
                  <c:v>46023</c:v>
                </c:pt>
                <c:pt idx="12">
                  <c:v>46388</c:v>
                </c:pt>
                <c:pt idx="13">
                  <c:v>46753</c:v>
                </c:pt>
                <c:pt idx="14">
                  <c:v>47119</c:v>
                </c:pt>
                <c:pt idx="15">
                  <c:v>47484</c:v>
                </c:pt>
                <c:pt idx="16">
                  <c:v>47849</c:v>
                </c:pt>
                <c:pt idx="17">
                  <c:v>48214</c:v>
                </c:pt>
                <c:pt idx="18">
                  <c:v>48580</c:v>
                </c:pt>
                <c:pt idx="19">
                  <c:v>48945</c:v>
                </c:pt>
                <c:pt idx="20">
                  <c:v>49310</c:v>
                </c:pt>
                <c:pt idx="21">
                  <c:v>49675</c:v>
                </c:pt>
                <c:pt idx="22">
                  <c:v>50041</c:v>
                </c:pt>
                <c:pt idx="23">
                  <c:v>50406</c:v>
                </c:pt>
                <c:pt idx="24">
                  <c:v>50771</c:v>
                </c:pt>
                <c:pt idx="25">
                  <c:v>51136</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numCache>
            </c:numRef>
          </c:cat>
          <c:val>
            <c:numRef>
              <c:f>'Cash Flow'!$F$46:$AY$46</c:f>
              <c:numCache>
                <c:formatCode>General</c:formatCode>
                <c:ptCount val="46"/>
                <c:pt idx="0">
                  <c:v>-79</c:v>
                </c:pt>
                <c:pt idx="1">
                  <c:v>-143</c:v>
                </c:pt>
                <c:pt idx="2">
                  <c:v>-175.97004161545053</c:v>
                </c:pt>
                <c:pt idx="3">
                  <c:v>-215.30281419425884</c:v>
                </c:pt>
                <c:pt idx="4">
                  <c:v>-253.1817860588144</c:v>
                </c:pt>
                <c:pt idx="5">
                  <c:v>-289.03785303032163</c:v>
                </c:pt>
                <c:pt idx="6">
                  <c:v>-322.98071175913736</c:v>
                </c:pt>
                <c:pt idx="7">
                  <c:v>-301.32442167691534</c:v>
                </c:pt>
                <c:pt idx="8">
                  <c:v>-282.57187831615113</c:v>
                </c:pt>
                <c:pt idx="9">
                  <c:v>-265.64381963680142</c:v>
                </c:pt>
                <c:pt idx="10">
                  <c:v>-250.13048190246633</c:v>
                </c:pt>
                <c:pt idx="11">
                  <c:v>-235.68301930142658</c:v>
                </c:pt>
                <c:pt idx="12">
                  <c:v>-222.10035588170095</c:v>
                </c:pt>
                <c:pt idx="13">
                  <c:v>-209.20392409849933</c:v>
                </c:pt>
                <c:pt idx="14">
                  <c:v>-196.95809944527574</c:v>
                </c:pt>
                <c:pt idx="15">
                  <c:v>-185.24512900781542</c:v>
                </c:pt>
                <c:pt idx="16">
                  <c:v>-173.99991542429666</c:v>
                </c:pt>
                <c:pt idx="17">
                  <c:v>-163.13998394525208</c:v>
                </c:pt>
                <c:pt idx="18">
                  <c:v>-152.68165469764563</c:v>
                </c:pt>
                <c:pt idx="19">
                  <c:v>-142.55886622004269</c:v>
                </c:pt>
                <c:pt idx="20">
                  <c:v>-132.74097988173892</c:v>
                </c:pt>
                <c:pt idx="21">
                  <c:v>-123.17555111741119</c:v>
                </c:pt>
                <c:pt idx="22">
                  <c:v>-117.72054192931448</c:v>
                </c:pt>
                <c:pt idx="23">
                  <c:v>-113.68785004023727</c:v>
                </c:pt>
                <c:pt idx="24">
                  <c:v>-111.03623889461541</c:v>
                </c:pt>
                <c:pt idx="25">
                  <c:v>-109.72427869235106</c:v>
                </c:pt>
                <c:pt idx="26">
                  <c:v>-109.72427869235106</c:v>
                </c:pt>
                <c:pt idx="27">
                  <c:v>-109.72427869235106</c:v>
                </c:pt>
                <c:pt idx="28">
                  <c:v>-109.72427869235106</c:v>
                </c:pt>
                <c:pt idx="29">
                  <c:v>-109.72427869235106</c:v>
                </c:pt>
                <c:pt idx="30">
                  <c:v>-109.72427869235106</c:v>
                </c:pt>
                <c:pt idx="31">
                  <c:v>-109.72427869235106</c:v>
                </c:pt>
                <c:pt idx="32">
                  <c:v>-109.72427869235106</c:v>
                </c:pt>
                <c:pt idx="33">
                  <c:v>-109.72427869235106</c:v>
                </c:pt>
                <c:pt idx="34">
                  <c:v>-109.72427869235106</c:v>
                </c:pt>
                <c:pt idx="35">
                  <c:v>-109.72427869235106</c:v>
                </c:pt>
                <c:pt idx="36">
                  <c:v>-109.72427869235106</c:v>
                </c:pt>
                <c:pt idx="37">
                  <c:v>-109.72427869235106</c:v>
                </c:pt>
                <c:pt idx="38">
                  <c:v>-109.72427869235106</c:v>
                </c:pt>
                <c:pt idx="39">
                  <c:v>-109.72427869235106</c:v>
                </c:pt>
                <c:pt idx="40">
                  <c:v>-109.72427869235106</c:v>
                </c:pt>
                <c:pt idx="41">
                  <c:v>-109.72427869235106</c:v>
                </c:pt>
                <c:pt idx="42">
                  <c:v>-109.72427869235106</c:v>
                </c:pt>
                <c:pt idx="43">
                  <c:v>-109.72427869235106</c:v>
                </c:pt>
                <c:pt idx="44">
                  <c:v>-109.72427869235106</c:v>
                </c:pt>
                <c:pt idx="45">
                  <c:v>-109.72427869235106</c:v>
                </c:pt>
              </c:numCache>
            </c:numRef>
          </c:val>
          <c:extLst>
            <c:ext xmlns:c16="http://schemas.microsoft.com/office/drawing/2014/chart" uri="{C3380CC4-5D6E-409C-BE32-E72D297353CC}">
              <c16:uniqueId val="{00000001-62DF-4F53-A3AF-5BE0CF67C737}"/>
            </c:ext>
          </c:extLst>
        </c:ser>
        <c:dLbls>
          <c:showLegendKey val="0"/>
          <c:showVal val="0"/>
          <c:showCatName val="0"/>
          <c:showSerName val="0"/>
          <c:showPercent val="0"/>
          <c:showBubbleSize val="0"/>
        </c:dLbls>
        <c:gapWidth val="76"/>
        <c:overlap val="100"/>
        <c:axId val="-1720304320"/>
        <c:axId val="-1720301600"/>
      </c:barChart>
      <c:dateAx>
        <c:axId val="-1720304320"/>
        <c:scaling>
          <c:orientation val="minMax"/>
        </c:scaling>
        <c:delete val="0"/>
        <c:axPos val="b"/>
        <c:numFmt formatCode="yy" sourceLinked="0"/>
        <c:majorTickMark val="cross"/>
        <c:minorTickMark val="none"/>
        <c:tickLblPos val="nextTo"/>
        <c:spPr>
          <a:ln w="15875">
            <a:solidFill>
              <a:schemeClr val="tx1"/>
            </a:solidFill>
          </a:ln>
        </c:spPr>
        <c:txPr>
          <a:bodyPr/>
          <a:lstStyle/>
          <a:p>
            <a:pPr>
              <a:defRPr sz="800" b="1"/>
            </a:pPr>
            <a:endParaRPr lang="es-BO"/>
          </a:p>
        </c:txPr>
        <c:crossAx val="-1720301600"/>
        <c:crosses val="autoZero"/>
        <c:auto val="1"/>
        <c:lblOffset val="100"/>
        <c:baseTimeUnit val="years"/>
      </c:dateAx>
      <c:valAx>
        <c:axId val="-1720301600"/>
        <c:scaling>
          <c:orientation val="minMax"/>
        </c:scaling>
        <c:delete val="0"/>
        <c:axPos val="l"/>
        <c:majorGridlines>
          <c:spPr>
            <a:ln>
              <a:solidFill>
                <a:schemeClr val="bg1">
                  <a:lumMod val="95000"/>
                </a:schemeClr>
              </a:solidFill>
              <a:prstDash val="dash"/>
            </a:ln>
          </c:spPr>
        </c:majorGridlines>
        <c:numFmt formatCode="#,##0" sourceLinked="0"/>
        <c:majorTickMark val="out"/>
        <c:minorTickMark val="in"/>
        <c:tickLblPos val="nextTo"/>
        <c:spPr>
          <a:ln w="12700">
            <a:solidFill>
              <a:schemeClr val="tx1"/>
            </a:solidFill>
          </a:ln>
        </c:spPr>
        <c:txPr>
          <a:bodyPr/>
          <a:lstStyle/>
          <a:p>
            <a:pPr>
              <a:defRPr sz="800" b="1"/>
            </a:pPr>
            <a:endParaRPr lang="es-BO"/>
          </a:p>
        </c:txPr>
        <c:crossAx val="-1720304320"/>
        <c:crosses val="autoZero"/>
        <c:crossBetween val="between"/>
      </c:valAx>
    </c:plotArea>
    <c:plotVisOnly val="1"/>
    <c:dispBlanksAs val="gap"/>
    <c:showDLblsOverMax val="0"/>
  </c:chart>
  <c:spPr>
    <a:ln>
      <a:solidFill>
        <a:schemeClr val="bg1">
          <a:lumMod val="75000"/>
        </a:schemeClr>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C00000"/>
                </a:solidFill>
              </a:defRPr>
            </a:pPr>
            <a:r>
              <a:rPr lang="en-US" sz="900" u="none">
                <a:solidFill>
                  <a:srgbClr val="C00000"/>
                </a:solidFill>
              </a:rPr>
              <a:t>Field Gas Production,</a:t>
            </a:r>
            <a:r>
              <a:rPr lang="en-US" sz="900" u="none" baseline="0">
                <a:solidFill>
                  <a:srgbClr val="C00000"/>
                </a:solidFill>
              </a:rPr>
              <a:t> </a:t>
            </a:r>
            <a:r>
              <a:rPr lang="en-US" sz="900" u="none">
                <a:solidFill>
                  <a:srgbClr val="C00000"/>
                </a:solidFill>
              </a:rPr>
              <a:t>MMscfd</a:t>
            </a: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7911234222757983"/>
          <c:h val="0.78390344835405279"/>
        </c:manualLayout>
      </c:layout>
      <c:scatterChart>
        <c:scatterStyle val="smoothMarker"/>
        <c:varyColors val="0"/>
        <c:ser>
          <c:idx val="0"/>
          <c:order val="0"/>
          <c:tx>
            <c:v>CB Trial 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Rate'!$B$10:$AF$10</c:f>
              <c:numCache>
                <c:formatCode>#,##0.00</c:formatCode>
                <c:ptCount val="31"/>
                <c:pt idx="0">
                  <c:v>70.365049310177127</c:v>
                </c:pt>
                <c:pt idx="1">
                  <c:v>65.244574709093314</c:v>
                </c:pt>
                <c:pt idx="2">
                  <c:v>72.205300168807057</c:v>
                </c:pt>
                <c:pt idx="3">
                  <c:v>79.941623339428645</c:v>
                </c:pt>
                <c:pt idx="4">
                  <c:v>87.660034027990122</c:v>
                </c:pt>
                <c:pt idx="5">
                  <c:v>71.745424269400274</c:v>
                </c:pt>
                <c:pt idx="6">
                  <c:v>65.139755274254938</c:v>
                </c:pt>
                <c:pt idx="7">
                  <c:v>60.643185117019392</c:v>
                </c:pt>
                <c:pt idx="8">
                  <c:v>57.232150372811198</c:v>
                </c:pt>
                <c:pt idx="9">
                  <c:v>54.50043881897377</c:v>
                </c:pt>
                <c:pt idx="10">
                  <c:v>52.233015378274409</c:v>
                </c:pt>
                <c:pt idx="11">
                  <c:v>50.304335080173189</c:v>
                </c:pt>
                <c:pt idx="12">
                  <c:v>48.631088736085495</c:v>
                </c:pt>
                <c:pt idx="13">
                  <c:v>47.160104236919771</c:v>
                </c:pt>
                <c:pt idx="14">
                  <c:v>45.851046958352562</c:v>
                </c:pt>
                <c:pt idx="15">
                  <c:v>44.675184396924465</c:v>
                </c:pt>
                <c:pt idx="16">
                  <c:v>43.609049917818687</c:v>
                </c:pt>
                <c:pt idx="17">
                  <c:v>42.636918382696003</c:v>
                </c:pt>
                <c:pt idx="18">
                  <c:v>41.744732458683806</c:v>
                </c:pt>
                <c:pt idx="19">
                  <c:v>40.921911873247581</c:v>
                </c:pt>
                <c:pt idx="20">
                  <c:v>23.397936658202902</c:v>
                </c:pt>
                <c:pt idx="21">
                  <c:v>17.375023381791898</c:v>
                </c:pt>
                <c:pt idx="22">
                  <c:v>11.473566326983789</c:v>
                </c:pt>
                <c:pt idx="23">
                  <c:v>5.6845605930754619</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79-1DE7-41C8-B611-47D5655FB46B}"/>
            </c:ext>
          </c:extLst>
        </c:ser>
        <c:ser>
          <c:idx val="1"/>
          <c:order val="1"/>
          <c:tx>
            <c:v>CB Trial 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Rate'!$B$11:$AF$11</c:f>
              <c:numCache>
                <c:formatCode>#,##0.00</c:formatCode>
                <c:ptCount val="31"/>
                <c:pt idx="0">
                  <c:v>27.898803641264106</c:v>
                </c:pt>
                <c:pt idx="1">
                  <c:v>26.55702380203865</c:v>
                </c:pt>
                <c:pt idx="2">
                  <c:v>29.645142938267963</c:v>
                </c:pt>
                <c:pt idx="3">
                  <c:v>33.01190744759532</c:v>
                </c:pt>
                <c:pt idx="4">
                  <c:v>27.063857952129151</c:v>
                </c:pt>
                <c:pt idx="5">
                  <c:v>24.588783397578325</c:v>
                </c:pt>
                <c:pt idx="6">
                  <c:v>22.913937881900623</c:v>
                </c:pt>
                <c:pt idx="7">
                  <c:v>21.651803603085476</c:v>
                </c:pt>
                <c:pt idx="8">
                  <c:v>20.644942077965506</c:v>
                </c:pt>
                <c:pt idx="9">
                  <c:v>19.812620762095111</c:v>
                </c:pt>
                <c:pt idx="10">
                  <c:v>19.10653708290274</c:v>
                </c:pt>
                <c:pt idx="11">
                  <c:v>18.496034749938417</c:v>
                </c:pt>
                <c:pt idx="12">
                  <c:v>17.959827040334709</c:v>
                </c:pt>
                <c:pt idx="13">
                  <c:v>17.48352202750106</c:v>
                </c:pt>
                <c:pt idx="14">
                  <c:v>17.056042027725876</c:v>
                </c:pt>
                <c:pt idx="15">
                  <c:v>16.669234880698998</c:v>
                </c:pt>
                <c:pt idx="16">
                  <c:v>16.316440223177338</c:v>
                </c:pt>
                <c:pt idx="17">
                  <c:v>15.99295637721915</c:v>
                </c:pt>
                <c:pt idx="18">
                  <c:v>15.694644993847742</c:v>
                </c:pt>
                <c:pt idx="19">
                  <c:v>15.418306309887184</c:v>
                </c:pt>
                <c:pt idx="20">
                  <c:v>7.7057638039109086</c:v>
                </c:pt>
                <c:pt idx="21">
                  <c:v>5.0924769965246988</c:v>
                </c:pt>
                <c:pt idx="22">
                  <c:v>2.5249535603671442</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7A-1DE7-41C8-B611-47D5655FB46B}"/>
            </c:ext>
          </c:extLst>
        </c:ser>
        <c:ser>
          <c:idx val="2"/>
          <c:order val="2"/>
          <c:tx>
            <c:v>CB Trial 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Rate'!$B$12:$AF$12</c:f>
              <c:numCache>
                <c:formatCode>#,##0.00</c:formatCode>
                <c:ptCount val="31"/>
                <c:pt idx="0">
                  <c:v>88.66188294475819</c:v>
                </c:pt>
                <c:pt idx="1">
                  <c:v>78.484836551268003</c:v>
                </c:pt>
                <c:pt idx="2">
                  <c:v>85.577753579771525</c:v>
                </c:pt>
                <c:pt idx="3">
                  <c:v>64.251645429080781</c:v>
                </c:pt>
                <c:pt idx="4">
                  <c:v>56.19503908227032</c:v>
                </c:pt>
                <c:pt idx="5">
                  <c:v>51.011127480459379</c:v>
                </c:pt>
                <c:pt idx="6">
                  <c:v>47.241617504705189</c:v>
                </c:pt>
                <c:pt idx="7">
                  <c:v>44.321051787264935</c:v>
                </c:pt>
                <c:pt idx="8">
                  <c:v>41.958126559771898</c:v>
                </c:pt>
                <c:pt idx="9">
                  <c:v>39.991946432136444</c:v>
                </c:pt>
                <c:pt idx="10">
                  <c:v>38.318378571410641</c:v>
                </c:pt>
                <c:pt idx="11">
                  <c:v>36.870822230196055</c:v>
                </c:pt>
                <c:pt idx="12">
                  <c:v>35.599137241122534</c:v>
                </c:pt>
                <c:pt idx="13">
                  <c:v>34.470740879838353</c:v>
                </c:pt>
                <c:pt idx="14">
                  <c:v>33.459263045358298</c:v>
                </c:pt>
                <c:pt idx="15">
                  <c:v>32.546213260227049</c:v>
                </c:pt>
                <c:pt idx="16">
                  <c:v>31.714779656836729</c:v>
                </c:pt>
                <c:pt idx="17">
                  <c:v>30.954115122845721</c:v>
                </c:pt>
                <c:pt idx="18">
                  <c:v>30.254026521781753</c:v>
                </c:pt>
                <c:pt idx="19">
                  <c:v>29.607329352265204</c:v>
                </c:pt>
                <c:pt idx="20">
                  <c:v>11.814368955411828</c:v>
                </c:pt>
                <c:pt idx="21">
                  <c:v>5.8455820511692558</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7B-1DE7-41C8-B611-47D5655FB46B}"/>
            </c:ext>
          </c:extLst>
        </c:ser>
        <c:ser>
          <c:idx val="3"/>
          <c:order val="3"/>
          <c:tx>
            <c:v>CB Trial 13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Rate'!$B$13:$AF$13</c:f>
              <c:numCache>
                <c:formatCode>#,##0.00</c:formatCode>
                <c:ptCount val="31"/>
                <c:pt idx="0">
                  <c:v>24.3586981505761</c:v>
                </c:pt>
                <c:pt idx="1">
                  <c:v>21.359330641347981</c:v>
                </c:pt>
                <c:pt idx="2">
                  <c:v>23.261728017626488</c:v>
                </c:pt>
                <c:pt idx="3">
                  <c:v>25.476428389552289</c:v>
                </c:pt>
                <c:pt idx="4">
                  <c:v>27.699233123130146</c:v>
                </c:pt>
                <c:pt idx="5">
                  <c:v>29.868331566935368</c:v>
                </c:pt>
                <c:pt idx="6">
                  <c:v>23.848833594469202</c:v>
                </c:pt>
                <c:pt idx="7">
                  <c:v>21.466498638587709</c:v>
                </c:pt>
                <c:pt idx="8">
                  <c:v>19.854744064977048</c:v>
                </c:pt>
                <c:pt idx="9">
                  <c:v>18.636322975610042</c:v>
                </c:pt>
                <c:pt idx="10">
                  <c:v>17.661970488047441</c:v>
                </c:pt>
                <c:pt idx="11">
                  <c:v>16.854478959773367</c:v>
                </c:pt>
                <c:pt idx="12">
                  <c:v>16.16788039979058</c:v>
                </c:pt>
                <c:pt idx="13">
                  <c:v>15.573373219194565</c:v>
                </c:pt>
                <c:pt idx="14">
                  <c:v>15.051189424135019</c:v>
                </c:pt>
                <c:pt idx="15">
                  <c:v>14.587166854040952</c:v>
                </c:pt>
                <c:pt idx="16">
                  <c:v>14.170482867192407</c:v>
                </c:pt>
                <c:pt idx="17">
                  <c:v>13.793460729056292</c:v>
                </c:pt>
                <c:pt idx="18">
                  <c:v>13.449997698240393</c:v>
                </c:pt>
                <c:pt idx="19">
                  <c:v>13.135260366675489</c:v>
                </c:pt>
                <c:pt idx="20">
                  <c:v>8.2219300247566558</c:v>
                </c:pt>
                <c:pt idx="21">
                  <c:v>6.4991754199687231</c:v>
                </c:pt>
                <c:pt idx="22">
                  <c:v>4.8188675124556939</c:v>
                </c:pt>
                <c:pt idx="23">
                  <c:v>3.1775091981298518</c:v>
                </c:pt>
                <c:pt idx="24">
                  <c:v>1.5721047896612685</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7C-1DE7-41C8-B611-47D5655FB46B}"/>
            </c:ext>
          </c:extLst>
        </c:ser>
        <c:ser>
          <c:idx val="4"/>
          <c:order val="4"/>
          <c:tx>
            <c:v>CB Trial 17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Rate'!$B$14:$AF$14</c:f>
              <c:numCache>
                <c:formatCode>#,##0.00</c:formatCode>
                <c:ptCount val="31"/>
                <c:pt idx="0">
                  <c:v>57.424446265239609</c:v>
                </c:pt>
                <c:pt idx="1">
                  <c:v>45.425030633248696</c:v>
                </c:pt>
                <c:pt idx="2">
                  <c:v>48.047175227323443</c:v>
                </c:pt>
                <c:pt idx="3">
                  <c:v>51.585609879388969</c:v>
                </c:pt>
                <c:pt idx="4">
                  <c:v>55.20805333748617</c:v>
                </c:pt>
                <c:pt idx="5">
                  <c:v>39.602658241642551</c:v>
                </c:pt>
                <c:pt idx="6">
                  <c:v>34.246664815198308</c:v>
                </c:pt>
                <c:pt idx="7">
                  <c:v>30.801599931860608</c:v>
                </c:pt>
                <c:pt idx="8">
                  <c:v>28.284080816988102</c:v>
                </c:pt>
                <c:pt idx="9">
                  <c:v>26.324756440738184</c:v>
                </c:pt>
                <c:pt idx="10">
                  <c:v>24.736059619615727</c:v>
                </c:pt>
                <c:pt idx="11">
                  <c:v>23.411381775906754</c:v>
                </c:pt>
                <c:pt idx="12">
                  <c:v>22.28203437274248</c:v>
                </c:pt>
                <c:pt idx="13">
                  <c:v>21.304529907570469</c:v>
                </c:pt>
                <c:pt idx="14">
                  <c:v>20.446765249709156</c:v>
                </c:pt>
                <c:pt idx="15">
                  <c:v>19.686088503902081</c:v>
                </c:pt>
                <c:pt idx="16">
                  <c:v>19.004494748088039</c:v>
                </c:pt>
                <c:pt idx="17">
                  <c:v>18.389766225091059</c:v>
                </c:pt>
                <c:pt idx="18">
                  <c:v>17.831320177716243</c:v>
                </c:pt>
                <c:pt idx="19">
                  <c:v>17.321190478432051</c:v>
                </c:pt>
                <c:pt idx="20">
                  <c:v>9.9050813125957529</c:v>
                </c:pt>
                <c:pt idx="21">
                  <c:v>7.3215808041425792</c:v>
                </c:pt>
                <c:pt idx="22">
                  <c:v>4.8135937993225522</c:v>
                </c:pt>
                <c:pt idx="23">
                  <c:v>2.3748934651871871</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7D-1DE7-41C8-B611-47D5655FB46B}"/>
            </c:ext>
          </c:extLst>
        </c:ser>
        <c:ser>
          <c:idx val="5"/>
          <c:order val="5"/>
          <c:tx>
            <c:v>CB Trial 21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Rate'!$B$15:$AF$15</c:f>
              <c:numCache>
                <c:formatCode>#,##0.00</c:formatCode>
                <c:ptCount val="31"/>
                <c:pt idx="0">
                  <c:v>62.139108700208276</c:v>
                </c:pt>
                <c:pt idx="1">
                  <c:v>55.690156999883563</c:v>
                </c:pt>
                <c:pt idx="2">
                  <c:v>60.995732225709283</c:v>
                </c:pt>
                <c:pt idx="3">
                  <c:v>67.061280808336704</c:v>
                </c:pt>
                <c:pt idx="4">
                  <c:v>73.134362587261933</c:v>
                </c:pt>
                <c:pt idx="5">
                  <c:v>79.062347142327567</c:v>
                </c:pt>
                <c:pt idx="6">
                  <c:v>64.094819392754374</c:v>
                </c:pt>
                <c:pt idx="7">
                  <c:v>57.999354061158847</c:v>
                </c:pt>
                <c:pt idx="8">
                  <c:v>53.847322007995807</c:v>
                </c:pt>
                <c:pt idx="9">
                  <c:v>50.69476898993765</c:v>
                </c:pt>
                <c:pt idx="10">
                  <c:v>48.165346022224576</c:v>
                </c:pt>
                <c:pt idx="11">
                  <c:v>46.063443543663745</c:v>
                </c:pt>
                <c:pt idx="12">
                  <c:v>44.272132836715876</c:v>
                </c:pt>
                <c:pt idx="13">
                  <c:v>42.717994298499995</c:v>
                </c:pt>
                <c:pt idx="14">
                  <c:v>41.350498096018413</c:v>
                </c:pt>
                <c:pt idx="15">
                  <c:v>40.133372426486467</c:v>
                </c:pt>
                <c:pt idx="16">
                  <c:v>39.038819486573644</c:v>
                </c:pt>
                <c:pt idx="17">
                  <c:v>38.047123565318849</c:v>
                </c:pt>
                <c:pt idx="18">
                  <c:v>37.14257561010168</c:v>
                </c:pt>
                <c:pt idx="19">
                  <c:v>36.312720215829636</c:v>
                </c:pt>
                <c:pt idx="20">
                  <c:v>22.728545541520859</c:v>
                </c:pt>
                <c:pt idx="21">
                  <c:v>17.976167464932324</c:v>
                </c:pt>
                <c:pt idx="22">
                  <c:v>13.335616194543427</c:v>
                </c:pt>
                <c:pt idx="23">
                  <c:v>8.7977923419586297</c:v>
                </c:pt>
                <c:pt idx="24">
                  <c:v>4.3548939739272754</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7E-1DE7-41C8-B611-47D5655FB46B}"/>
            </c:ext>
          </c:extLst>
        </c:ser>
        <c:ser>
          <c:idx val="6"/>
          <c:order val="6"/>
          <c:tx>
            <c:v>CB Trial 25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Rate'!$B$16:$AF$16</c:f>
              <c:numCache>
                <c:formatCode>#,##0.00</c:formatCode>
                <c:ptCount val="31"/>
                <c:pt idx="0">
                  <c:v>69.745499439820662</c:v>
                </c:pt>
                <c:pt idx="1">
                  <c:v>64.890095581932584</c:v>
                </c:pt>
                <c:pt idx="2">
                  <c:v>71.893087797349665</c:v>
                </c:pt>
                <c:pt idx="3">
                  <c:v>79.655491433184579</c:v>
                </c:pt>
                <c:pt idx="4">
                  <c:v>87.397435845269229</c:v>
                </c:pt>
                <c:pt idx="5">
                  <c:v>94.961694105052317</c:v>
                </c:pt>
                <c:pt idx="6">
                  <c:v>79.062342407327264</c:v>
                </c:pt>
                <c:pt idx="7">
                  <c:v>72.318275663115742</c:v>
                </c:pt>
                <c:pt idx="8">
                  <c:v>67.663343062964259</c:v>
                </c:pt>
                <c:pt idx="9">
                  <c:v>64.097986384053087</c:v>
                </c:pt>
                <c:pt idx="10">
                  <c:v>61.218174309842908</c:v>
                </c:pt>
                <c:pt idx="11">
                  <c:v>58.811991704067225</c:v>
                </c:pt>
                <c:pt idx="12">
                  <c:v>56.75177165414042</c:v>
                </c:pt>
                <c:pt idx="13">
                  <c:v>54.957027222004399</c:v>
                </c:pt>
                <c:pt idx="14">
                  <c:v>53.37206063927313</c:v>
                </c:pt>
                <c:pt idx="15">
                  <c:v>51.956734704530952</c:v>
                </c:pt>
                <c:pt idx="16">
                  <c:v>50.680108175414908</c:v>
                </c:pt>
                <c:pt idx="17">
                  <c:v>49.520246018997092</c:v>
                </c:pt>
                <c:pt idx="18">
                  <c:v>48.459588191150893</c:v>
                </c:pt>
                <c:pt idx="19">
                  <c:v>47.484181207863202</c:v>
                </c:pt>
                <c:pt idx="20">
                  <c:v>29.71753912899354</c:v>
                </c:pt>
                <c:pt idx="21">
                  <c:v>23.531025341460655</c:v>
                </c:pt>
                <c:pt idx="22">
                  <c:v>17.475729319014512</c:v>
                </c:pt>
                <c:pt idx="23">
                  <c:v>11.541250946109647</c:v>
                </c:pt>
                <c:pt idx="24">
                  <c:v>5.7186562010608544</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7F-1DE7-41C8-B611-47D5655FB46B}"/>
            </c:ext>
          </c:extLst>
        </c:ser>
        <c:ser>
          <c:idx val="7"/>
          <c:order val="7"/>
          <c:tx>
            <c:v>CB Trial 29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Rate'!$B$17:$AF$17</c:f>
              <c:numCache>
                <c:formatCode>#,##0.00</c:formatCode>
                <c:ptCount val="31"/>
                <c:pt idx="0">
                  <c:v>45.350132009902943</c:v>
                </c:pt>
                <c:pt idx="1">
                  <c:v>31.61841152039273</c:v>
                </c:pt>
                <c:pt idx="2">
                  <c:v>32.21173418846972</c:v>
                </c:pt>
                <c:pt idx="3">
                  <c:v>18.594888182507351</c:v>
                </c:pt>
                <c:pt idx="4">
                  <c:v>14.728598731786628</c:v>
                </c:pt>
                <c:pt idx="5">
                  <c:v>12.474365229710768</c:v>
                </c:pt>
                <c:pt idx="6">
                  <c:v>10.941414194267802</c:v>
                </c:pt>
                <c:pt idx="7">
                  <c:v>9.8140078722197615</c:v>
                </c:pt>
                <c:pt idx="8">
                  <c:v>8.9402972226088782</c:v>
                </c:pt>
                <c:pt idx="9">
                  <c:v>8.2395620046467304</c:v>
                </c:pt>
                <c:pt idx="10">
                  <c:v>7.6620354759553138</c:v>
                </c:pt>
                <c:pt idx="11">
                  <c:v>7.1766595984815167</c:v>
                </c:pt>
                <c:pt idx="12">
                  <c:v>6.7611856974620457</c:v>
                </c:pt>
                <c:pt idx="13">
                  <c:v>6.4011476749946219</c:v>
                </c:pt>
                <c:pt idx="14">
                  <c:v>6.0853583579912991</c:v>
                </c:pt>
                <c:pt idx="15">
                  <c:v>5.805983445175416</c:v>
                </c:pt>
                <c:pt idx="16">
                  <c:v>5.5563116004669268</c:v>
                </c:pt>
                <c:pt idx="17">
                  <c:v>5.3318644706711638</c:v>
                </c:pt>
                <c:pt idx="18">
                  <c:v>5.128668298518714</c:v>
                </c:pt>
                <c:pt idx="19">
                  <c:v>4.9438652771330709</c:v>
                </c:pt>
                <c:pt idx="20">
                  <c:v>1.96923879892636</c:v>
                </c:pt>
                <c:pt idx="21">
                  <c:v>0.96719044803022836</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0-1DE7-41C8-B611-47D5655FB46B}"/>
            </c:ext>
          </c:extLst>
        </c:ser>
        <c:ser>
          <c:idx val="8"/>
          <c:order val="8"/>
          <c:tx>
            <c:v>CB Trial 33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Rate'!$B$18:$AF$18</c:f>
              <c:numCache>
                <c:formatCode>#,##0.00</c:formatCode>
                <c:ptCount val="31"/>
                <c:pt idx="0">
                  <c:v>43.847880967419982</c:v>
                </c:pt>
                <c:pt idx="1">
                  <c:v>34.426281642680813</c:v>
                </c:pt>
                <c:pt idx="2">
                  <c:v>36.237875599611542</c:v>
                </c:pt>
                <c:pt idx="3">
                  <c:v>24.167847200262603</c:v>
                </c:pt>
                <c:pt idx="4">
                  <c:v>20.184457409652996</c:v>
                </c:pt>
                <c:pt idx="5">
                  <c:v>17.736937014324376</c:v>
                </c:pt>
                <c:pt idx="6">
                  <c:v>16.012340875269388</c:v>
                </c:pt>
                <c:pt idx="7">
                  <c:v>14.708496155681063</c:v>
                </c:pt>
                <c:pt idx="8">
                  <c:v>13.674760541491272</c:v>
                </c:pt>
                <c:pt idx="9">
                  <c:v>12.82937298500574</c:v>
                </c:pt>
                <c:pt idx="10">
                  <c:v>12.120640409226482</c:v>
                </c:pt>
                <c:pt idx="11">
                  <c:v>11.5158642794543</c:v>
                </c:pt>
                <c:pt idx="12">
                  <c:v>10.991023942211713</c:v>
                </c:pt>
                <c:pt idx="13">
                  <c:v>10.53048195113619</c:v>
                </c:pt>
                <c:pt idx="14">
                  <c:v>10.121865683085726</c:v>
                </c:pt>
                <c:pt idx="15">
                  <c:v>9.7564946731454505</c:v>
                </c:pt>
                <c:pt idx="16">
                  <c:v>9.4267112274132216</c:v>
                </c:pt>
                <c:pt idx="17">
                  <c:v>9.1274808305873183</c:v>
                </c:pt>
                <c:pt idx="18">
                  <c:v>8.8542090340833504</c:v>
                </c:pt>
                <c:pt idx="19">
                  <c:v>8.6036198215750002</c:v>
                </c:pt>
                <c:pt idx="20">
                  <c:v>3.4302871773570924</c:v>
                </c:pt>
                <c:pt idx="21">
                  <c:v>1.6913847002701723</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1-1DE7-41C8-B611-47D5655FB46B}"/>
            </c:ext>
          </c:extLst>
        </c:ser>
        <c:ser>
          <c:idx val="9"/>
          <c:order val="9"/>
          <c:tx>
            <c:v>CB Trial 37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Rate'!$B$19:$AF$19</c:f>
              <c:numCache>
                <c:formatCode>#,##0.00</c:formatCode>
                <c:ptCount val="31"/>
                <c:pt idx="0">
                  <c:v>63.69087688931841</c:v>
                </c:pt>
                <c:pt idx="1">
                  <c:v>44.486891680401619</c:v>
                </c:pt>
                <c:pt idx="2">
                  <c:v>45.084844294253713</c:v>
                </c:pt>
                <c:pt idx="3">
                  <c:v>47.036068614238317</c:v>
                </c:pt>
                <c:pt idx="4">
                  <c:v>27.967004026184412</c:v>
                </c:pt>
                <c:pt idx="5">
                  <c:v>22.350985336244594</c:v>
                </c:pt>
                <c:pt idx="6">
                  <c:v>19.029755331732321</c:v>
                </c:pt>
                <c:pt idx="7">
                  <c:v>16.744405950959955</c:v>
                </c:pt>
                <c:pt idx="8">
                  <c:v>15.045468148950144</c:v>
                </c:pt>
                <c:pt idx="9">
                  <c:v>13.720294268418641</c:v>
                </c:pt>
                <c:pt idx="10">
                  <c:v>12.650655803718218</c:v>
                </c:pt>
                <c:pt idx="11">
                  <c:v>11.765249507235451</c:v>
                </c:pt>
                <c:pt idx="12">
                  <c:v>11.017337763841708</c:v>
                </c:pt>
                <c:pt idx="13">
                  <c:v>10.375959114062937</c:v>
                </c:pt>
                <c:pt idx="14">
                  <c:v>9.8185451545979063</c:v>
                </c:pt>
                <c:pt idx="15">
                  <c:v>9.3288684813218659</c:v>
                </c:pt>
                <c:pt idx="16">
                  <c:v>8.894364582902913</c:v>
                </c:pt>
                <c:pt idx="17">
                  <c:v>8.5060290597948534</c:v>
                </c:pt>
                <c:pt idx="18">
                  <c:v>8.1564010899315615</c:v>
                </c:pt>
                <c:pt idx="19">
                  <c:v>7.8397450930835202</c:v>
                </c:pt>
                <c:pt idx="20">
                  <c:v>3.9148675578226531</c:v>
                </c:pt>
                <c:pt idx="21">
                  <c:v>2.5592038319513364</c:v>
                </c:pt>
                <c:pt idx="22">
                  <c:v>1.2557994093054445</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2-1DE7-41C8-B611-47D5655FB46B}"/>
            </c:ext>
          </c:extLst>
        </c:ser>
        <c:ser>
          <c:idx val="10"/>
          <c:order val="10"/>
          <c:tx>
            <c:v>CB Trial 41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Rate'!$B$20:$AF$20</c:f>
              <c:numCache>
                <c:formatCode>#,##0.00</c:formatCode>
                <c:ptCount val="31"/>
                <c:pt idx="0">
                  <c:v>34.874461810788709</c:v>
                </c:pt>
                <c:pt idx="1">
                  <c:v>33.73906847375919</c:v>
                </c:pt>
                <c:pt idx="2">
                  <c:v>37.85945989698029</c:v>
                </c:pt>
                <c:pt idx="3">
                  <c:v>42.306728501657254</c:v>
                </c:pt>
                <c:pt idx="4">
                  <c:v>46.729231722611686</c:v>
                </c:pt>
                <c:pt idx="5">
                  <c:v>39.431887103520452</c:v>
                </c:pt>
                <c:pt idx="6">
                  <c:v>36.276798661288773</c:v>
                </c:pt>
                <c:pt idx="7">
                  <c:v>34.096339941782716</c:v>
                </c:pt>
                <c:pt idx="8">
                  <c:v>32.42531352841457</c:v>
                </c:pt>
                <c:pt idx="9">
                  <c:v>31.076481251665442</c:v>
                </c:pt>
                <c:pt idx="10">
                  <c:v>29.949599111881263</c:v>
                </c:pt>
                <c:pt idx="11">
                  <c:v>28.985723054824376</c:v>
                </c:pt>
                <c:pt idx="12">
                  <c:v>28.145407825720749</c:v>
                </c:pt>
                <c:pt idx="13">
                  <c:v>27.403439982715611</c:v>
                </c:pt>
                <c:pt idx="14">
                  <c:v>26.740538007500362</c:v>
                </c:pt>
                <c:pt idx="15">
                  <c:v>26.142935159241759</c:v>
                </c:pt>
                <c:pt idx="16">
                  <c:v>25.599293793116221</c:v>
                </c:pt>
                <c:pt idx="17">
                  <c:v>25.10205429761303</c:v>
                </c:pt>
                <c:pt idx="18">
                  <c:v>24.644391087392112</c:v>
                </c:pt>
                <c:pt idx="19">
                  <c:v>24.221170278966468</c:v>
                </c:pt>
                <c:pt idx="20">
                  <c:v>13.848194848825981</c:v>
                </c:pt>
                <c:pt idx="21">
                  <c:v>10.296876325214674</c:v>
                </c:pt>
                <c:pt idx="22">
                  <c:v>6.8079769105462411</c:v>
                </c:pt>
                <c:pt idx="23">
                  <c:v>3.3770164745265028</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3-1DE7-41C8-B611-47D5655FB46B}"/>
            </c:ext>
          </c:extLst>
        </c:ser>
        <c:ser>
          <c:idx val="11"/>
          <c:order val="11"/>
          <c:tx>
            <c:v>CB Trial 45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Rate'!$B$21:$AF$21</c:f>
              <c:numCache>
                <c:formatCode>#,##0.00</c:formatCode>
                <c:ptCount val="31"/>
                <c:pt idx="0">
                  <c:v>35.342551078608388</c:v>
                </c:pt>
                <c:pt idx="1">
                  <c:v>33.692026929807952</c:v>
                </c:pt>
                <c:pt idx="2">
                  <c:v>37.69319553282029</c:v>
                </c:pt>
                <c:pt idx="3">
                  <c:v>42.035168213741152</c:v>
                </c:pt>
                <c:pt idx="4">
                  <c:v>34.574820565347842</c:v>
                </c:pt>
                <c:pt idx="5">
                  <c:v>31.497693458204964</c:v>
                </c:pt>
                <c:pt idx="6">
                  <c:v>29.410751703899173</c:v>
                </c:pt>
                <c:pt idx="7">
                  <c:v>27.835347220121175</c:v>
                </c:pt>
                <c:pt idx="8">
                  <c:v>26.576791716219308</c:v>
                </c:pt>
                <c:pt idx="9">
                  <c:v>25.535152514004057</c:v>
                </c:pt>
                <c:pt idx="10">
                  <c:v>24.650566005567395</c:v>
                </c:pt>
                <c:pt idx="11">
                  <c:v>23.885007207064362</c:v>
                </c:pt>
                <c:pt idx="12">
                  <c:v>23.212041958189268</c:v>
                </c:pt>
                <c:pt idx="13">
                  <c:v>22.613795573318829</c:v>
                </c:pt>
                <c:pt idx="14">
                  <c:v>22.076492634819196</c:v>
                </c:pt>
                <c:pt idx="15">
                  <c:v>21.58999217966883</c:v>
                </c:pt>
                <c:pt idx="16">
                  <c:v>21.145998002009133</c:v>
                </c:pt>
                <c:pt idx="17">
                  <c:v>20.738658104911519</c:v>
                </c:pt>
                <c:pt idx="18">
                  <c:v>20.362813436943355</c:v>
                </c:pt>
                <c:pt idx="19">
                  <c:v>20.01447531171182</c:v>
                </c:pt>
                <c:pt idx="20">
                  <c:v>10.002993223188982</c:v>
                </c:pt>
                <c:pt idx="21">
                  <c:v>6.6123046801321284</c:v>
                </c:pt>
                <c:pt idx="22">
                  <c:v>3.279307058846344</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4-1DE7-41C8-B611-47D5655FB46B}"/>
            </c:ext>
          </c:extLst>
        </c:ser>
        <c:ser>
          <c:idx val="12"/>
          <c:order val="12"/>
          <c:tx>
            <c:v>CB Trial 49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Rate'!$B$22:$AF$22</c:f>
              <c:numCache>
                <c:formatCode>#,##0.00</c:formatCode>
                <c:ptCount val="31"/>
                <c:pt idx="0">
                  <c:v>34.85179572554312</c:v>
                </c:pt>
                <c:pt idx="1">
                  <c:v>26.671396478885924</c:v>
                </c:pt>
                <c:pt idx="2">
                  <c:v>27.799236484563316</c:v>
                </c:pt>
                <c:pt idx="3">
                  <c:v>29.55684033515292</c:v>
                </c:pt>
                <c:pt idx="4">
                  <c:v>31.388580802906137</c:v>
                </c:pt>
                <c:pt idx="5">
                  <c:v>21.562802279853631</c:v>
                </c:pt>
                <c:pt idx="6">
                  <c:v>18.265377168148685</c:v>
                </c:pt>
                <c:pt idx="7">
                  <c:v>16.189535506568497</c:v>
                </c:pt>
                <c:pt idx="8">
                  <c:v>14.694869854354573</c:v>
                </c:pt>
                <c:pt idx="9">
                  <c:v>13.544932877552151</c:v>
                </c:pt>
                <c:pt idx="10">
                  <c:v>12.621360573972842</c:v>
                </c:pt>
                <c:pt idx="11">
                  <c:v>11.857540867102159</c:v>
                </c:pt>
                <c:pt idx="12">
                  <c:v>11.211017068706692</c:v>
                </c:pt>
                <c:pt idx="13">
                  <c:v>10.655008785847258</c:v>
                </c:pt>
                <c:pt idx="14">
                  <c:v>10.169944107640791</c:v>
                </c:pt>
                <c:pt idx="15">
                  <c:v>9.7420692757888236</c:v>
                </c:pt>
                <c:pt idx="16">
                  <c:v>9.3605609263879987</c:v>
                </c:pt>
                <c:pt idx="17">
                  <c:v>9.0180486826741628</c:v>
                </c:pt>
                <c:pt idx="18">
                  <c:v>8.7082211031628383</c:v>
                </c:pt>
                <c:pt idx="19">
                  <c:v>8.4263301777346271</c:v>
                </c:pt>
                <c:pt idx="20">
                  <c:v>4.8187300451214625</c:v>
                </c:pt>
                <c:pt idx="21">
                  <c:v>3.5548634575584792</c:v>
                </c:pt>
                <c:pt idx="22">
                  <c:v>2.3327718325882096</c:v>
                </c:pt>
                <c:pt idx="23">
                  <c:v>1.1488658807430776</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5-1DE7-41C8-B611-47D5655FB46B}"/>
            </c:ext>
          </c:extLst>
        </c:ser>
        <c:ser>
          <c:idx val="13"/>
          <c:order val="13"/>
          <c:tx>
            <c:v>CB Trial 53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Rate'!$B$23:$AF$23</c:f>
              <c:numCache>
                <c:formatCode>#,##0.00</c:formatCode>
                <c:ptCount val="31"/>
                <c:pt idx="0">
                  <c:v>54.11622037570686</c:v>
                </c:pt>
                <c:pt idx="1">
                  <c:v>42.793067948809011</c:v>
                </c:pt>
                <c:pt idx="2">
                  <c:v>45.219261576559468</c:v>
                </c:pt>
                <c:pt idx="3">
                  <c:v>48.519386778257605</c:v>
                </c:pt>
                <c:pt idx="4">
                  <c:v>51.9013583327595</c:v>
                </c:pt>
                <c:pt idx="5">
                  <c:v>55.202901835531904</c:v>
                </c:pt>
                <c:pt idx="6">
                  <c:v>58.381510373760975</c:v>
                </c:pt>
                <c:pt idx="7">
                  <c:v>61.432749623122589</c:v>
                </c:pt>
                <c:pt idx="8">
                  <c:v>46.321739573318453</c:v>
                </c:pt>
                <c:pt idx="9">
                  <c:v>40.885420997197869</c:v>
                </c:pt>
                <c:pt idx="10">
                  <c:v>37.287291973860384</c:v>
                </c:pt>
                <c:pt idx="11">
                  <c:v>34.598209816123955</c:v>
                </c:pt>
                <c:pt idx="12">
                  <c:v>32.463603818693159</c:v>
                </c:pt>
                <c:pt idx="13">
                  <c:v>30.704664705409591</c:v>
                </c:pt>
                <c:pt idx="14">
                  <c:v>29.217063016407643</c:v>
                </c:pt>
                <c:pt idx="15">
                  <c:v>27.934561587092972</c:v>
                </c:pt>
                <c:pt idx="16">
                  <c:v>26.812118686007775</c:v>
                </c:pt>
                <c:pt idx="17">
                  <c:v>25.818235119549691</c:v>
                </c:pt>
                <c:pt idx="18">
                  <c:v>24.929337652646069</c:v>
                </c:pt>
                <c:pt idx="19">
                  <c:v>24.127772766515953</c:v>
                </c:pt>
                <c:pt idx="20">
                  <c:v>16.937381155535821</c:v>
                </c:pt>
                <c:pt idx="21">
                  <c:v>14.272844237544554</c:v>
                </c:pt>
                <c:pt idx="22">
                  <c:v>11.703505945691582</c:v>
                </c:pt>
                <c:pt idx="23">
                  <c:v>9.2198559268368925</c:v>
                </c:pt>
                <c:pt idx="24">
                  <c:v>6.8140946724313727</c:v>
                </c:pt>
                <c:pt idx="25">
                  <c:v>4.4793286599890569</c:v>
                </c:pt>
                <c:pt idx="26">
                  <c:v>2.2096857946139958</c:v>
                </c:pt>
                <c:pt idx="27">
                  <c:v>0</c:v>
                </c:pt>
                <c:pt idx="28">
                  <c:v>0</c:v>
                </c:pt>
                <c:pt idx="29">
                  <c:v>0</c:v>
                </c:pt>
                <c:pt idx="30">
                  <c:v>0</c:v>
                </c:pt>
              </c:numCache>
            </c:numRef>
          </c:yVal>
          <c:smooth val="0"/>
          <c:extLst>
            <c:ext xmlns:c16="http://schemas.microsoft.com/office/drawing/2014/chart" uri="{C3380CC4-5D6E-409C-BE32-E72D297353CC}">
              <c16:uniqueId val="{00000486-1DE7-41C8-B611-47D5655FB46B}"/>
            </c:ext>
          </c:extLst>
        </c:ser>
        <c:ser>
          <c:idx val="14"/>
          <c:order val="14"/>
          <c:tx>
            <c:v>CB Trial 57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Rate'!$B$24:$AF$24</c:f>
              <c:numCache>
                <c:formatCode>#,##0.00</c:formatCode>
                <c:ptCount val="31"/>
                <c:pt idx="0">
                  <c:v>53.31028326337848</c:v>
                </c:pt>
                <c:pt idx="1">
                  <c:v>46.23702593900888</c:v>
                </c:pt>
                <c:pt idx="2">
                  <c:v>50.061185451204196</c:v>
                </c:pt>
                <c:pt idx="3">
                  <c:v>36.844790011122754</c:v>
                </c:pt>
                <c:pt idx="4">
                  <c:v>31.939796548733554</c:v>
                </c:pt>
                <c:pt idx="5">
                  <c:v>28.810603139808677</c:v>
                </c:pt>
                <c:pt idx="6">
                  <c:v>26.548731664230512</c:v>
                </c:pt>
                <c:pt idx="7">
                  <c:v>24.804476204387012</c:v>
                </c:pt>
                <c:pt idx="8">
                  <c:v>23.39876484522761</c:v>
                </c:pt>
                <c:pt idx="9">
                  <c:v>22.232997265161405</c:v>
                </c:pt>
                <c:pt idx="10">
                  <c:v>21.243643753693188</c:v>
                </c:pt>
                <c:pt idx="11">
                  <c:v>20.390152219450101</c:v>
                </c:pt>
                <c:pt idx="12">
                  <c:v>19.642141734615365</c:v>
                </c:pt>
                <c:pt idx="13">
                  <c:v>18.979856904465159</c:v>
                </c:pt>
                <c:pt idx="14">
                  <c:v>18.38738195317304</c:v>
                </c:pt>
                <c:pt idx="15">
                  <c:v>17.853553103589064</c:v>
                </c:pt>
                <c:pt idx="16">
                  <c:v>17.368283003677639</c:v>
                </c:pt>
                <c:pt idx="17">
                  <c:v>16.925035921201342</c:v>
                </c:pt>
                <c:pt idx="18">
                  <c:v>16.517707424940834</c:v>
                </c:pt>
                <c:pt idx="19">
                  <c:v>16.141983539876431</c:v>
                </c:pt>
                <c:pt idx="20">
                  <c:v>6.440171342073449</c:v>
                </c:pt>
                <c:pt idx="21">
                  <c:v>3.1843281146177387</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7-1DE7-41C8-B611-47D5655FB46B}"/>
            </c:ext>
          </c:extLst>
        </c:ser>
        <c:ser>
          <c:idx val="15"/>
          <c:order val="15"/>
          <c:tx>
            <c:v>CB Trial 61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Rate'!$B$25:$AF$25</c:f>
              <c:numCache>
                <c:formatCode>#,##0.00</c:formatCode>
                <c:ptCount val="31"/>
                <c:pt idx="0">
                  <c:v>53.054211878334485</c:v>
                </c:pt>
                <c:pt idx="1">
                  <c:v>49.207429801633737</c:v>
                </c:pt>
                <c:pt idx="2">
                  <c:v>54.476352300111571</c:v>
                </c:pt>
                <c:pt idx="3">
                  <c:v>60.327101129686149</c:v>
                </c:pt>
                <c:pt idx="4">
                  <c:v>66.163728324895871</c:v>
                </c:pt>
                <c:pt idx="5">
                  <c:v>54.181319027822802</c:v>
                </c:pt>
                <c:pt idx="6">
                  <c:v>49.213123006841549</c:v>
                </c:pt>
                <c:pt idx="7">
                  <c:v>45.829936476049895</c:v>
                </c:pt>
                <c:pt idx="8">
                  <c:v>43.26277505667057</c:v>
                </c:pt>
                <c:pt idx="9">
                  <c:v>41.206406005611861</c:v>
                </c:pt>
                <c:pt idx="10">
                  <c:v>39.49921243243427</c:v>
                </c:pt>
                <c:pt idx="11">
                  <c:v>38.046821809727071</c:v>
                </c:pt>
                <c:pt idx="12">
                  <c:v>36.786596912105878</c:v>
                </c:pt>
                <c:pt idx="13">
                  <c:v>35.67855841489704</c:v>
                </c:pt>
                <c:pt idx="14">
                  <c:v>34.692372522831285</c:v>
                </c:pt>
                <c:pt idx="15">
                  <c:v>33.806429571521647</c:v>
                </c:pt>
                <c:pt idx="16">
                  <c:v>33.003076099042246</c:v>
                </c:pt>
                <c:pt idx="17">
                  <c:v>32.270484216307104</c:v>
                </c:pt>
                <c:pt idx="18">
                  <c:v>31.598077384124895</c:v>
                </c:pt>
                <c:pt idx="19">
                  <c:v>30.977895333233523</c:v>
                </c:pt>
                <c:pt idx="20">
                  <c:v>17.71221237640307</c:v>
                </c:pt>
                <c:pt idx="21">
                  <c:v>13.153438008235886</c:v>
                </c:pt>
                <c:pt idx="22">
                  <c:v>8.6862060195263719</c:v>
                </c:pt>
                <c:pt idx="23">
                  <c:v>4.3037362584323304</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8-1DE7-41C8-B611-47D5655FB46B}"/>
            </c:ext>
          </c:extLst>
        </c:ser>
        <c:ser>
          <c:idx val="16"/>
          <c:order val="16"/>
          <c:tx>
            <c:v>CB Trial 65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Rate'!$B$26:$AF$26</c:f>
              <c:numCache>
                <c:formatCode>#,##0.00</c:formatCode>
                <c:ptCount val="31"/>
                <c:pt idx="0">
                  <c:v>40.161254612442107</c:v>
                </c:pt>
                <c:pt idx="1">
                  <c:v>29.605836442123575</c:v>
                </c:pt>
                <c:pt idx="2">
                  <c:v>30.532547203395612</c:v>
                </c:pt>
                <c:pt idx="3">
                  <c:v>32.229543596092981</c:v>
                </c:pt>
                <c:pt idx="4">
                  <c:v>34.029158483536669</c:v>
                </c:pt>
                <c:pt idx="5">
                  <c:v>22.40691784916751</c:v>
                </c:pt>
                <c:pt idx="6">
                  <c:v>18.693497453761442</c:v>
                </c:pt>
                <c:pt idx="7">
                  <c:v>16.39514283374643</c:v>
                </c:pt>
                <c:pt idx="8">
                  <c:v>14.75866426165325</c:v>
                </c:pt>
                <c:pt idx="9">
                  <c:v>13.510322148730816</c:v>
                </c:pt>
                <c:pt idx="10">
                  <c:v>12.514684462073669</c:v>
                </c:pt>
                <c:pt idx="11">
                  <c:v>11.696137961752751</c:v>
                </c:pt>
                <c:pt idx="12">
                  <c:v>11.006881121570329</c:v>
                </c:pt>
                <c:pt idx="13">
                  <c:v>10.416859154610663</c:v>
                </c:pt>
                <c:pt idx="14">
                  <c:v>9.9042664115060841</c:v>
                </c:pt>
                <c:pt idx="15">
                  <c:v>9.4538286766349131</c:v>
                </c:pt>
                <c:pt idx="16">
                  <c:v>9.0536102931296476</c:v>
                </c:pt>
                <c:pt idx="17">
                  <c:v>8.6954681811978709</c:v>
                </c:pt>
                <c:pt idx="18">
                  <c:v>8.3724837366418718</c:v>
                </c:pt>
                <c:pt idx="19">
                  <c:v>8.0794560487824896</c:v>
                </c:pt>
                <c:pt idx="20">
                  <c:v>4.620421444606241</c:v>
                </c:pt>
                <c:pt idx="21">
                  <c:v>3.4038464579175169</c:v>
                </c:pt>
                <c:pt idx="22">
                  <c:v>2.2307305670528175</c:v>
                </c:pt>
                <c:pt idx="23">
                  <c:v>1.0972336069130479</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9-1DE7-41C8-B611-47D5655FB46B}"/>
            </c:ext>
          </c:extLst>
        </c:ser>
        <c:ser>
          <c:idx val="17"/>
          <c:order val="17"/>
          <c:tx>
            <c:v>CB Trial 69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Rate'!$B$27:$AF$27</c:f>
              <c:numCache>
                <c:formatCode>#,##0.00</c:formatCode>
                <c:ptCount val="31"/>
                <c:pt idx="0">
                  <c:v>37.050979923931848</c:v>
                </c:pt>
                <c:pt idx="1">
                  <c:v>29.689456501641228</c:v>
                </c:pt>
                <c:pt idx="2">
                  <c:v>31.427448803415789</c:v>
                </c:pt>
                <c:pt idx="3">
                  <c:v>33.764497426175495</c:v>
                </c:pt>
                <c:pt idx="4">
                  <c:v>36.155927367974449</c:v>
                </c:pt>
                <c:pt idx="5">
                  <c:v>38.489976807068309</c:v>
                </c:pt>
                <c:pt idx="6">
                  <c:v>40.737419138348656</c:v>
                </c:pt>
                <c:pt idx="7">
                  <c:v>42.895333135183492</c:v>
                </c:pt>
                <c:pt idx="8">
                  <c:v>32.616167965429774</c:v>
                </c:pt>
                <c:pt idx="9">
                  <c:v>28.828533345384351</c:v>
                </c:pt>
                <c:pt idx="10">
                  <c:v>26.315402295554957</c:v>
                </c:pt>
                <c:pt idx="11">
                  <c:v>24.434614407961593</c:v>
                </c:pt>
                <c:pt idx="12">
                  <c:v>22.940200636862674</c:v>
                </c:pt>
                <c:pt idx="13">
                  <c:v>21.707875500880945</c:v>
                </c:pt>
                <c:pt idx="14">
                  <c:v>20.665020171925406</c:v>
                </c:pt>
                <c:pt idx="15">
                  <c:v>19.765485075320189</c:v>
                </c:pt>
                <c:pt idx="16">
                  <c:v>18.977860552774711</c:v>
                </c:pt>
                <c:pt idx="17">
                  <c:v>18.28016996001752</c:v>
                </c:pt>
                <c:pt idx="18">
                  <c:v>17.655954882131027</c:v>
                </c:pt>
                <c:pt idx="19">
                  <c:v>17.092884922995673</c:v>
                </c:pt>
                <c:pt idx="20">
                  <c:v>11.998830788159639</c:v>
                </c:pt>
                <c:pt idx="21">
                  <c:v>10.112668729372423</c:v>
                </c:pt>
                <c:pt idx="22">
                  <c:v>8.2933523310613815</c:v>
                </c:pt>
                <c:pt idx="23">
                  <c:v>6.5342225633376101</c:v>
                </c:pt>
                <c:pt idx="24">
                  <c:v>4.8298170392740563</c:v>
                </c:pt>
                <c:pt idx="25">
                  <c:v>3.1753059483757249</c:v>
                </c:pt>
                <c:pt idx="26">
                  <c:v>1.5665741002899602</c:v>
                </c:pt>
                <c:pt idx="27">
                  <c:v>0</c:v>
                </c:pt>
                <c:pt idx="28">
                  <c:v>0</c:v>
                </c:pt>
                <c:pt idx="29">
                  <c:v>0</c:v>
                </c:pt>
                <c:pt idx="30">
                  <c:v>0</c:v>
                </c:pt>
              </c:numCache>
            </c:numRef>
          </c:yVal>
          <c:smooth val="0"/>
          <c:extLst>
            <c:ext xmlns:c16="http://schemas.microsoft.com/office/drawing/2014/chart" uri="{C3380CC4-5D6E-409C-BE32-E72D297353CC}">
              <c16:uniqueId val="{0000048A-1DE7-41C8-B611-47D5655FB46B}"/>
            </c:ext>
          </c:extLst>
        </c:ser>
        <c:ser>
          <c:idx val="18"/>
          <c:order val="18"/>
          <c:tx>
            <c:v>CB Trial 73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Rate'!$B$28:$AF$28</c:f>
              <c:numCache>
                <c:formatCode>#,##0.00</c:formatCode>
                <c:ptCount val="31"/>
                <c:pt idx="0">
                  <c:v>54.323494971434492</c:v>
                </c:pt>
                <c:pt idx="1">
                  <c:v>46.764484703351577</c:v>
                </c:pt>
                <c:pt idx="2">
                  <c:v>50.769532347637565</c:v>
                </c:pt>
                <c:pt idx="3">
                  <c:v>55.480386015172272</c:v>
                </c:pt>
                <c:pt idx="4">
                  <c:v>60.215220814021748</c:v>
                </c:pt>
                <c:pt idx="5">
                  <c:v>46.727758946522172</c:v>
                </c:pt>
                <c:pt idx="6">
                  <c:v>41.646932168562948</c:v>
                </c:pt>
                <c:pt idx="7">
                  <c:v>38.265530740708058</c:v>
                </c:pt>
                <c:pt idx="8">
                  <c:v>35.737822670300176</c:v>
                </c:pt>
                <c:pt idx="9">
                  <c:v>33.735980765305364</c:v>
                </c:pt>
                <c:pt idx="10">
                  <c:v>32.089428391255481</c:v>
                </c:pt>
                <c:pt idx="11">
                  <c:v>30.699651895381468</c:v>
                </c:pt>
                <c:pt idx="12">
                  <c:v>29.50205855806195</c:v>
                </c:pt>
                <c:pt idx="13">
                  <c:v>28.455542618943667</c:v>
                </c:pt>
                <c:pt idx="14">
                  <c:v>27.529265210666242</c:v>
                </c:pt>
                <c:pt idx="15">
                  <c:v>26.701337345373449</c:v>
                </c:pt>
                <c:pt idx="16">
                  <c:v>25.954078120601476</c:v>
                </c:pt>
                <c:pt idx="17">
                  <c:v>25.275572484615498</c:v>
                </c:pt>
                <c:pt idx="18">
                  <c:v>24.655305971486403</c:v>
                </c:pt>
                <c:pt idx="19">
                  <c:v>24.085362048933511</c:v>
                </c:pt>
                <c:pt idx="20">
                  <c:v>13.772144704024239</c:v>
                </c:pt>
                <c:pt idx="21">
                  <c:v>10.209102701063145</c:v>
                </c:pt>
                <c:pt idx="22">
                  <c:v>6.7302833846778487</c:v>
                </c:pt>
                <c:pt idx="23">
                  <c:v>3.32917213845267</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B-1DE7-41C8-B611-47D5655FB46B}"/>
            </c:ext>
          </c:extLst>
        </c:ser>
        <c:ser>
          <c:idx val="19"/>
          <c:order val="19"/>
          <c:tx>
            <c:v>CB Trial 77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Rate'!$B$29:$AF$29</c:f>
              <c:numCache>
                <c:formatCode>#,##0.00</c:formatCode>
                <c:ptCount val="31"/>
                <c:pt idx="0">
                  <c:v>45.61928170443673</c:v>
                </c:pt>
                <c:pt idx="1">
                  <c:v>39.14014218631872</c:v>
                </c:pt>
                <c:pt idx="2">
                  <c:v>42.205332477054291</c:v>
                </c:pt>
                <c:pt idx="3">
                  <c:v>30.712720578789845</c:v>
                </c:pt>
                <c:pt idx="4">
                  <c:v>26.482093684288571</c:v>
                </c:pt>
                <c:pt idx="5">
                  <c:v>23.796631323200536</c:v>
                </c:pt>
                <c:pt idx="6">
                  <c:v>21.862368524913478</c:v>
                </c:pt>
                <c:pt idx="7">
                  <c:v>20.374926024969085</c:v>
                </c:pt>
                <c:pt idx="8">
                  <c:v>19.178983135464229</c:v>
                </c:pt>
                <c:pt idx="9">
                  <c:v>18.189172807191269</c:v>
                </c:pt>
                <c:pt idx="10">
                  <c:v>17.350635785825403</c:v>
                </c:pt>
                <c:pt idx="11">
                  <c:v>16.628395629843332</c:v>
                </c:pt>
                <c:pt idx="12">
                  <c:v>15.996323492843548</c:v>
                </c:pt>
                <c:pt idx="13">
                  <c:v>15.437423095818673</c:v>
                </c:pt>
                <c:pt idx="14">
                  <c:v>14.93803819257786</c:v>
                </c:pt>
                <c:pt idx="15">
                  <c:v>14.488588325295051</c:v>
                </c:pt>
                <c:pt idx="16">
                  <c:v>14.08044832148741</c:v>
                </c:pt>
                <c:pt idx="17">
                  <c:v>13.708016349739637</c:v>
                </c:pt>
                <c:pt idx="18">
                  <c:v>13.36607887027276</c:v>
                </c:pt>
                <c:pt idx="19">
                  <c:v>13.050945948259246</c:v>
                </c:pt>
                <c:pt idx="20">
                  <c:v>5.2064229765313925</c:v>
                </c:pt>
                <c:pt idx="21">
                  <c:v>2.5732369724013151</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C-1DE7-41C8-B611-47D5655FB46B}"/>
            </c:ext>
          </c:extLst>
        </c:ser>
        <c:ser>
          <c:idx val="20"/>
          <c:order val="20"/>
          <c:tx>
            <c:v>CB Trial 81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Rate'!$B$30:$AF$30</c:f>
              <c:numCache>
                <c:formatCode>#,##0.00</c:formatCode>
                <c:ptCount val="31"/>
                <c:pt idx="0">
                  <c:v>64.444053284307529</c:v>
                </c:pt>
                <c:pt idx="1">
                  <c:v>56.073090100854536</c:v>
                </c:pt>
                <c:pt idx="2">
                  <c:v>39.46762649686157</c:v>
                </c:pt>
                <c:pt idx="3">
                  <c:v>33.651573181612697</c:v>
                </c:pt>
                <c:pt idx="4">
                  <c:v>30.079843009618557</c:v>
                </c:pt>
                <c:pt idx="5">
                  <c:v>27.568300531355082</c:v>
                </c:pt>
                <c:pt idx="6">
                  <c:v>25.667376615037796</c:v>
                </c:pt>
                <c:pt idx="7">
                  <c:v>24.159215230670522</c:v>
                </c:pt>
                <c:pt idx="8">
                  <c:v>22.919863295663358</c:v>
                </c:pt>
                <c:pt idx="9">
                  <c:v>21.877390114536119</c:v>
                </c:pt>
                <c:pt idx="10">
                  <c:v>20.983649138236789</c:v>
                </c:pt>
                <c:pt idx="11">
                  <c:v>20.205910286877771</c:v>
                </c:pt>
                <c:pt idx="12">
                  <c:v>19.519267695924878</c:v>
                </c:pt>
                <c:pt idx="13">
                  <c:v>18.907608129217564</c:v>
                </c:pt>
                <c:pt idx="14">
                  <c:v>18.357956537913239</c:v>
                </c:pt>
                <c:pt idx="15">
                  <c:v>17.860492149783976</c:v>
                </c:pt>
                <c:pt idx="16">
                  <c:v>17.406403404351607</c:v>
                </c:pt>
                <c:pt idx="17">
                  <c:v>16.990146998291102</c:v>
                </c:pt>
                <c:pt idx="18">
                  <c:v>16.606652610136781</c:v>
                </c:pt>
                <c:pt idx="19">
                  <c:v>16.251905452465092</c:v>
                </c:pt>
                <c:pt idx="20">
                  <c:v>4.0412397989387392</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8D-1DE7-41C8-B611-47D5655FB46B}"/>
            </c:ext>
          </c:extLst>
        </c:ser>
        <c:ser>
          <c:idx val="21"/>
          <c:order val="21"/>
          <c:tx>
            <c:v>CB Trial 85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Rate'!$B$31:$AF$31</c:f>
              <c:numCache>
                <c:formatCode>#,##0.00</c:formatCode>
                <c:ptCount val="31"/>
                <c:pt idx="0">
                  <c:v>28.257916670027697</c:v>
                </c:pt>
                <c:pt idx="1">
                  <c:v>24.579277099195984</c:v>
                </c:pt>
                <c:pt idx="2">
                  <c:v>26.681159884378665</c:v>
                </c:pt>
                <c:pt idx="3">
                  <c:v>29.157686859188761</c:v>
                </c:pt>
                <c:pt idx="4">
                  <c:v>31.647225520430165</c:v>
                </c:pt>
                <c:pt idx="5">
                  <c:v>34.07614129999277</c:v>
                </c:pt>
                <c:pt idx="6">
                  <c:v>36.426044150616818</c:v>
                </c:pt>
                <c:pt idx="7">
                  <c:v>29.277261981133101</c:v>
                </c:pt>
                <c:pt idx="8">
                  <c:v>26.418204358756157</c:v>
                </c:pt>
                <c:pt idx="9">
                  <c:v>24.473421397221411</c:v>
                </c:pt>
                <c:pt idx="10">
                  <c:v>22.995544039343027</c:v>
                </c:pt>
                <c:pt idx="11">
                  <c:v>21.808836437763507</c:v>
                </c:pt>
                <c:pt idx="12">
                  <c:v>20.821147116027131</c:v>
                </c:pt>
                <c:pt idx="13">
                  <c:v>19.979252789103121</c:v>
                </c:pt>
                <c:pt idx="14">
                  <c:v>19.248208135406152</c:v>
                </c:pt>
                <c:pt idx="15">
                  <c:v>18.604784519741305</c:v>
                </c:pt>
                <c:pt idx="16">
                  <c:v>18.031482761416388</c:v>
                </c:pt>
                <c:pt idx="17">
                  <c:v>17.516147509822215</c:v>
                </c:pt>
                <c:pt idx="18">
                  <c:v>17.049068474161114</c:v>
                </c:pt>
                <c:pt idx="19">
                  <c:v>16.623113114013496</c:v>
                </c:pt>
                <c:pt idx="20">
                  <c:v>11.10562372283362</c:v>
                </c:pt>
                <c:pt idx="21">
                  <c:v>9.1354956174250628</c:v>
                </c:pt>
                <c:pt idx="22">
                  <c:v>7.2185823771547097</c:v>
                </c:pt>
                <c:pt idx="23">
                  <c:v>5.3503473086552056</c:v>
                </c:pt>
                <c:pt idx="24">
                  <c:v>3.5267468608905519</c:v>
                </c:pt>
                <c:pt idx="25">
                  <c:v>1.7443193470901077</c:v>
                </c:pt>
                <c:pt idx="26">
                  <c:v>0</c:v>
                </c:pt>
                <c:pt idx="27">
                  <c:v>0</c:v>
                </c:pt>
                <c:pt idx="28">
                  <c:v>0</c:v>
                </c:pt>
                <c:pt idx="29">
                  <c:v>0</c:v>
                </c:pt>
                <c:pt idx="30">
                  <c:v>0</c:v>
                </c:pt>
              </c:numCache>
            </c:numRef>
          </c:yVal>
          <c:smooth val="0"/>
          <c:extLst>
            <c:ext xmlns:c16="http://schemas.microsoft.com/office/drawing/2014/chart" uri="{C3380CC4-5D6E-409C-BE32-E72D297353CC}">
              <c16:uniqueId val="{0000048E-1DE7-41C8-B611-47D5655FB46B}"/>
            </c:ext>
          </c:extLst>
        </c:ser>
        <c:ser>
          <c:idx val="22"/>
          <c:order val="22"/>
          <c:tx>
            <c:v>CB Trial 89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Rate'!$B$32:$AF$32</c:f>
              <c:numCache>
                <c:formatCode>#,##0.00</c:formatCode>
                <c:ptCount val="31"/>
                <c:pt idx="0">
                  <c:v>56.377075392056078</c:v>
                </c:pt>
                <c:pt idx="1">
                  <c:v>50.472362661465404</c:v>
                </c:pt>
                <c:pt idx="2">
                  <c:v>55.230322979760352</c:v>
                </c:pt>
                <c:pt idx="3">
                  <c:v>60.685975617846836</c:v>
                </c:pt>
                <c:pt idx="4">
                  <c:v>66.150419370167157</c:v>
                </c:pt>
                <c:pt idx="5">
                  <c:v>71.483772217505049</c:v>
                </c:pt>
                <c:pt idx="6">
                  <c:v>76.651695716385092</c:v>
                </c:pt>
                <c:pt idx="7">
                  <c:v>81.65456065679227</c:v>
                </c:pt>
                <c:pt idx="8">
                  <c:v>67.706822252157863</c:v>
                </c:pt>
                <c:pt idx="9">
                  <c:v>61.847099338976193</c:v>
                </c:pt>
                <c:pt idx="10">
                  <c:v>57.788267771297484</c:v>
                </c:pt>
                <c:pt idx="11">
                  <c:v>54.66458469039874</c:v>
                </c:pt>
                <c:pt idx="12">
                  <c:v>52.129449592378847</c:v>
                </c:pt>
                <c:pt idx="13">
                  <c:v>50.002704878915196</c:v>
                </c:pt>
                <c:pt idx="14">
                  <c:v>48.176538881132146</c:v>
                </c:pt>
                <c:pt idx="15">
                  <c:v>46.581240652885469</c:v>
                </c:pt>
                <c:pt idx="16">
                  <c:v>45.168520043285078</c:v>
                </c:pt>
                <c:pt idx="17">
                  <c:v>43.904300058939931</c:v>
                </c:pt>
                <c:pt idx="18">
                  <c:v>42.762654082456777</c:v>
                </c:pt>
                <c:pt idx="19">
                  <c:v>41.723998822449083</c:v>
                </c:pt>
                <c:pt idx="20">
                  <c:v>29.27582621872153</c:v>
                </c:pt>
                <c:pt idx="21">
                  <c:v>24.77618447710503</c:v>
                </c:pt>
                <c:pt idx="22">
                  <c:v>20.398443113054316</c:v>
                </c:pt>
                <c:pt idx="23">
                  <c:v>16.131372929345904</c:v>
                </c:pt>
                <c:pt idx="24">
                  <c:v>11.965713880970947</c:v>
                </c:pt>
                <c:pt idx="25">
                  <c:v>7.8931930367711454</c:v>
                </c:pt>
                <c:pt idx="26">
                  <c:v>3.9067183574388151</c:v>
                </c:pt>
                <c:pt idx="27">
                  <c:v>0</c:v>
                </c:pt>
                <c:pt idx="28">
                  <c:v>0</c:v>
                </c:pt>
                <c:pt idx="29">
                  <c:v>0</c:v>
                </c:pt>
                <c:pt idx="30">
                  <c:v>0</c:v>
                </c:pt>
              </c:numCache>
            </c:numRef>
          </c:yVal>
          <c:smooth val="0"/>
          <c:extLst>
            <c:ext xmlns:c16="http://schemas.microsoft.com/office/drawing/2014/chart" uri="{C3380CC4-5D6E-409C-BE32-E72D297353CC}">
              <c16:uniqueId val="{0000048F-1DE7-41C8-B611-47D5655FB46B}"/>
            </c:ext>
          </c:extLst>
        </c:ser>
        <c:ser>
          <c:idx val="23"/>
          <c:order val="23"/>
          <c:tx>
            <c:v>CB Trial 93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Rate'!$B$33:$AF$33</c:f>
              <c:numCache>
                <c:formatCode>#,##0.00</c:formatCode>
                <c:ptCount val="31"/>
                <c:pt idx="0">
                  <c:v>55.126694833925725</c:v>
                </c:pt>
                <c:pt idx="1">
                  <c:v>49.365057292499223</c:v>
                </c:pt>
                <c:pt idx="2">
                  <c:v>53.99878838819194</c:v>
                </c:pt>
                <c:pt idx="3">
                  <c:v>59.318688366147384</c:v>
                </c:pt>
                <c:pt idx="4">
                  <c:v>64.647966472126996</c:v>
                </c:pt>
                <c:pt idx="5">
                  <c:v>69.849115660750016</c:v>
                </c:pt>
                <c:pt idx="6">
                  <c:v>74.888345128742969</c:v>
                </c:pt>
                <c:pt idx="7">
                  <c:v>61.390404841704381</c:v>
                </c:pt>
                <c:pt idx="8">
                  <c:v>55.783253126409264</c:v>
                </c:pt>
                <c:pt idx="9">
                  <c:v>51.933474524070249</c:v>
                </c:pt>
                <c:pt idx="10">
                  <c:v>48.990438435455623</c:v>
                </c:pt>
                <c:pt idx="11">
                  <c:v>46.616587781634266</c:v>
                </c:pt>
                <c:pt idx="12">
                  <c:v>44.63363024086587</c:v>
                </c:pt>
                <c:pt idx="13">
                  <c:v>42.938162722615296</c:v>
                </c:pt>
                <c:pt idx="14">
                  <c:v>41.461975292370596</c:v>
                </c:pt>
                <c:pt idx="15">
                  <c:v>40.159615162989397</c:v>
                </c:pt>
                <c:pt idx="16">
                  <c:v>38.996687328891333</c:v>
                </c:pt>
                <c:pt idx="17">
                  <c:v>37.949291354192958</c:v>
                </c:pt>
                <c:pt idx="18">
                  <c:v>36.998260422152846</c:v>
                </c:pt>
                <c:pt idx="19">
                  <c:v>36.129510861090573</c:v>
                </c:pt>
                <c:pt idx="20">
                  <c:v>24.135231783747969</c:v>
                </c:pt>
                <c:pt idx="21">
                  <c:v>19.869573163152296</c:v>
                </c:pt>
                <c:pt idx="22">
                  <c:v>15.712257209026451</c:v>
                </c:pt>
                <c:pt idx="23">
                  <c:v>11.654207652556021</c:v>
                </c:pt>
                <c:pt idx="24">
                  <c:v>7.6873169376747743</c:v>
                </c:pt>
                <c:pt idx="25">
                  <c:v>3.8046353637106636</c:v>
                </c:pt>
                <c:pt idx="26">
                  <c:v>0</c:v>
                </c:pt>
                <c:pt idx="27">
                  <c:v>0</c:v>
                </c:pt>
                <c:pt idx="28">
                  <c:v>0</c:v>
                </c:pt>
                <c:pt idx="29">
                  <c:v>0</c:v>
                </c:pt>
                <c:pt idx="30">
                  <c:v>0</c:v>
                </c:pt>
              </c:numCache>
            </c:numRef>
          </c:yVal>
          <c:smooth val="0"/>
          <c:extLst>
            <c:ext xmlns:c16="http://schemas.microsoft.com/office/drawing/2014/chart" uri="{C3380CC4-5D6E-409C-BE32-E72D297353CC}">
              <c16:uniqueId val="{00000490-1DE7-41C8-B611-47D5655FB46B}"/>
            </c:ext>
          </c:extLst>
        </c:ser>
        <c:ser>
          <c:idx val="24"/>
          <c:order val="24"/>
          <c:tx>
            <c:v>CB Trial 97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Rate'!$B$34:$AF$34</c:f>
              <c:numCache>
                <c:formatCode>#,##0.00</c:formatCode>
                <c:ptCount val="31"/>
                <c:pt idx="0">
                  <c:v>38.976980677080796</c:v>
                </c:pt>
                <c:pt idx="1">
                  <c:v>32.421580934187361</c:v>
                </c:pt>
                <c:pt idx="2">
                  <c:v>34.621168122340954</c:v>
                </c:pt>
                <c:pt idx="3">
                  <c:v>37.420503539325303</c:v>
                </c:pt>
                <c:pt idx="4">
                  <c:v>40.263999170564183</c:v>
                </c:pt>
                <c:pt idx="5">
                  <c:v>43.037603035497</c:v>
                </c:pt>
                <c:pt idx="6">
                  <c:v>45.711881831509764</c:v>
                </c:pt>
                <c:pt idx="7">
                  <c:v>35.292303329180172</c:v>
                </c:pt>
                <c:pt idx="8">
                  <c:v>31.290591654451632</c:v>
                </c:pt>
                <c:pt idx="9">
                  <c:v>28.625124800756875</c:v>
                </c:pt>
                <c:pt idx="10">
                  <c:v>26.62791363992967</c:v>
                </c:pt>
                <c:pt idx="11">
                  <c:v>25.041454290032874</c:v>
                </c:pt>
                <c:pt idx="12">
                  <c:v>23.73272868514778</c:v>
                </c:pt>
                <c:pt idx="13">
                  <c:v>22.625598083729351</c:v>
                </c:pt>
                <c:pt idx="14">
                  <c:v>21.670590081379775</c:v>
                </c:pt>
                <c:pt idx="15">
                  <c:v>20.835006598534882</c:v>
                </c:pt>
                <c:pt idx="16">
                  <c:v>20.094466432099072</c:v>
                </c:pt>
                <c:pt idx="17">
                  <c:v>19.432051151020826</c:v>
                </c:pt>
                <c:pt idx="18">
                  <c:v>18.834366699374861</c:v>
                </c:pt>
                <c:pt idx="19">
                  <c:v>18.291584463910461</c:v>
                </c:pt>
                <c:pt idx="20">
                  <c:v>12.223044695333598</c:v>
                </c:pt>
                <c:pt idx="21">
                  <c:v>10.034034716994601</c:v>
                </c:pt>
                <c:pt idx="22">
                  <c:v>7.9131317100438601</c:v>
                </c:pt>
                <c:pt idx="23">
                  <c:v>5.8542779854416533</c:v>
                </c:pt>
                <c:pt idx="24">
                  <c:v>3.8521032119956229</c:v>
                </c:pt>
                <c:pt idx="25">
                  <c:v>1.9020243126772149</c:v>
                </c:pt>
                <c:pt idx="26">
                  <c:v>0</c:v>
                </c:pt>
                <c:pt idx="27">
                  <c:v>0</c:v>
                </c:pt>
                <c:pt idx="28">
                  <c:v>0</c:v>
                </c:pt>
                <c:pt idx="29">
                  <c:v>0</c:v>
                </c:pt>
                <c:pt idx="30">
                  <c:v>0</c:v>
                </c:pt>
              </c:numCache>
            </c:numRef>
          </c:yVal>
          <c:smooth val="0"/>
          <c:extLst>
            <c:ext xmlns:c16="http://schemas.microsoft.com/office/drawing/2014/chart" uri="{C3380CC4-5D6E-409C-BE32-E72D297353CC}">
              <c16:uniqueId val="{00000491-1DE7-41C8-B611-47D5655FB46B}"/>
            </c:ext>
          </c:extLst>
        </c:ser>
        <c:ser>
          <c:idx val="25"/>
          <c:order val="25"/>
          <c:tx>
            <c:v>CB Trial 101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Rate'!$B$35:$AF$35</c:f>
              <c:numCache>
                <c:formatCode>#,##0.00</c:formatCode>
                <c:ptCount val="31"/>
                <c:pt idx="0">
                  <c:v>29.186871050362104</c:v>
                </c:pt>
                <c:pt idx="1">
                  <c:v>26.96205748954501</c:v>
                </c:pt>
                <c:pt idx="2">
                  <c:v>29.877477818657471</c:v>
                </c:pt>
                <c:pt idx="3">
                  <c:v>33.106006956460313</c:v>
                </c:pt>
                <c:pt idx="4">
                  <c:v>36.32593979001367</c:v>
                </c:pt>
                <c:pt idx="5">
                  <c:v>39.472566841384484</c:v>
                </c:pt>
                <c:pt idx="6">
                  <c:v>42.530508815913663</c:v>
                </c:pt>
                <c:pt idx="7">
                  <c:v>45.500775954720552</c:v>
                </c:pt>
                <c:pt idx="8">
                  <c:v>38.658244675118652</c:v>
                </c:pt>
                <c:pt idx="9">
                  <c:v>35.723769540426197</c:v>
                </c:pt>
                <c:pt idx="10">
                  <c:v>33.661594644511808</c:v>
                </c:pt>
                <c:pt idx="11">
                  <c:v>32.058995183587946</c:v>
                </c:pt>
                <c:pt idx="12">
                  <c:v>30.748522759089443</c:v>
                </c:pt>
                <c:pt idx="13">
                  <c:v>29.642353171163347</c:v>
                </c:pt>
                <c:pt idx="14">
                  <c:v>28.687500118924856</c:v>
                </c:pt>
                <c:pt idx="15">
                  <c:v>27.849502113114021</c:v>
                </c:pt>
                <c:pt idx="16">
                  <c:v>27.104335275996881</c:v>
                </c:pt>
                <c:pt idx="17">
                  <c:v>26.435002507479986</c:v>
                </c:pt>
                <c:pt idx="18">
                  <c:v>25.828495599024802</c:v>
                </c:pt>
                <c:pt idx="19">
                  <c:v>25.274962129935158</c:v>
                </c:pt>
                <c:pt idx="20">
                  <c:v>17.730577813567287</c:v>
                </c:pt>
                <c:pt idx="21">
                  <c:v>15.028503642311795</c:v>
                </c:pt>
                <c:pt idx="22">
                  <c:v>12.39111178880813</c:v>
                </c:pt>
                <c:pt idx="23">
                  <c:v>9.8126245907110885</c:v>
                </c:pt>
                <c:pt idx="24">
                  <c:v>7.2882690128660244</c:v>
                </c:pt>
                <c:pt idx="25">
                  <c:v>4.8137639906442136</c:v>
                </c:pt>
                <c:pt idx="26">
                  <c:v>2.3854314872840816</c:v>
                </c:pt>
                <c:pt idx="27">
                  <c:v>0</c:v>
                </c:pt>
                <c:pt idx="28">
                  <c:v>0</c:v>
                </c:pt>
                <c:pt idx="29">
                  <c:v>0</c:v>
                </c:pt>
                <c:pt idx="30">
                  <c:v>0</c:v>
                </c:pt>
              </c:numCache>
            </c:numRef>
          </c:yVal>
          <c:smooth val="0"/>
          <c:extLst>
            <c:ext xmlns:c16="http://schemas.microsoft.com/office/drawing/2014/chart" uri="{C3380CC4-5D6E-409C-BE32-E72D297353CC}">
              <c16:uniqueId val="{00000492-1DE7-41C8-B611-47D5655FB46B}"/>
            </c:ext>
          </c:extLst>
        </c:ser>
        <c:ser>
          <c:idx val="26"/>
          <c:order val="26"/>
          <c:tx>
            <c:v>CB Trial 105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Rate'!$B$36:$AF$36</c:f>
              <c:numCache>
                <c:formatCode>#,##0.00</c:formatCode>
                <c:ptCount val="31"/>
                <c:pt idx="0">
                  <c:v>41.584174313404155</c:v>
                </c:pt>
                <c:pt idx="1">
                  <c:v>37.380971480480795</c:v>
                </c:pt>
                <c:pt idx="2">
                  <c:v>27.006503132512744</c:v>
                </c:pt>
                <c:pt idx="3">
                  <c:v>23.178218451570778</c:v>
                </c:pt>
                <c:pt idx="4">
                  <c:v>20.808855683298841</c:v>
                </c:pt>
                <c:pt idx="5">
                  <c:v>19.134673173974647</c:v>
                </c:pt>
                <c:pt idx="6">
                  <c:v>17.86297477734465</c:v>
                </c:pt>
                <c:pt idx="7">
                  <c:v>16.851152836917475</c:v>
                </c:pt>
                <c:pt idx="8">
                  <c:v>16.017702104242076</c:v>
                </c:pt>
                <c:pt idx="9">
                  <c:v>15.315227500030367</c:v>
                </c:pt>
                <c:pt idx="10">
                  <c:v>14.711907117785287</c:v>
                </c:pt>
                <c:pt idx="11">
                  <c:v>14.186066257835165</c:v>
                </c:pt>
                <c:pt idx="12">
                  <c:v>13.721157673704859</c:v>
                </c:pt>
                <c:pt idx="13">
                  <c:v>13.306483919114033</c:v>
                </c:pt>
                <c:pt idx="14">
                  <c:v>12.933407386444346</c:v>
                </c:pt>
                <c:pt idx="15">
                  <c:v>12.595384417757243</c:v>
                </c:pt>
                <c:pt idx="16">
                  <c:v>12.286521826876307</c:v>
                </c:pt>
                <c:pt idx="17">
                  <c:v>12.003124136934417</c:v>
                </c:pt>
                <c:pt idx="18">
                  <c:v>11.741799836865157</c:v>
                </c:pt>
                <c:pt idx="19">
                  <c:v>11.499862911630462</c:v>
                </c:pt>
                <c:pt idx="20">
                  <c:v>2.8601382103445605</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93-1DE7-41C8-B611-47D5655FB46B}"/>
            </c:ext>
          </c:extLst>
        </c:ser>
        <c:ser>
          <c:idx val="27"/>
          <c:order val="27"/>
          <c:tx>
            <c:v>CB Trial 109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Rate'!$B$37:$AF$37</c:f>
              <c:numCache>
                <c:formatCode>#,##0.00</c:formatCode>
                <c:ptCount val="31"/>
                <c:pt idx="0">
                  <c:v>21.648631222343116</c:v>
                </c:pt>
                <c:pt idx="1">
                  <c:v>18.616977977944273</c:v>
                </c:pt>
                <c:pt idx="2">
                  <c:v>20.121016040699899</c:v>
                </c:pt>
                <c:pt idx="3">
                  <c:v>21.924481182102237</c:v>
                </c:pt>
                <c:pt idx="4">
                  <c:v>23.741684356337135</c:v>
                </c:pt>
                <c:pt idx="5">
                  <c:v>25.51430855708557</c:v>
                </c:pt>
                <c:pt idx="6">
                  <c:v>27.227652552125907</c:v>
                </c:pt>
                <c:pt idx="7">
                  <c:v>28.881193582306452</c:v>
                </c:pt>
                <c:pt idx="8">
                  <c:v>23.261003497492826</c:v>
                </c:pt>
                <c:pt idx="9">
                  <c:v>21.004323475349288</c:v>
                </c:pt>
                <c:pt idx="10">
                  <c:v>19.464736159592857</c:v>
                </c:pt>
                <c:pt idx="11">
                  <c:v>18.291549066449114</c:v>
                </c:pt>
                <c:pt idx="12">
                  <c:v>17.346550845536935</c:v>
                </c:pt>
                <c:pt idx="13">
                  <c:v>16.558617307888728</c:v>
                </c:pt>
                <c:pt idx="14">
                  <c:v>15.885548427331777</c:v>
                </c:pt>
                <c:pt idx="15">
                  <c:v>15.3002247446504</c:v>
                </c:pt>
                <c:pt idx="16">
                  <c:v>14.783979323030403</c:v>
                </c:pt>
                <c:pt idx="17">
                  <c:v>14.323677630732334</c:v>
                </c:pt>
                <c:pt idx="18">
                  <c:v>13.909383896906851</c:v>
                </c:pt>
                <c:pt idx="19">
                  <c:v>13.533614675893382</c:v>
                </c:pt>
                <c:pt idx="20">
                  <c:v>9.4976394801077326</c:v>
                </c:pt>
                <c:pt idx="21">
                  <c:v>8.0260099480043046</c:v>
                </c:pt>
                <c:pt idx="22">
                  <c:v>6.5986655595894348</c:v>
                </c:pt>
                <c:pt idx="23">
                  <c:v>5.2114075289433188</c:v>
                </c:pt>
                <c:pt idx="24">
                  <c:v>3.8607797248065694</c:v>
                </c:pt>
                <c:pt idx="25">
                  <c:v>2.5437060439075729</c:v>
                </c:pt>
                <c:pt idx="26">
                  <c:v>1.2575551831211771</c:v>
                </c:pt>
                <c:pt idx="27">
                  <c:v>0</c:v>
                </c:pt>
                <c:pt idx="28">
                  <c:v>0</c:v>
                </c:pt>
                <c:pt idx="29">
                  <c:v>0</c:v>
                </c:pt>
                <c:pt idx="30">
                  <c:v>0</c:v>
                </c:pt>
              </c:numCache>
            </c:numRef>
          </c:yVal>
          <c:smooth val="0"/>
          <c:extLst>
            <c:ext xmlns:c16="http://schemas.microsoft.com/office/drawing/2014/chart" uri="{C3380CC4-5D6E-409C-BE32-E72D297353CC}">
              <c16:uniqueId val="{00000494-1DE7-41C8-B611-47D5655FB46B}"/>
            </c:ext>
          </c:extLst>
        </c:ser>
        <c:ser>
          <c:idx val="28"/>
          <c:order val="28"/>
          <c:tx>
            <c:v>CB Trial 113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Rate'!$B$38:$AF$38</c:f>
              <c:numCache>
                <c:formatCode>#,##0.00</c:formatCode>
                <c:ptCount val="31"/>
                <c:pt idx="0">
                  <c:v>23.263686714126376</c:v>
                </c:pt>
                <c:pt idx="1">
                  <c:v>21.292965356620144</c:v>
                </c:pt>
                <c:pt idx="2">
                  <c:v>15.798991857669106</c:v>
                </c:pt>
                <c:pt idx="3">
                  <c:v>13.799500112249534</c:v>
                </c:pt>
                <c:pt idx="4">
                  <c:v>12.545321658511504</c:v>
                </c:pt>
                <c:pt idx="5">
                  <c:v>11.650036423089498</c:v>
                </c:pt>
                <c:pt idx="6">
                  <c:v>10.964307513497818</c:v>
                </c:pt>
                <c:pt idx="7">
                  <c:v>10.414865160724728</c:v>
                </c:pt>
                <c:pt idx="8">
                  <c:v>9.9595143078959989</c:v>
                </c:pt>
                <c:pt idx="9">
                  <c:v>9.5736489562450426</c:v>
                </c:pt>
                <c:pt idx="10">
                  <c:v>9.2406437308216098</c:v>
                </c:pt>
                <c:pt idx="11">
                  <c:v>8.9491313818311848</c:v>
                </c:pt>
                <c:pt idx="12">
                  <c:v>8.6903644108506022</c:v>
                </c:pt>
                <c:pt idx="13">
                  <c:v>8.4587056258601478</c:v>
                </c:pt>
                <c:pt idx="14">
                  <c:v>8.2495712258600609</c:v>
                </c:pt>
                <c:pt idx="15">
                  <c:v>8.0594821809241246</c:v>
                </c:pt>
                <c:pt idx="16">
                  <c:v>7.8852722794527006</c:v>
                </c:pt>
                <c:pt idx="17">
                  <c:v>7.7249763741011837</c:v>
                </c:pt>
                <c:pt idx="18">
                  <c:v>7.576773487537305</c:v>
                </c:pt>
                <c:pt idx="19">
                  <c:v>7.439221291242057</c:v>
                </c:pt>
                <c:pt idx="20">
                  <c:v>1.8513696995077666</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95-1DE7-41C8-B611-47D5655FB46B}"/>
            </c:ext>
          </c:extLst>
        </c:ser>
        <c:ser>
          <c:idx val="29"/>
          <c:order val="29"/>
          <c:tx>
            <c:v>CB Trial 117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Rate'!$B$39:$AF$39</c:f>
              <c:numCache>
                <c:formatCode>#,##0.00</c:formatCode>
                <c:ptCount val="31"/>
                <c:pt idx="0">
                  <c:v>65.049768533261783</c:v>
                </c:pt>
                <c:pt idx="1">
                  <c:v>60.781554949778432</c:v>
                </c:pt>
                <c:pt idx="2">
                  <c:v>67.627393094870285</c:v>
                </c:pt>
                <c:pt idx="3">
                  <c:v>75.138792371583932</c:v>
                </c:pt>
                <c:pt idx="4">
                  <c:v>82.622297492290983</c:v>
                </c:pt>
                <c:pt idx="5">
                  <c:v>89.938832992048418</c:v>
                </c:pt>
                <c:pt idx="6">
                  <c:v>97.055713274556311</c:v>
                </c:pt>
                <c:pt idx="7">
                  <c:v>82.292469840927851</c:v>
                </c:pt>
                <c:pt idx="8">
                  <c:v>75.991588666041139</c:v>
                </c:pt>
                <c:pt idx="9">
                  <c:v>71.581240701126944</c:v>
                </c:pt>
                <c:pt idx="10">
                  <c:v>68.165201790631869</c:v>
                </c:pt>
                <c:pt idx="11">
                  <c:v>65.38175034895211</c:v>
                </c:pt>
                <c:pt idx="12">
                  <c:v>63.03712659377566</c:v>
                </c:pt>
                <c:pt idx="13">
                  <c:v>61.018054304008473</c:v>
                </c:pt>
                <c:pt idx="14">
                  <c:v>59.249058230437583</c:v>
                </c:pt>
                <c:pt idx="15">
                  <c:v>57.679591233618574</c:v>
                </c:pt>
                <c:pt idx="16">
                  <c:v>56.271007905479962</c:v>
                </c:pt>
                <c:pt idx="17">
                  <c:v>54.996451287593828</c:v>
                </c:pt>
                <c:pt idx="18">
                  <c:v>53.83418597030871</c:v>
                </c:pt>
                <c:pt idx="19">
                  <c:v>52.768236133167626</c:v>
                </c:pt>
                <c:pt idx="20">
                  <c:v>35.241350151357665</c:v>
                </c:pt>
                <c:pt idx="21">
                  <c:v>29.06942161535018</c:v>
                </c:pt>
                <c:pt idx="22">
                  <c:v>23.029862221529072</c:v>
                </c:pt>
                <c:pt idx="23">
                  <c:v>17.112052053448792</c:v>
                </c:pt>
                <c:pt idx="24">
                  <c:v>11.306454273770797</c:v>
                </c:pt>
                <c:pt idx="25">
                  <c:v>5.6048699750500299</c:v>
                </c:pt>
                <c:pt idx="26">
                  <c:v>0</c:v>
                </c:pt>
                <c:pt idx="27">
                  <c:v>0</c:v>
                </c:pt>
                <c:pt idx="28">
                  <c:v>0</c:v>
                </c:pt>
                <c:pt idx="29">
                  <c:v>0</c:v>
                </c:pt>
                <c:pt idx="30">
                  <c:v>0</c:v>
                </c:pt>
              </c:numCache>
            </c:numRef>
          </c:yVal>
          <c:smooth val="0"/>
          <c:extLst>
            <c:ext xmlns:c16="http://schemas.microsoft.com/office/drawing/2014/chart" uri="{C3380CC4-5D6E-409C-BE32-E72D297353CC}">
              <c16:uniqueId val="{00000496-1DE7-41C8-B611-47D5655FB46B}"/>
            </c:ext>
          </c:extLst>
        </c:ser>
        <c:ser>
          <c:idx val="30"/>
          <c:order val="30"/>
          <c:tx>
            <c:v>CB Trial 121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Rate'!$B$40:$AF$40</c:f>
              <c:numCache>
                <c:formatCode>#,##0.00</c:formatCode>
                <c:ptCount val="31"/>
                <c:pt idx="0">
                  <c:v>50.112099387969813</c:v>
                </c:pt>
                <c:pt idx="1">
                  <c:v>39.698796101559694</c:v>
                </c:pt>
                <c:pt idx="2">
                  <c:v>42.013820972060969</c:v>
                </c:pt>
                <c:pt idx="3">
                  <c:v>45.124789825138258</c:v>
                </c:pt>
                <c:pt idx="4">
                  <c:v>31.603849148762826</c:v>
                </c:pt>
                <c:pt idx="5">
                  <c:v>27.046008923525125</c:v>
                </c:pt>
                <c:pt idx="6">
                  <c:v>24.156762520405092</c:v>
                </c:pt>
                <c:pt idx="7">
                  <c:v>22.072496343598225</c:v>
                </c:pt>
                <c:pt idx="8">
                  <c:v>20.464991545362068</c:v>
                </c:pt>
                <c:pt idx="9">
                  <c:v>19.172507614079368</c:v>
                </c:pt>
                <c:pt idx="10">
                  <c:v>18.101754960703371</c:v>
                </c:pt>
                <c:pt idx="11">
                  <c:v>17.194966508441048</c:v>
                </c:pt>
                <c:pt idx="12">
                  <c:v>16.413172680033934</c:v>
                </c:pt>
                <c:pt idx="13">
                  <c:v>15.730242842547327</c:v>
                </c:pt>
                <c:pt idx="14">
                  <c:v>15.126612293609794</c:v>
                </c:pt>
                <c:pt idx="15">
                  <c:v>14.588032066498318</c:v>
                </c:pt>
                <c:pt idx="16">
                  <c:v>14.103178300234093</c:v>
                </c:pt>
                <c:pt idx="17">
                  <c:v>13.663971767248356</c:v>
                </c:pt>
                <c:pt idx="18">
                  <c:v>13.263522828078429</c:v>
                </c:pt>
                <c:pt idx="19">
                  <c:v>12.896511372918287</c:v>
                </c:pt>
                <c:pt idx="20">
                  <c:v>6.4431369790228539</c:v>
                </c:pt>
                <c:pt idx="21">
                  <c:v>4.2363372954042839</c:v>
                </c:pt>
                <c:pt idx="22">
                  <c:v>2.090222450976003</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97-1DE7-41C8-B611-47D5655FB46B}"/>
            </c:ext>
          </c:extLst>
        </c:ser>
        <c:ser>
          <c:idx val="31"/>
          <c:order val="31"/>
          <c:tx>
            <c:v>CB Trial 125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Rate'!$B$41:$AF$41</c:f>
              <c:numCache>
                <c:formatCode>#,##0.00</c:formatCode>
                <c:ptCount val="31"/>
                <c:pt idx="0">
                  <c:v>52.444629397776666</c:v>
                </c:pt>
                <c:pt idx="1">
                  <c:v>46.995589449422809</c:v>
                </c:pt>
                <c:pt idx="2">
                  <c:v>51.572048606467547</c:v>
                </c:pt>
                <c:pt idx="3">
                  <c:v>56.771303170198323</c:v>
                </c:pt>
                <c:pt idx="4">
                  <c:v>61.97309431921601</c:v>
                </c:pt>
                <c:pt idx="5">
                  <c:v>67.051945133068784</c:v>
                </c:pt>
                <c:pt idx="6">
                  <c:v>71.977292592347752</c:v>
                </c:pt>
                <c:pt idx="7">
                  <c:v>59.268284110993221</c:v>
                </c:pt>
                <c:pt idx="8">
                  <c:v>54.056386876660909</c:v>
                </c:pt>
                <c:pt idx="9">
                  <c:v>50.464756316233647</c:v>
                </c:pt>
                <c:pt idx="10">
                  <c:v>47.711511360531198</c:v>
                </c:pt>
                <c:pt idx="11">
                  <c:v>45.485838342776518</c:v>
                </c:pt>
                <c:pt idx="12">
                  <c:v>43.623200414638333</c:v>
                </c:pt>
                <c:pt idx="13">
                  <c:v>42.028041879375287</c:v>
                </c:pt>
                <c:pt idx="14">
                  <c:v>40.637206965663005</c:v>
                </c:pt>
                <c:pt idx="15">
                  <c:v>39.408570170808041</c:v>
                </c:pt>
                <c:pt idx="16">
                  <c:v>38.3101857681037</c:v>
                </c:pt>
                <c:pt idx="17">
                  <c:v>37.319855783825389</c:v>
                </c:pt>
                <c:pt idx="18">
                  <c:v>36.419743699665041</c:v>
                </c:pt>
                <c:pt idx="19">
                  <c:v>35.596742772485747</c:v>
                </c:pt>
                <c:pt idx="20">
                  <c:v>23.777935905875591</c:v>
                </c:pt>
                <c:pt idx="21">
                  <c:v>19.584617796105658</c:v>
                </c:pt>
                <c:pt idx="22">
                  <c:v>15.493834861818199</c:v>
                </c:pt>
                <c:pt idx="23">
                  <c:v>11.497081979760791</c:v>
                </c:pt>
                <c:pt idx="24">
                  <c:v>7.5867526654305655</c:v>
                </c:pt>
                <c:pt idx="25">
                  <c:v>3.756322363789713</c:v>
                </c:pt>
                <c:pt idx="26">
                  <c:v>0</c:v>
                </c:pt>
                <c:pt idx="27">
                  <c:v>0</c:v>
                </c:pt>
                <c:pt idx="28">
                  <c:v>0</c:v>
                </c:pt>
                <c:pt idx="29">
                  <c:v>0</c:v>
                </c:pt>
                <c:pt idx="30">
                  <c:v>0</c:v>
                </c:pt>
              </c:numCache>
            </c:numRef>
          </c:yVal>
          <c:smooth val="0"/>
          <c:extLst>
            <c:ext xmlns:c16="http://schemas.microsoft.com/office/drawing/2014/chart" uri="{C3380CC4-5D6E-409C-BE32-E72D297353CC}">
              <c16:uniqueId val="{00000498-1DE7-41C8-B611-47D5655FB46B}"/>
            </c:ext>
          </c:extLst>
        </c:ser>
        <c:ser>
          <c:idx val="32"/>
          <c:order val="32"/>
          <c:tx>
            <c:v>CB Trial 129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Rate'!$B$42:$AF$42</c:f>
              <c:numCache>
                <c:formatCode>#,##0.00</c:formatCode>
                <c:ptCount val="31"/>
                <c:pt idx="0">
                  <c:v>46.849627368557378</c:v>
                </c:pt>
                <c:pt idx="1">
                  <c:v>43.803065798341322</c:v>
                </c:pt>
                <c:pt idx="2">
                  <c:v>48.638192788241703</c:v>
                </c:pt>
                <c:pt idx="3">
                  <c:v>38.352956902136157</c:v>
                </c:pt>
                <c:pt idx="4">
                  <c:v>34.271536516824376</c:v>
                </c:pt>
                <c:pt idx="5">
                  <c:v>31.589727589218509</c:v>
                </c:pt>
                <c:pt idx="6">
                  <c:v>29.610993777806332</c:v>
                </c:pt>
                <c:pt idx="7">
                  <c:v>28.060242371946249</c:v>
                </c:pt>
                <c:pt idx="8">
                  <c:v>26.793594533842239</c:v>
                </c:pt>
                <c:pt idx="9">
                  <c:v>25.730985782264298</c:v>
                </c:pt>
                <c:pt idx="10">
                  <c:v>24.820014541540054</c:v>
                </c:pt>
                <c:pt idx="11">
                  <c:v>24.027010050119156</c:v>
                </c:pt>
                <c:pt idx="12">
                  <c:v>23.326308672483318</c:v>
                </c:pt>
                <c:pt idx="13">
                  <c:v>22.701269134321208</c:v>
                </c:pt>
                <c:pt idx="14">
                  <c:v>22.138266249283902</c:v>
                </c:pt>
                <c:pt idx="15">
                  <c:v>21.627758187219591</c:v>
                </c:pt>
                <c:pt idx="16">
                  <c:v>21.16092987611141</c:v>
                </c:pt>
                <c:pt idx="17">
                  <c:v>20.732157715109803</c:v>
                </c:pt>
                <c:pt idx="18">
                  <c:v>20.336073665564538</c:v>
                </c:pt>
                <c:pt idx="19">
                  <c:v>19.968921287897114</c:v>
                </c:pt>
                <c:pt idx="20">
                  <c:v>7.9714174165879506</c:v>
                </c:pt>
                <c:pt idx="21">
                  <c:v>3.9506573901322608</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99-1DE7-41C8-B611-47D5655FB46B}"/>
            </c:ext>
          </c:extLst>
        </c:ser>
        <c:ser>
          <c:idx val="33"/>
          <c:order val="33"/>
          <c:tx>
            <c:v>CB Trial 133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Rate'!$B$43:$AF$43</c:f>
              <c:numCache>
                <c:formatCode>#,##0.00</c:formatCode>
                <c:ptCount val="31"/>
                <c:pt idx="0">
                  <c:v>38.355194845067167</c:v>
                </c:pt>
                <c:pt idx="1">
                  <c:v>36.865833808893008</c:v>
                </c:pt>
                <c:pt idx="2">
                  <c:v>41.270749296602347</c:v>
                </c:pt>
                <c:pt idx="3">
                  <c:v>33.26115669972274</c:v>
                </c:pt>
                <c:pt idx="4">
                  <c:v>29.985218818463935</c:v>
                </c:pt>
                <c:pt idx="5">
                  <c:v>27.81303812410124</c:v>
                </c:pt>
                <c:pt idx="6">
                  <c:v>26.20037063821923</c:v>
                </c:pt>
                <c:pt idx="7">
                  <c:v>24.930403176489232</c:v>
                </c:pt>
                <c:pt idx="8">
                  <c:v>23.888960978843485</c:v>
                </c:pt>
                <c:pt idx="9">
                  <c:v>23.012302796879069</c:v>
                </c:pt>
                <c:pt idx="10">
                  <c:v>22.258504880434895</c:v>
                </c:pt>
                <c:pt idx="11">
                  <c:v>21.600576730274657</c:v>
                </c:pt>
                <c:pt idx="12">
                  <c:v>21.017834751522923</c:v>
                </c:pt>
                <c:pt idx="13">
                  <c:v>20.49688183721797</c:v>
                </c:pt>
                <c:pt idx="14">
                  <c:v>20.026693218151365</c:v>
                </c:pt>
                <c:pt idx="15">
                  <c:v>19.599553520674462</c:v>
                </c:pt>
                <c:pt idx="16">
                  <c:v>19.20828487617224</c:v>
                </c:pt>
                <c:pt idx="17">
                  <c:v>18.848331775662018</c:v>
                </c:pt>
                <c:pt idx="18">
                  <c:v>18.51531558085253</c:v>
                </c:pt>
                <c:pt idx="19">
                  <c:v>18.206182395730973</c:v>
                </c:pt>
                <c:pt idx="20">
                  <c:v>7.2688966617145452</c:v>
                </c:pt>
                <c:pt idx="21">
                  <c:v>3.6049091921187517</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9A-1DE7-41C8-B611-47D5655FB46B}"/>
            </c:ext>
          </c:extLst>
        </c:ser>
        <c:ser>
          <c:idx val="34"/>
          <c:order val="34"/>
          <c:tx>
            <c:v>CB Trial 137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Rate'!$B$44:$AF$44</c:f>
              <c:numCache>
                <c:formatCode>#,##0.00</c:formatCode>
                <c:ptCount val="31"/>
                <c:pt idx="0">
                  <c:v>19.183005668484846</c:v>
                </c:pt>
                <c:pt idx="1">
                  <c:v>16.058541823186644</c:v>
                </c:pt>
                <c:pt idx="2">
                  <c:v>17.194926526307661</c:v>
                </c:pt>
                <c:pt idx="3">
                  <c:v>18.619129251336695</c:v>
                </c:pt>
                <c:pt idx="4">
                  <c:v>20.062804865379171</c:v>
                </c:pt>
                <c:pt idx="5">
                  <c:v>21.470951506014835</c:v>
                </c:pt>
                <c:pt idx="6">
                  <c:v>22.829449049510778</c:v>
                </c:pt>
                <c:pt idx="7">
                  <c:v>17.743024615223145</c:v>
                </c:pt>
                <c:pt idx="8">
                  <c:v>15.780732124084068</c:v>
                </c:pt>
                <c:pt idx="9">
                  <c:v>14.468960769969954</c:v>
                </c:pt>
                <c:pt idx="10">
                  <c:v>13.483641424559046</c:v>
                </c:pt>
                <c:pt idx="11">
                  <c:v>12.699474740051743</c:v>
                </c:pt>
                <c:pt idx="12">
                  <c:v>12.051573637339839</c:v>
                </c:pt>
                <c:pt idx="13">
                  <c:v>11.502740308026885</c:v>
                </c:pt>
                <c:pt idx="14">
                  <c:v>11.028761752768212</c:v>
                </c:pt>
                <c:pt idx="15">
                  <c:v>10.613618847416133</c:v>
                </c:pt>
                <c:pt idx="16">
                  <c:v>10.245345888161896</c:v>
                </c:pt>
                <c:pt idx="17">
                  <c:v>9.9156380171463141</c:v>
                </c:pt>
                <c:pt idx="18">
                  <c:v>9.6179101871109491</c:v>
                </c:pt>
                <c:pt idx="19">
                  <c:v>9.3473293153011241</c:v>
                </c:pt>
                <c:pt idx="20">
                  <c:v>6.2459575111934624</c:v>
                </c:pt>
                <c:pt idx="21">
                  <c:v>5.129269037310844</c:v>
                </c:pt>
                <c:pt idx="22">
                  <c:v>4.0465061653484993</c:v>
                </c:pt>
                <c:pt idx="23">
                  <c:v>2.9946736637227618</c:v>
                </c:pt>
                <c:pt idx="24">
                  <c:v>1.9711136661030124</c:v>
                </c:pt>
                <c:pt idx="25">
                  <c:v>0.97355665925735635</c:v>
                </c:pt>
                <c:pt idx="26">
                  <c:v>0</c:v>
                </c:pt>
                <c:pt idx="27">
                  <c:v>0</c:v>
                </c:pt>
                <c:pt idx="28">
                  <c:v>0</c:v>
                </c:pt>
                <c:pt idx="29">
                  <c:v>0</c:v>
                </c:pt>
                <c:pt idx="30">
                  <c:v>0</c:v>
                </c:pt>
              </c:numCache>
            </c:numRef>
          </c:yVal>
          <c:smooth val="0"/>
          <c:extLst>
            <c:ext xmlns:c16="http://schemas.microsoft.com/office/drawing/2014/chart" uri="{C3380CC4-5D6E-409C-BE32-E72D297353CC}">
              <c16:uniqueId val="{0000049B-1DE7-41C8-B611-47D5655FB46B}"/>
            </c:ext>
          </c:extLst>
        </c:ser>
        <c:ser>
          <c:idx val="35"/>
          <c:order val="35"/>
          <c:tx>
            <c:v>CB Trial 141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Rate'!$B$45:$AF$45</c:f>
              <c:numCache>
                <c:formatCode>#,##0.00</c:formatCode>
                <c:ptCount val="31"/>
                <c:pt idx="0">
                  <c:v>64.34037235922348</c:v>
                </c:pt>
                <c:pt idx="1">
                  <c:v>63.761461553550717</c:v>
                </c:pt>
                <c:pt idx="2">
                  <c:v>72.241918903701773</c:v>
                </c:pt>
                <c:pt idx="3">
                  <c:v>81.248605993901691</c:v>
                </c:pt>
                <c:pt idx="4">
                  <c:v>90.192724996881594</c:v>
                </c:pt>
                <c:pt idx="5">
                  <c:v>98.957731119139694</c:v>
                </c:pt>
                <c:pt idx="6">
                  <c:v>86.070939444378368</c:v>
                </c:pt>
                <c:pt idx="7">
                  <c:v>80.325906867195116</c:v>
                </c:pt>
                <c:pt idx="8">
                  <c:v>76.264922686205082</c:v>
                </c:pt>
                <c:pt idx="9">
                  <c:v>73.104005542635988</c:v>
                </c:pt>
                <c:pt idx="10">
                  <c:v>70.518817239037986</c:v>
                </c:pt>
                <c:pt idx="11">
                  <c:v>68.336500832718045</c:v>
                </c:pt>
                <c:pt idx="12">
                  <c:v>66.451420613568573</c:v>
                </c:pt>
                <c:pt idx="13">
                  <c:v>64.796517193153974</c:v>
                </c:pt>
                <c:pt idx="14">
                  <c:v>63.324905921850579</c:v>
                </c:pt>
                <c:pt idx="15">
                  <c:v>62.002559835822595</c:v>
                </c:pt>
                <c:pt idx="16">
                  <c:v>60.80294500252316</c:v>
                </c:pt>
                <c:pt idx="17">
                  <c:v>59.707284843107146</c:v>
                </c:pt>
                <c:pt idx="18">
                  <c:v>58.700407580348212</c:v>
                </c:pt>
                <c:pt idx="19">
                  <c:v>57.770209991262305</c:v>
                </c:pt>
                <c:pt idx="20">
                  <c:v>36.146331228749382</c:v>
                </c:pt>
                <c:pt idx="21">
                  <c:v>28.68517012109108</c:v>
                </c:pt>
                <c:pt idx="22">
                  <c:v>21.348731948593468</c:v>
                </c:pt>
                <c:pt idx="23">
                  <c:v>14.127637688702467</c:v>
                </c:pt>
                <c:pt idx="24">
                  <c:v>7.0138020158406684</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9C-1DE7-41C8-B611-47D5655FB46B}"/>
            </c:ext>
          </c:extLst>
        </c:ser>
        <c:ser>
          <c:idx val="36"/>
          <c:order val="36"/>
          <c:tx>
            <c:v>CB Trial 145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Rate'!$B$46:$AF$46</c:f>
              <c:numCache>
                <c:formatCode>#,##0.00</c:formatCode>
                <c:ptCount val="31"/>
                <c:pt idx="0">
                  <c:v>68.617320923081635</c:v>
                </c:pt>
                <c:pt idx="1">
                  <c:v>58.60303160263723</c:v>
                </c:pt>
                <c:pt idx="2">
                  <c:v>62.982559593471848</c:v>
                </c:pt>
                <c:pt idx="3">
                  <c:v>68.374438042908125</c:v>
                </c:pt>
                <c:pt idx="4">
                  <c:v>73.826595552560306</c:v>
                </c:pt>
                <c:pt idx="5">
                  <c:v>79.143614120381969</c:v>
                </c:pt>
                <c:pt idx="6">
                  <c:v>84.275603590949402</c:v>
                </c:pt>
                <c:pt idx="7">
                  <c:v>89.219832847927236</c:v>
                </c:pt>
                <c:pt idx="8">
                  <c:v>71.11071990504071</c:v>
                </c:pt>
                <c:pt idx="9">
                  <c:v>63.798960347460614</c:v>
                </c:pt>
                <c:pt idx="10">
                  <c:v>58.84562296904803</c:v>
                </c:pt>
                <c:pt idx="11">
                  <c:v>55.090020092539781</c:v>
                </c:pt>
                <c:pt idx="12">
                  <c:v>52.076859106913844</c:v>
                </c:pt>
                <c:pt idx="13">
                  <c:v>49.572749469837618</c:v>
                </c:pt>
                <c:pt idx="14">
                  <c:v>47.439733559600363</c:v>
                </c:pt>
                <c:pt idx="15">
                  <c:v>45.589404785738829</c:v>
                </c:pt>
                <c:pt idx="16">
                  <c:v>43.961098684332178</c:v>
                </c:pt>
                <c:pt idx="17">
                  <c:v>42.512190183728045</c:v>
                </c:pt>
                <c:pt idx="18">
                  <c:v>41.210529070509786</c:v>
                </c:pt>
                <c:pt idx="19">
                  <c:v>40.031935722986965</c:v>
                </c:pt>
                <c:pt idx="20">
                  <c:v>28.096446524640452</c:v>
                </c:pt>
                <c:pt idx="21">
                  <c:v>23.72252629310476</c:v>
                </c:pt>
                <c:pt idx="22">
                  <c:v>19.487829414846317</c:v>
                </c:pt>
                <c:pt idx="23">
                  <c:v>15.378945373865623</c:v>
                </c:pt>
                <c:pt idx="24">
                  <c:v>11.384846753082856</c:v>
                </c:pt>
                <c:pt idx="25">
                  <c:v>7.4957388056155621</c:v>
                </c:pt>
                <c:pt idx="26">
                  <c:v>3.7032531131594308</c:v>
                </c:pt>
                <c:pt idx="27">
                  <c:v>0</c:v>
                </c:pt>
                <c:pt idx="28">
                  <c:v>0</c:v>
                </c:pt>
                <c:pt idx="29">
                  <c:v>0</c:v>
                </c:pt>
                <c:pt idx="30">
                  <c:v>0</c:v>
                </c:pt>
              </c:numCache>
            </c:numRef>
          </c:yVal>
          <c:smooth val="0"/>
          <c:extLst>
            <c:ext xmlns:c16="http://schemas.microsoft.com/office/drawing/2014/chart" uri="{C3380CC4-5D6E-409C-BE32-E72D297353CC}">
              <c16:uniqueId val="{0000049D-1DE7-41C8-B611-47D5655FB46B}"/>
            </c:ext>
          </c:extLst>
        </c:ser>
        <c:ser>
          <c:idx val="37"/>
          <c:order val="37"/>
          <c:tx>
            <c:v>CB Trial 149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Rate'!$B$47:$AF$47</c:f>
              <c:numCache>
                <c:formatCode>#,##0.00</c:formatCode>
                <c:ptCount val="31"/>
                <c:pt idx="0">
                  <c:v>52.664823767080001</c:v>
                </c:pt>
                <c:pt idx="1">
                  <c:v>43.209264802086729</c:v>
                </c:pt>
                <c:pt idx="2">
                  <c:v>46.032183888759448</c:v>
                </c:pt>
                <c:pt idx="3">
                  <c:v>49.671741178862291</c:v>
                </c:pt>
                <c:pt idx="4">
                  <c:v>53.375241146008811</c:v>
                </c:pt>
                <c:pt idx="5">
                  <c:v>56.988347928447659</c:v>
                </c:pt>
                <c:pt idx="6">
                  <c:v>60.471107192570237</c:v>
                </c:pt>
                <c:pt idx="7">
                  <c:v>63.820252407445381</c:v>
                </c:pt>
                <c:pt idx="8">
                  <c:v>49.48531947235913</c:v>
                </c:pt>
                <c:pt idx="9">
                  <c:v>44.036169694764858</c:v>
                </c:pt>
                <c:pt idx="10">
                  <c:v>40.388213970853663</c:v>
                </c:pt>
                <c:pt idx="11">
                  <c:v>37.64248183303183</c:v>
                </c:pt>
                <c:pt idx="12">
                  <c:v>35.451399465473159</c:v>
                </c:pt>
                <c:pt idx="13">
                  <c:v>33.638299431150983</c:v>
                </c:pt>
                <c:pt idx="14">
                  <c:v>32.099450805709729</c:v>
                </c:pt>
                <c:pt idx="15">
                  <c:v>30.768696802155056</c:v>
                </c:pt>
                <c:pt idx="16">
                  <c:v>29.600851102911239</c:v>
                </c:pt>
                <c:pt idx="17">
                  <c:v>28.564239737255779</c:v>
                </c:pt>
                <c:pt idx="18">
                  <c:v>27.635067853122017</c:v>
                </c:pt>
                <c:pt idx="19">
                  <c:v>26.795478361148056</c:v>
                </c:pt>
                <c:pt idx="20">
                  <c:v>18.808323274600685</c:v>
                </c:pt>
                <c:pt idx="21">
                  <c:v>15.864877383450125</c:v>
                </c:pt>
                <c:pt idx="22">
                  <c:v>13.020880194482675</c:v>
                </c:pt>
                <c:pt idx="23">
                  <c:v>10.266573176915916</c:v>
                </c:pt>
                <c:pt idx="24">
                  <c:v>7.5939426563696655</c:v>
                </c:pt>
                <c:pt idx="25">
                  <c:v>4.9958885583312052</c:v>
                </c:pt>
                <c:pt idx="26">
                  <c:v>2.4663538620808372</c:v>
                </c:pt>
                <c:pt idx="27">
                  <c:v>0</c:v>
                </c:pt>
                <c:pt idx="28">
                  <c:v>0</c:v>
                </c:pt>
                <c:pt idx="29">
                  <c:v>0</c:v>
                </c:pt>
                <c:pt idx="30">
                  <c:v>0</c:v>
                </c:pt>
              </c:numCache>
            </c:numRef>
          </c:yVal>
          <c:smooth val="0"/>
          <c:extLst>
            <c:ext xmlns:c16="http://schemas.microsoft.com/office/drawing/2014/chart" uri="{C3380CC4-5D6E-409C-BE32-E72D297353CC}">
              <c16:uniqueId val="{0000049E-1DE7-41C8-B611-47D5655FB46B}"/>
            </c:ext>
          </c:extLst>
        </c:ser>
        <c:ser>
          <c:idx val="38"/>
          <c:order val="38"/>
          <c:tx>
            <c:v>CB Trial 153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Rate'!$B$48:$AF$48</c:f>
              <c:numCache>
                <c:formatCode>#,##0.00</c:formatCode>
                <c:ptCount val="31"/>
                <c:pt idx="0">
                  <c:v>27.742221917920318</c:v>
                </c:pt>
                <c:pt idx="1">
                  <c:v>23.306447088526127</c:v>
                </c:pt>
                <c:pt idx="2">
                  <c:v>25.006890107192483</c:v>
                </c:pt>
                <c:pt idx="3">
                  <c:v>27.114803099878849</c:v>
                </c:pt>
                <c:pt idx="4">
                  <c:v>29.248387956233948</c:v>
                </c:pt>
                <c:pt idx="5">
                  <c:v>31.329507958652567</c:v>
                </c:pt>
                <c:pt idx="6">
                  <c:v>33.3381879184452</c:v>
                </c:pt>
                <c:pt idx="7">
                  <c:v>35.27323323646263</c:v>
                </c:pt>
                <c:pt idx="8">
                  <c:v>27.889885365063456</c:v>
                </c:pt>
                <c:pt idx="9">
                  <c:v>25.002886616268817</c:v>
                </c:pt>
                <c:pt idx="10">
                  <c:v>23.051612630347769</c:v>
                </c:pt>
                <c:pt idx="11">
                  <c:v>21.573775284621654</c:v>
                </c:pt>
                <c:pt idx="12">
                  <c:v>20.388898090832026</c:v>
                </c:pt>
                <c:pt idx="13">
                  <c:v>19.404672524650497</c:v>
                </c:pt>
                <c:pt idx="14">
                  <c:v>18.566613234212362</c:v>
                </c:pt>
                <c:pt idx="15">
                  <c:v>17.839837382709508</c:v>
                </c:pt>
                <c:pt idx="16">
                  <c:v>17.200426767352862</c:v>
                </c:pt>
                <c:pt idx="17">
                  <c:v>16.631583093223725</c:v>
                </c:pt>
                <c:pt idx="18">
                  <c:v>16.120643040284445</c:v>
                </c:pt>
                <c:pt idx="19">
                  <c:v>15.658085842088957</c:v>
                </c:pt>
                <c:pt idx="20">
                  <c:v>10.989684347930625</c:v>
                </c:pt>
                <c:pt idx="21">
                  <c:v>9.2783877694763586</c:v>
                </c:pt>
                <c:pt idx="22">
                  <c:v>7.6217424575532728</c:v>
                </c:pt>
                <c:pt idx="23">
                  <c:v>6.0144764827038184</c:v>
                </c:pt>
                <c:pt idx="24">
                  <c:v>4.4522554002581369</c:v>
                </c:pt>
                <c:pt idx="25">
                  <c:v>2.9312301620730423</c:v>
                </c:pt>
                <c:pt idx="26">
                  <c:v>1.4481127027060725</c:v>
                </c:pt>
                <c:pt idx="27">
                  <c:v>0</c:v>
                </c:pt>
                <c:pt idx="28">
                  <c:v>0</c:v>
                </c:pt>
                <c:pt idx="29">
                  <c:v>0</c:v>
                </c:pt>
                <c:pt idx="30">
                  <c:v>0</c:v>
                </c:pt>
              </c:numCache>
            </c:numRef>
          </c:yVal>
          <c:smooth val="0"/>
          <c:extLst>
            <c:ext xmlns:c16="http://schemas.microsoft.com/office/drawing/2014/chart" uri="{C3380CC4-5D6E-409C-BE32-E72D297353CC}">
              <c16:uniqueId val="{0000049F-1DE7-41C8-B611-47D5655FB46B}"/>
            </c:ext>
          </c:extLst>
        </c:ser>
        <c:ser>
          <c:idx val="39"/>
          <c:order val="39"/>
          <c:tx>
            <c:v>CB Trial 157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Rate'!$B$49:$AF$49</c:f>
              <c:numCache>
                <c:formatCode>#,##0.00</c:formatCode>
                <c:ptCount val="31"/>
                <c:pt idx="0">
                  <c:v>33.20845397524819</c:v>
                </c:pt>
                <c:pt idx="1">
                  <c:v>22.47924803645898</c:v>
                </c:pt>
                <c:pt idx="2">
                  <c:v>22.551221522796816</c:v>
                </c:pt>
                <c:pt idx="3">
                  <c:v>12.299242582980044</c:v>
                </c:pt>
                <c:pt idx="4">
                  <c:v>9.4372068415600552</c:v>
                </c:pt>
                <c:pt idx="5">
                  <c:v>7.8150379931525125</c:v>
                </c:pt>
                <c:pt idx="6">
                  <c:v>6.7340855864093703</c:v>
                </c:pt>
                <c:pt idx="7">
                  <c:v>5.9518535832976811</c:v>
                </c:pt>
                <c:pt idx="8">
                  <c:v>5.3538030155811134</c:v>
                </c:pt>
                <c:pt idx="9">
                  <c:v>4.8797325597472669</c:v>
                </c:pt>
                <c:pt idx="10">
                  <c:v>4.4930288299392869</c:v>
                </c:pt>
                <c:pt idx="11">
                  <c:v>4.1710221023395411</c:v>
                </c:pt>
                <c:pt idx="12">
                  <c:v>3.8976946322275423</c:v>
                </c:pt>
                <c:pt idx="13">
                  <c:v>3.6626490445868263</c:v>
                </c:pt>
                <c:pt idx="14">
                  <c:v>3.4579452518295231</c:v>
                </c:pt>
                <c:pt idx="15">
                  <c:v>3.278033266557471</c:v>
                </c:pt>
                <c:pt idx="16">
                  <c:v>3.118233768931689</c:v>
                </c:pt>
                <c:pt idx="17">
                  <c:v>2.9754031046274751</c:v>
                </c:pt>
                <c:pt idx="18">
                  <c:v>2.8467938888135595</c:v>
                </c:pt>
                <c:pt idx="19">
                  <c:v>2.7304230963603415</c:v>
                </c:pt>
                <c:pt idx="20">
                  <c:v>1.0869082692146155</c:v>
                </c:pt>
                <c:pt idx="21">
                  <c:v>0.53251543263057433</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4A0-1DE7-41C8-B611-47D5655FB46B}"/>
            </c:ext>
          </c:extLst>
        </c:ser>
        <c:ser>
          <c:idx val="40"/>
          <c:order val="40"/>
          <c:tx>
            <c:v>CB Trial 161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Rate'!$B$50:$AF$50</c:f>
              <c:numCache>
                <c:formatCode>#,##0.00</c:formatCode>
                <c:ptCount val="31"/>
                <c:pt idx="0">
                  <c:v>55.969996474799672</c:v>
                </c:pt>
                <c:pt idx="1">
                  <c:v>50.872201504848682</c:v>
                </c:pt>
                <c:pt idx="2">
                  <c:v>56.099856953303188</c:v>
                </c:pt>
                <c:pt idx="3">
                  <c:v>61.958705731228477</c:v>
                </c:pt>
                <c:pt idx="4">
                  <c:v>67.810470417827489</c:v>
                </c:pt>
                <c:pt idx="5">
                  <c:v>73.52641953007705</c:v>
                </c:pt>
                <c:pt idx="6">
                  <c:v>79.075575330356344</c:v>
                </c:pt>
                <c:pt idx="7">
                  <c:v>84.45928804994486</c:v>
                </c:pt>
                <c:pt idx="8">
                  <c:v>71.027978551661135</c:v>
                </c:pt>
                <c:pt idx="9">
                  <c:v>65.370305012560891</c:v>
                </c:pt>
                <c:pt idx="10">
                  <c:v>61.416180033130111</c:v>
                </c:pt>
                <c:pt idx="11">
                  <c:v>58.354246090668219</c:v>
                </c:pt>
                <c:pt idx="12">
                  <c:v>55.857255126593209</c:v>
                </c:pt>
                <c:pt idx="13">
                  <c:v>53.754200230239789</c:v>
                </c:pt>
                <c:pt idx="14">
                  <c:v>51.942235783072434</c:v>
                </c:pt>
                <c:pt idx="15">
                  <c:v>50.354621754360508</c:v>
                </c:pt>
                <c:pt idx="16">
                  <c:v>48.944942416860869</c:v>
                </c:pt>
                <c:pt idx="17">
                  <c:v>47.680390319786319</c:v>
                </c:pt>
                <c:pt idx="18">
                  <c:v>46.535911591591208</c:v>
                </c:pt>
                <c:pt idx="19">
                  <c:v>45.492549409888234</c:v>
                </c:pt>
                <c:pt idx="20">
                  <c:v>31.915735802028973</c:v>
                </c:pt>
                <c:pt idx="21">
                  <c:v>27.03753544387861</c:v>
                </c:pt>
                <c:pt idx="22">
                  <c:v>22.281442637310892</c:v>
                </c:pt>
                <c:pt idx="23">
                  <c:v>17.636430217977697</c:v>
                </c:pt>
                <c:pt idx="24">
                  <c:v>13.093394235314536</c:v>
                </c:pt>
                <c:pt idx="25">
                  <c:v>8.6441805726793337</c:v>
                </c:pt>
                <c:pt idx="26">
                  <c:v>4.2817891426572734</c:v>
                </c:pt>
                <c:pt idx="27">
                  <c:v>0</c:v>
                </c:pt>
                <c:pt idx="28">
                  <c:v>0</c:v>
                </c:pt>
                <c:pt idx="29">
                  <c:v>0</c:v>
                </c:pt>
                <c:pt idx="30">
                  <c:v>0</c:v>
                </c:pt>
              </c:numCache>
            </c:numRef>
          </c:yVal>
          <c:smooth val="0"/>
          <c:extLst>
            <c:ext xmlns:c16="http://schemas.microsoft.com/office/drawing/2014/chart" uri="{C3380CC4-5D6E-409C-BE32-E72D297353CC}">
              <c16:uniqueId val="{000004A1-1DE7-41C8-B611-47D5655FB46B}"/>
            </c:ext>
          </c:extLst>
        </c:ser>
        <c:dLbls>
          <c:showLegendKey val="0"/>
          <c:showVal val="0"/>
          <c:showCatName val="0"/>
          <c:showSerName val="0"/>
          <c:showPercent val="0"/>
          <c:showBubbleSize val="0"/>
        </c:dLbls>
        <c:axId val="-156149312"/>
        <c:axId val="-156148224"/>
      </c:scatterChart>
      <c:scatterChart>
        <c:scatterStyle val="smoothMarker"/>
        <c:varyColors val="0"/>
        <c:ser>
          <c:idx val="41"/>
          <c:order val="41"/>
          <c:tx>
            <c:strRef>
              <c:f>'CB Trial Gas Rate'!$A$8</c:f>
              <c:strCache>
                <c:ptCount val="1"/>
                <c:pt idx="0">
                  <c:v>Gas Rate Mean</c:v>
                </c:pt>
              </c:strCache>
            </c:strRef>
          </c:tx>
          <c:spPr>
            <a:ln w="12700">
              <a:solidFill>
                <a:srgbClr val="FF6600"/>
              </a:solidFill>
              <a:prstDash val="lgDash"/>
            </a:ln>
            <a:effectLst/>
          </c:spPr>
          <c:marker>
            <c:symbol val="square"/>
            <c:size val="9"/>
            <c:spPr>
              <a:solidFill>
                <a:srgbClr val="FF0000"/>
              </a:solidFill>
              <a:ln>
                <a:solidFill>
                  <a:srgbClr val="0000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Rate'!$B$8:$AF$8</c:f>
              <c:numCache>
                <c:formatCode>#,##0.00</c:formatCode>
                <c:ptCount val="31"/>
                <c:pt idx="0">
                  <c:v>46.319512993460613</c:v>
                </c:pt>
                <c:pt idx="1">
                  <c:v>40.546129918036883</c:v>
                </c:pt>
                <c:pt idx="2">
                  <c:v>42.077057205736168</c:v>
                </c:pt>
                <c:pt idx="3">
                  <c:v>42.871860184565143</c:v>
                </c:pt>
                <c:pt idx="4">
                  <c:v>43.094412869717004</c:v>
                </c:pt>
                <c:pt idx="5">
                  <c:v>42.152034684703843</c:v>
                </c:pt>
                <c:pt idx="6">
                  <c:v>40.225122547743304</c:v>
                </c:pt>
                <c:pt idx="7">
                  <c:v>37.471792023690021</c:v>
                </c:pt>
                <c:pt idx="8">
                  <c:v>33.731303339793321</c:v>
                </c:pt>
                <c:pt idx="9">
                  <c:v>31.55109133789303</c:v>
                </c:pt>
                <c:pt idx="10">
                  <c:v>29.883666898491018</c:v>
                </c:pt>
                <c:pt idx="11">
                  <c:v>28.527504538014774</c:v>
                </c:pt>
                <c:pt idx="12">
                  <c:v>27.385458088320444</c:v>
                </c:pt>
                <c:pt idx="13">
                  <c:v>26.402228880086678</c:v>
                </c:pt>
                <c:pt idx="14">
                  <c:v>25.541309912847357</c:v>
                </c:pt>
                <c:pt idx="15">
                  <c:v>24.77792980945712</c:v>
                </c:pt>
                <c:pt idx="16">
                  <c:v>24.093352945236216</c:v>
                </c:pt>
                <c:pt idx="17">
                  <c:v>23.47461175089154</c:v>
                </c:pt>
                <c:pt idx="18">
                  <c:v>22.911164160885559</c:v>
                </c:pt>
                <c:pt idx="19">
                  <c:v>22.39504836303696</c:v>
                </c:pt>
                <c:pt idx="20">
                  <c:v>12.950157374299554</c:v>
                </c:pt>
                <c:pt idx="21">
                  <c:v>9.6819132820772857</c:v>
                </c:pt>
                <c:pt idx="22">
                  <c:v>6.8832979787540873</c:v>
                </c:pt>
                <c:pt idx="23">
                  <c:v>4.6235079911819001</c:v>
                </c:pt>
                <c:pt idx="24">
                  <c:v>2.7636285285099382</c:v>
                </c:pt>
                <c:pt idx="25">
                  <c:v>1.3632185434387223</c:v>
                </c:pt>
                <c:pt idx="26">
                  <c:v>0.46130120797798924</c:v>
                </c:pt>
                <c:pt idx="27">
                  <c:v>0</c:v>
                </c:pt>
                <c:pt idx="28">
                  <c:v>0</c:v>
                </c:pt>
                <c:pt idx="29">
                  <c:v>0</c:v>
                </c:pt>
                <c:pt idx="30">
                  <c:v>0</c:v>
                </c:pt>
              </c:numCache>
            </c:numRef>
          </c:yVal>
          <c:smooth val="0"/>
          <c:extLst>
            <c:ext xmlns:c16="http://schemas.microsoft.com/office/drawing/2014/chart" uri="{C3380CC4-5D6E-409C-BE32-E72D297353CC}">
              <c16:uniqueId val="{000004A2-1DE7-41C8-B611-47D5655FB46B}"/>
            </c:ext>
          </c:extLst>
        </c:ser>
        <c:dLbls>
          <c:showLegendKey val="0"/>
          <c:showVal val="0"/>
          <c:showCatName val="0"/>
          <c:showSerName val="0"/>
          <c:showPercent val="0"/>
          <c:showBubbleSize val="0"/>
        </c:dLbls>
        <c:axId val="1562987855"/>
        <c:axId val="1562972047"/>
      </c:scatterChart>
      <c:valAx>
        <c:axId val="-156149312"/>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Year</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56148224"/>
        <c:crossesAt val="0"/>
        <c:crossBetween val="midCat"/>
        <c:majorUnit val="1"/>
      </c:valAx>
      <c:valAx>
        <c:axId val="-156148224"/>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56149312"/>
        <c:crossesAt val="0"/>
        <c:crossBetween val="midCat"/>
      </c:valAx>
      <c:valAx>
        <c:axId val="1562972047"/>
        <c:scaling>
          <c:orientation val="minMax"/>
          <c:max val="120"/>
        </c:scaling>
        <c:delete val="0"/>
        <c:axPos val="r"/>
        <c:numFmt formatCode="#,##0" sourceLinked="0"/>
        <c:majorTickMark val="out"/>
        <c:minorTickMark val="none"/>
        <c:tickLblPos val="nextTo"/>
        <c:crossAx val="1562987855"/>
        <c:crosses val="max"/>
        <c:crossBetween val="midCat"/>
      </c:valAx>
      <c:valAx>
        <c:axId val="1562987855"/>
        <c:scaling>
          <c:orientation val="minMax"/>
        </c:scaling>
        <c:delete val="1"/>
        <c:axPos val="b"/>
        <c:numFmt formatCode="General" sourceLinked="1"/>
        <c:majorTickMark val="out"/>
        <c:minorTickMark val="none"/>
        <c:tickLblPos val="nextTo"/>
        <c:crossAx val="1562972047"/>
        <c:crossBetween val="midCat"/>
      </c:valAx>
      <c:spPr>
        <a:solidFill>
          <a:srgbClr val="FFFFFF"/>
        </a:solidFill>
        <a:ln w="12700">
          <a:solidFill>
            <a:schemeClr val="tx1"/>
          </a:solid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17.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5" Type="http://schemas.openxmlformats.org/officeDocument/2006/relationships/image" Target="../media/image2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drawing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12</xdr:col>
      <xdr:colOff>285750</xdr:colOff>
      <xdr:row>4</xdr:row>
      <xdr:rowOff>38100</xdr:rowOff>
    </xdr:from>
    <xdr:to>
      <xdr:col>15</xdr:col>
      <xdr:colOff>371264</xdr:colOff>
      <xdr:row>10</xdr:row>
      <xdr:rowOff>28469</xdr:rowOff>
    </xdr:to>
    <xdr:pic>
      <xdr:nvPicPr>
        <xdr:cNvPr id="2" name="Picture 1"/>
        <xdr:cNvPicPr>
          <a:picLocks noChangeAspect="1"/>
        </xdr:cNvPicPr>
      </xdr:nvPicPr>
      <xdr:blipFill>
        <a:blip xmlns:r="http://schemas.openxmlformats.org/officeDocument/2006/relationships" r:embed="rId1"/>
        <a:stretch>
          <a:fillRect/>
        </a:stretch>
      </xdr:blipFill>
      <xdr:spPr>
        <a:xfrm>
          <a:off x="7905750" y="609600"/>
          <a:ext cx="1685714" cy="847619"/>
        </a:xfrm>
        <a:prstGeom prst="rect">
          <a:avLst/>
        </a:prstGeom>
      </xdr:spPr>
    </xdr:pic>
    <xdr:clientData/>
  </xdr:twoCellAnchor>
  <xdr:twoCellAnchor editAs="oneCell">
    <xdr:from>
      <xdr:col>12</xdr:col>
      <xdr:colOff>0</xdr:colOff>
      <xdr:row>12</xdr:row>
      <xdr:rowOff>47625</xdr:rowOff>
    </xdr:from>
    <xdr:to>
      <xdr:col>22</xdr:col>
      <xdr:colOff>180286</xdr:colOff>
      <xdr:row>33</xdr:row>
      <xdr:rowOff>123440</xdr:rowOff>
    </xdr:to>
    <xdr:pic>
      <xdr:nvPicPr>
        <xdr:cNvPr id="3" name="Picture 2"/>
        <xdr:cNvPicPr>
          <a:picLocks noChangeAspect="1"/>
        </xdr:cNvPicPr>
      </xdr:nvPicPr>
      <xdr:blipFill>
        <a:blip xmlns:r="http://schemas.openxmlformats.org/officeDocument/2006/relationships" r:embed="rId2"/>
        <a:stretch>
          <a:fillRect/>
        </a:stretch>
      </xdr:blipFill>
      <xdr:spPr>
        <a:xfrm>
          <a:off x="7620000" y="1762125"/>
          <a:ext cx="5514286" cy="3076190"/>
        </a:xfrm>
        <a:prstGeom prst="rect">
          <a:avLst/>
        </a:prstGeom>
      </xdr:spPr>
    </xdr:pic>
    <xdr:clientData/>
  </xdr:twoCellAnchor>
  <xdr:twoCellAnchor editAs="oneCell">
    <xdr:from>
      <xdr:col>11</xdr:col>
      <xdr:colOff>190500</xdr:colOff>
      <xdr:row>37</xdr:row>
      <xdr:rowOff>85725</xdr:rowOff>
    </xdr:from>
    <xdr:to>
      <xdr:col>21</xdr:col>
      <xdr:colOff>180309</xdr:colOff>
      <xdr:row>44</xdr:row>
      <xdr:rowOff>142743</xdr:rowOff>
    </xdr:to>
    <xdr:pic>
      <xdr:nvPicPr>
        <xdr:cNvPr id="4" name="Picture 3"/>
        <xdr:cNvPicPr>
          <a:picLocks noChangeAspect="1"/>
        </xdr:cNvPicPr>
      </xdr:nvPicPr>
      <xdr:blipFill>
        <a:blip xmlns:r="http://schemas.openxmlformats.org/officeDocument/2006/relationships" r:embed="rId3"/>
        <a:stretch>
          <a:fillRect/>
        </a:stretch>
      </xdr:blipFill>
      <xdr:spPr>
        <a:xfrm>
          <a:off x="7277100" y="5372100"/>
          <a:ext cx="5323809" cy="10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14</xdr:col>
      <xdr:colOff>0</xdr:colOff>
      <xdr:row>17</xdr:row>
      <xdr:rowOff>0</xdr:rowOff>
    </xdr:to>
    <xdr:graphicFrame macro="">
      <xdr:nvGraphicFramePr>
        <xdr:cNvPr id="2" name="Gas_Month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0</xdr:row>
      <xdr:rowOff>0</xdr:rowOff>
    </xdr:from>
    <xdr:to>
      <xdr:col>25</xdr:col>
      <xdr:colOff>0</xdr:colOff>
      <xdr:row>17</xdr:row>
      <xdr:rowOff>0</xdr:rowOff>
    </xdr:to>
    <xdr:graphicFrame macro="">
      <xdr:nvGraphicFramePr>
        <xdr:cNvPr id="3" name="Oil Month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0</xdr:colOff>
      <xdr:row>17</xdr:row>
      <xdr:rowOff>0</xdr:rowOff>
    </xdr:from>
    <xdr:to>
      <xdr:col>25</xdr:col>
      <xdr:colOff>0</xdr:colOff>
      <xdr:row>34</xdr:row>
      <xdr:rowOff>0</xdr:rowOff>
    </xdr:to>
    <xdr:graphicFrame macro="">
      <xdr:nvGraphicFramePr>
        <xdr:cNvPr id="4" name="CG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0</xdr:colOff>
      <xdr:row>17</xdr:row>
      <xdr:rowOff>0</xdr:rowOff>
    </xdr:from>
    <xdr:to>
      <xdr:col>14</xdr:col>
      <xdr:colOff>0</xdr:colOff>
      <xdr:row>34</xdr:row>
      <xdr:rowOff>0</xdr:rowOff>
    </xdr:to>
    <xdr:graphicFrame macro="">
      <xdr:nvGraphicFramePr>
        <xdr:cNvPr id="5" name="Gas Year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342900</xdr:colOff>
      <xdr:row>29</xdr:row>
      <xdr:rowOff>95250</xdr:rowOff>
    </xdr:from>
    <xdr:to>
      <xdr:col>17</xdr:col>
      <xdr:colOff>266700</xdr:colOff>
      <xdr:row>43</xdr:row>
      <xdr:rowOff>123825</xdr:rowOff>
    </xdr:to>
    <xdr:graphicFrame macro="">
      <xdr:nvGraphicFramePr>
        <xdr:cNvPr id="2" name="Gas_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57150</xdr:colOff>
      <xdr:row>29</xdr:row>
      <xdr:rowOff>95250</xdr:rowOff>
    </xdr:from>
    <xdr:to>
      <xdr:col>26</xdr:col>
      <xdr:colOff>419100</xdr:colOff>
      <xdr:row>43</xdr:row>
      <xdr:rowOff>123825</xdr:rowOff>
    </xdr:to>
    <xdr:graphicFrame macro="">
      <xdr:nvGraphicFramePr>
        <xdr:cNvPr id="3" name="Gas_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723900</xdr:colOff>
      <xdr:row>40</xdr:row>
      <xdr:rowOff>76200</xdr:rowOff>
    </xdr:from>
    <xdr:to>
      <xdr:col>17</xdr:col>
      <xdr:colOff>28575</xdr:colOff>
      <xdr:row>60</xdr:row>
      <xdr:rowOff>109538</xdr:rowOff>
    </xdr:to>
    <xdr:graphicFrame macro="">
      <xdr:nvGraphicFramePr>
        <xdr:cNvPr id="6" name="Cash_Flo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38100</xdr:colOff>
      <xdr:row>40</xdr:row>
      <xdr:rowOff>85725</xdr:rowOff>
    </xdr:from>
    <xdr:to>
      <xdr:col>29</xdr:col>
      <xdr:colOff>352425</xdr:colOff>
      <xdr:row>60</xdr:row>
      <xdr:rowOff>119063</xdr:rowOff>
    </xdr:to>
    <xdr:graphicFrame macro="">
      <xdr:nvGraphicFramePr>
        <xdr:cNvPr id="7" name="Cash_Flo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476250</xdr:colOff>
          <xdr:row>4</xdr:row>
          <xdr:rowOff>47625</xdr:rowOff>
        </xdr:from>
        <xdr:to>
          <xdr:col>11</xdr:col>
          <xdr:colOff>200025</xdr:colOff>
          <xdr:row>7</xdr:row>
          <xdr:rowOff>47625</xdr:rowOff>
        </xdr:to>
        <xdr:sp macro="" textlink="">
          <xdr:nvSpPr>
            <xdr:cNvPr id="13313" name="CommandButton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390525</xdr:colOff>
          <xdr:row>4</xdr:row>
          <xdr:rowOff>76200</xdr:rowOff>
        </xdr:from>
        <xdr:to>
          <xdr:col>17</xdr:col>
          <xdr:colOff>19050</xdr:colOff>
          <xdr:row>7</xdr:row>
          <xdr:rowOff>57150</xdr:rowOff>
        </xdr:to>
        <xdr:sp macro="" textlink="">
          <xdr:nvSpPr>
            <xdr:cNvPr id="13314" name="CommandButton2" hidden="1">
              <a:extLst>
                <a:ext uri="{63B3BB69-23CF-44E3-9099-C40C66FF867C}">
                  <a14:compatExt spid="_x0000_s13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361950</xdr:colOff>
      <xdr:row>7</xdr:row>
      <xdr:rowOff>123824</xdr:rowOff>
    </xdr:from>
    <xdr:to>
      <xdr:col>28</xdr:col>
      <xdr:colOff>266700</xdr:colOff>
      <xdr:row>16</xdr:row>
      <xdr:rowOff>123824</xdr:rowOff>
    </xdr:to>
    <xdr:sp macro="" textlink="">
      <xdr:nvSpPr>
        <xdr:cNvPr id="2" name="TextBox 1"/>
        <xdr:cNvSpPr txBox="1"/>
      </xdr:nvSpPr>
      <xdr:spPr>
        <a:xfrm>
          <a:off x="10287000" y="1123949"/>
          <a:ext cx="6057900" cy="1552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b="0">
              <a:latin typeface="Leelawadee" panose="020B0502040204020203" pitchFamily="34" charset="-34"/>
              <a:cs typeface="Leelawadee" panose="020B0502040204020203" pitchFamily="34" charset="-34"/>
            </a:rPr>
            <a:t>The concept of future prospects and particularly of continued growth in the future invites the application of formulas out of higher mathematics to establish the present value of the favored issue. But the combination of precise formulas with highly imprecise assumptions can be used to establish, or rather justify, practically any value one wishes, however high, for a really outstanding issue. </a:t>
          </a:r>
        </a:p>
        <a:p>
          <a:endParaRPr lang="es-BO" b="0">
            <a:latin typeface="Leelawadee" panose="020B0502040204020203" pitchFamily="34" charset="-34"/>
            <a:cs typeface="Leelawadee" panose="020B0502040204020203" pitchFamily="34" charset="-34"/>
          </a:endParaRPr>
        </a:p>
        <a:p>
          <a:r>
            <a:rPr lang="es-BO" b="0">
              <a:latin typeface="Leelawadee" panose="020B0502040204020203" pitchFamily="34" charset="-34"/>
              <a:cs typeface="Leelawadee" panose="020B0502040204020203" pitchFamily="34" charset="-34"/>
            </a:rPr>
            <a:t>— Benjamin Graham, The Intelligent Investor, 4th rev. ed., 315-316.</a:t>
          </a:r>
          <a:endParaRPr lang="es-BO" sz="1100" b="0">
            <a:latin typeface="Leelawadee" panose="020B0502040204020203" pitchFamily="34" charset="-34"/>
            <a:cs typeface="Leelawadee" panose="020B0502040204020203" pitchFamily="34" charset="-34"/>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0</xdr:colOff>
      <xdr:row>13</xdr:row>
      <xdr:rowOff>0</xdr:rowOff>
    </xdr:to>
    <xdr:pic>
      <xdr:nvPicPr>
        <xdr:cNvPr id="273" name="Well Initial Gas Rate"/>
        <xdr:cNvPicPr>
          <a:picLocks/>
        </xdr:cNvPicPr>
      </xdr:nvPicPr>
      <xdr:blipFill>
        <a:blip xmlns:r="http://schemas.openxmlformats.org/officeDocument/2006/relationships" r:embed="rId1"/>
        <a:stretch>
          <a:fillRect/>
        </a:stretch>
      </xdr:blipFill>
      <xdr:spPr>
        <a:xfrm>
          <a:off x="0" y="0"/>
          <a:ext cx="3733800" cy="1857375"/>
        </a:xfrm>
        <a:prstGeom prst="rect">
          <a:avLst/>
        </a:prstGeom>
      </xdr:spPr>
    </xdr:pic>
    <xdr:clientData/>
  </xdr:twoCellAnchor>
  <xdr:twoCellAnchor editAs="oneCell">
    <xdr:from>
      <xdr:col>0</xdr:col>
      <xdr:colOff>0</xdr:colOff>
      <xdr:row>13</xdr:row>
      <xdr:rowOff>0</xdr:rowOff>
    </xdr:from>
    <xdr:to>
      <xdr:col>7</xdr:col>
      <xdr:colOff>0</xdr:colOff>
      <xdr:row>26</xdr:row>
      <xdr:rowOff>0</xdr:rowOff>
    </xdr:to>
    <xdr:pic>
      <xdr:nvPicPr>
        <xdr:cNvPr id="274" name="Field Initial Gas Rate"/>
        <xdr:cNvPicPr>
          <a:picLocks/>
        </xdr:cNvPicPr>
      </xdr:nvPicPr>
      <xdr:blipFill>
        <a:blip xmlns:r="http://schemas.openxmlformats.org/officeDocument/2006/relationships" r:embed="rId2"/>
        <a:stretch>
          <a:fillRect/>
        </a:stretch>
      </xdr:blipFill>
      <xdr:spPr>
        <a:xfrm>
          <a:off x="0" y="1857375"/>
          <a:ext cx="3733800" cy="1857375"/>
        </a:xfrm>
        <a:prstGeom prst="rect">
          <a:avLst/>
        </a:prstGeom>
      </xdr:spPr>
    </xdr:pic>
    <xdr:clientData/>
  </xdr:twoCellAnchor>
  <xdr:twoCellAnchor editAs="oneCell">
    <xdr:from>
      <xdr:col>0</xdr:col>
      <xdr:colOff>0</xdr:colOff>
      <xdr:row>26</xdr:row>
      <xdr:rowOff>0</xdr:rowOff>
    </xdr:from>
    <xdr:to>
      <xdr:col>7</xdr:col>
      <xdr:colOff>0</xdr:colOff>
      <xdr:row>39</xdr:row>
      <xdr:rowOff>0</xdr:rowOff>
    </xdr:to>
    <xdr:pic>
      <xdr:nvPicPr>
        <xdr:cNvPr id="275" name="Max Gas Rate"/>
        <xdr:cNvPicPr>
          <a:picLocks/>
        </xdr:cNvPicPr>
      </xdr:nvPicPr>
      <xdr:blipFill>
        <a:blip xmlns:r="http://schemas.openxmlformats.org/officeDocument/2006/relationships" r:embed="rId3"/>
        <a:stretch>
          <a:fillRect/>
        </a:stretch>
      </xdr:blipFill>
      <xdr:spPr>
        <a:xfrm>
          <a:off x="0" y="3714750"/>
          <a:ext cx="3733800" cy="1857375"/>
        </a:xfrm>
        <a:prstGeom prst="rect">
          <a:avLst/>
        </a:prstGeom>
      </xdr:spPr>
    </xdr:pic>
    <xdr:clientData/>
  </xdr:twoCellAnchor>
  <xdr:twoCellAnchor editAs="oneCell">
    <xdr:from>
      <xdr:col>0</xdr:col>
      <xdr:colOff>0</xdr:colOff>
      <xdr:row>39</xdr:row>
      <xdr:rowOff>0</xdr:rowOff>
    </xdr:from>
    <xdr:to>
      <xdr:col>7</xdr:col>
      <xdr:colOff>0</xdr:colOff>
      <xdr:row>52</xdr:row>
      <xdr:rowOff>0</xdr:rowOff>
    </xdr:to>
    <xdr:pic>
      <xdr:nvPicPr>
        <xdr:cNvPr id="276" name="# Wells per year"/>
        <xdr:cNvPicPr>
          <a:picLocks/>
        </xdr:cNvPicPr>
      </xdr:nvPicPr>
      <xdr:blipFill>
        <a:blip xmlns:r="http://schemas.openxmlformats.org/officeDocument/2006/relationships" r:embed="rId4"/>
        <a:stretch>
          <a:fillRect/>
        </a:stretch>
      </xdr:blipFill>
      <xdr:spPr>
        <a:xfrm>
          <a:off x="0" y="5572125"/>
          <a:ext cx="3733800" cy="1857375"/>
        </a:xfrm>
        <a:prstGeom prst="rect">
          <a:avLst/>
        </a:prstGeom>
      </xdr:spPr>
    </xdr:pic>
    <xdr:clientData/>
  </xdr:twoCellAnchor>
  <xdr:twoCellAnchor editAs="oneCell">
    <xdr:from>
      <xdr:col>7</xdr:col>
      <xdr:colOff>0</xdr:colOff>
      <xdr:row>0</xdr:row>
      <xdr:rowOff>0</xdr:rowOff>
    </xdr:from>
    <xdr:to>
      <xdr:col>14</xdr:col>
      <xdr:colOff>0</xdr:colOff>
      <xdr:row>13</xdr:row>
      <xdr:rowOff>0</xdr:rowOff>
    </xdr:to>
    <xdr:pic>
      <xdr:nvPicPr>
        <xdr:cNvPr id="277" name="Total Wells"/>
        <xdr:cNvPicPr>
          <a:picLocks/>
        </xdr:cNvPicPr>
      </xdr:nvPicPr>
      <xdr:blipFill>
        <a:blip xmlns:r="http://schemas.openxmlformats.org/officeDocument/2006/relationships" r:embed="rId5"/>
        <a:stretch>
          <a:fillRect/>
        </a:stretch>
      </xdr:blipFill>
      <xdr:spPr>
        <a:xfrm>
          <a:off x="3733800" y="0"/>
          <a:ext cx="3733800" cy="1857375"/>
        </a:xfrm>
        <a:prstGeom prst="rect">
          <a:avLst/>
        </a:prstGeom>
      </xdr:spPr>
    </xdr:pic>
    <xdr:clientData/>
  </xdr:twoCellAnchor>
  <xdr:twoCellAnchor editAs="oneCell">
    <xdr:from>
      <xdr:col>7</xdr:col>
      <xdr:colOff>0</xdr:colOff>
      <xdr:row>13</xdr:row>
      <xdr:rowOff>0</xdr:rowOff>
    </xdr:from>
    <xdr:to>
      <xdr:col>14</xdr:col>
      <xdr:colOff>0</xdr:colOff>
      <xdr:row>26</xdr:row>
      <xdr:rowOff>0</xdr:rowOff>
    </xdr:to>
    <xdr:pic>
      <xdr:nvPicPr>
        <xdr:cNvPr id="278" name="Well Opex"/>
        <xdr:cNvPicPr>
          <a:picLocks/>
        </xdr:cNvPicPr>
      </xdr:nvPicPr>
      <xdr:blipFill>
        <a:blip xmlns:r="http://schemas.openxmlformats.org/officeDocument/2006/relationships" r:embed="rId6"/>
        <a:stretch>
          <a:fillRect/>
        </a:stretch>
      </xdr:blipFill>
      <xdr:spPr>
        <a:xfrm>
          <a:off x="3733800" y="1857375"/>
          <a:ext cx="3733800" cy="1857375"/>
        </a:xfrm>
        <a:prstGeom prst="rect">
          <a:avLst/>
        </a:prstGeom>
      </xdr:spPr>
    </xdr:pic>
    <xdr:clientData/>
  </xdr:twoCellAnchor>
  <xdr:twoCellAnchor editAs="oneCell">
    <xdr:from>
      <xdr:col>7</xdr:col>
      <xdr:colOff>0</xdr:colOff>
      <xdr:row>26</xdr:row>
      <xdr:rowOff>0</xdr:rowOff>
    </xdr:from>
    <xdr:to>
      <xdr:col>14</xdr:col>
      <xdr:colOff>0</xdr:colOff>
      <xdr:row>39</xdr:row>
      <xdr:rowOff>0</xdr:rowOff>
    </xdr:to>
    <xdr:pic>
      <xdr:nvPicPr>
        <xdr:cNvPr id="279" name="Field Cumulative Gas Sale"/>
        <xdr:cNvPicPr>
          <a:picLocks/>
        </xdr:cNvPicPr>
      </xdr:nvPicPr>
      <xdr:blipFill>
        <a:blip xmlns:r="http://schemas.openxmlformats.org/officeDocument/2006/relationships" r:embed="rId7"/>
        <a:stretch>
          <a:fillRect/>
        </a:stretch>
      </xdr:blipFill>
      <xdr:spPr>
        <a:xfrm>
          <a:off x="3733800" y="3714750"/>
          <a:ext cx="3733800" cy="1857375"/>
        </a:xfrm>
        <a:prstGeom prst="rect">
          <a:avLst/>
        </a:prstGeom>
      </xdr:spPr>
    </xdr:pic>
    <xdr:clientData/>
  </xdr:twoCellAnchor>
  <xdr:twoCellAnchor editAs="oneCell">
    <xdr:from>
      <xdr:col>7</xdr:col>
      <xdr:colOff>0</xdr:colOff>
      <xdr:row>39</xdr:row>
      <xdr:rowOff>0</xdr:rowOff>
    </xdr:from>
    <xdr:to>
      <xdr:col>14</xdr:col>
      <xdr:colOff>0</xdr:colOff>
      <xdr:row>52</xdr:row>
      <xdr:rowOff>0</xdr:rowOff>
    </xdr:to>
    <xdr:pic>
      <xdr:nvPicPr>
        <xdr:cNvPr id="280" name="Capex before production"/>
        <xdr:cNvPicPr>
          <a:picLocks/>
        </xdr:cNvPicPr>
      </xdr:nvPicPr>
      <xdr:blipFill>
        <a:blip xmlns:r="http://schemas.openxmlformats.org/officeDocument/2006/relationships" r:embed="rId8"/>
        <a:stretch>
          <a:fillRect/>
        </a:stretch>
      </xdr:blipFill>
      <xdr:spPr>
        <a:xfrm>
          <a:off x="3733800" y="5572125"/>
          <a:ext cx="3733800" cy="1857375"/>
        </a:xfrm>
        <a:prstGeom prst="rect">
          <a:avLst/>
        </a:prstGeom>
      </xdr:spPr>
    </xdr:pic>
    <xdr:clientData/>
  </xdr:twoCellAnchor>
  <xdr:twoCellAnchor editAs="oneCell">
    <xdr:from>
      <xdr:col>14</xdr:col>
      <xdr:colOff>0</xdr:colOff>
      <xdr:row>0</xdr:row>
      <xdr:rowOff>0</xdr:rowOff>
    </xdr:from>
    <xdr:to>
      <xdr:col>21</xdr:col>
      <xdr:colOff>0</xdr:colOff>
      <xdr:row>13</xdr:row>
      <xdr:rowOff>0</xdr:rowOff>
    </xdr:to>
    <xdr:pic>
      <xdr:nvPicPr>
        <xdr:cNvPr id="281" name="Total Investment"/>
        <xdr:cNvPicPr>
          <a:picLocks/>
        </xdr:cNvPicPr>
      </xdr:nvPicPr>
      <xdr:blipFill>
        <a:blip xmlns:r="http://schemas.openxmlformats.org/officeDocument/2006/relationships" r:embed="rId9"/>
        <a:stretch>
          <a:fillRect/>
        </a:stretch>
      </xdr:blipFill>
      <xdr:spPr>
        <a:xfrm>
          <a:off x="7467600" y="0"/>
          <a:ext cx="3733800" cy="1857375"/>
        </a:xfrm>
        <a:prstGeom prst="rect">
          <a:avLst/>
        </a:prstGeom>
      </xdr:spPr>
    </xdr:pic>
    <xdr:clientData/>
  </xdr:twoCellAnchor>
  <xdr:twoCellAnchor editAs="oneCell">
    <xdr:from>
      <xdr:col>14</xdr:col>
      <xdr:colOff>0</xdr:colOff>
      <xdr:row>13</xdr:row>
      <xdr:rowOff>0</xdr:rowOff>
    </xdr:from>
    <xdr:to>
      <xdr:col>21</xdr:col>
      <xdr:colOff>0</xdr:colOff>
      <xdr:row>26</xdr:row>
      <xdr:rowOff>0</xdr:rowOff>
    </xdr:to>
    <xdr:pic>
      <xdr:nvPicPr>
        <xdr:cNvPr id="282" name="NPV"/>
        <xdr:cNvPicPr>
          <a:picLocks/>
        </xdr:cNvPicPr>
      </xdr:nvPicPr>
      <xdr:blipFill>
        <a:blip xmlns:r="http://schemas.openxmlformats.org/officeDocument/2006/relationships" r:embed="rId10"/>
        <a:stretch>
          <a:fillRect/>
        </a:stretch>
      </xdr:blipFill>
      <xdr:spPr>
        <a:xfrm>
          <a:off x="7467600" y="1857375"/>
          <a:ext cx="3733800" cy="1857375"/>
        </a:xfrm>
        <a:prstGeom prst="rect">
          <a:avLst/>
        </a:prstGeom>
      </xdr:spPr>
    </xdr:pic>
    <xdr:clientData/>
  </xdr:twoCellAnchor>
  <xdr:twoCellAnchor editAs="oneCell">
    <xdr:from>
      <xdr:col>14</xdr:col>
      <xdr:colOff>0</xdr:colOff>
      <xdr:row>26</xdr:row>
      <xdr:rowOff>0</xdr:rowOff>
    </xdr:from>
    <xdr:to>
      <xdr:col>21</xdr:col>
      <xdr:colOff>0</xdr:colOff>
      <xdr:row>39</xdr:row>
      <xdr:rowOff>0</xdr:rowOff>
    </xdr:to>
    <xdr:pic>
      <xdr:nvPicPr>
        <xdr:cNvPr id="283" name="Payback Period"/>
        <xdr:cNvPicPr>
          <a:picLocks/>
        </xdr:cNvPicPr>
      </xdr:nvPicPr>
      <xdr:blipFill>
        <a:blip xmlns:r="http://schemas.openxmlformats.org/officeDocument/2006/relationships" r:embed="rId11"/>
        <a:stretch>
          <a:fillRect/>
        </a:stretch>
      </xdr:blipFill>
      <xdr:spPr>
        <a:xfrm>
          <a:off x="7467600" y="3714750"/>
          <a:ext cx="3733800" cy="1857375"/>
        </a:xfrm>
        <a:prstGeom prst="rect">
          <a:avLst/>
        </a:prstGeom>
      </xdr:spPr>
    </xdr:pic>
    <xdr:clientData/>
  </xdr:twoCellAnchor>
  <xdr:twoCellAnchor editAs="oneCell">
    <xdr:from>
      <xdr:col>14</xdr:col>
      <xdr:colOff>0</xdr:colOff>
      <xdr:row>39</xdr:row>
      <xdr:rowOff>0</xdr:rowOff>
    </xdr:from>
    <xdr:to>
      <xdr:col>21</xdr:col>
      <xdr:colOff>0</xdr:colOff>
      <xdr:row>52</xdr:row>
      <xdr:rowOff>0</xdr:rowOff>
    </xdr:to>
    <xdr:pic>
      <xdr:nvPicPr>
        <xdr:cNvPr id="284" name="Maximum Capital Outlay (MCO)"/>
        <xdr:cNvPicPr>
          <a:picLocks/>
        </xdr:cNvPicPr>
      </xdr:nvPicPr>
      <xdr:blipFill>
        <a:blip xmlns:r="http://schemas.openxmlformats.org/officeDocument/2006/relationships" r:embed="rId12"/>
        <a:stretch>
          <a:fillRect/>
        </a:stretch>
      </xdr:blipFill>
      <xdr:spPr>
        <a:xfrm>
          <a:off x="7467600" y="5572125"/>
          <a:ext cx="3733800" cy="1857375"/>
        </a:xfrm>
        <a:prstGeom prst="rect">
          <a:avLst/>
        </a:prstGeom>
      </xdr:spPr>
    </xdr:pic>
    <xdr:clientData/>
  </xdr:twoCellAnchor>
  <xdr:twoCellAnchor editAs="oneCell">
    <xdr:from>
      <xdr:col>21</xdr:col>
      <xdr:colOff>0</xdr:colOff>
      <xdr:row>0</xdr:row>
      <xdr:rowOff>0</xdr:rowOff>
    </xdr:from>
    <xdr:to>
      <xdr:col>28</xdr:col>
      <xdr:colOff>0</xdr:colOff>
      <xdr:row>13</xdr:row>
      <xdr:rowOff>0</xdr:rowOff>
    </xdr:to>
    <xdr:pic>
      <xdr:nvPicPr>
        <xdr:cNvPr id="285" name="Terminal Cash Surplus (TCS)"/>
        <xdr:cNvPicPr>
          <a:picLocks/>
        </xdr:cNvPicPr>
      </xdr:nvPicPr>
      <xdr:blipFill>
        <a:blip xmlns:r="http://schemas.openxmlformats.org/officeDocument/2006/relationships" r:embed="rId13"/>
        <a:stretch>
          <a:fillRect/>
        </a:stretch>
      </xdr:blipFill>
      <xdr:spPr>
        <a:xfrm>
          <a:off x="11201400" y="0"/>
          <a:ext cx="3733800" cy="1857375"/>
        </a:xfrm>
        <a:prstGeom prst="rect">
          <a:avLst/>
        </a:prstGeom>
      </xdr:spPr>
    </xdr:pic>
    <xdr:clientData/>
  </xdr:twoCellAnchor>
  <xdr:twoCellAnchor editAs="oneCell">
    <xdr:from>
      <xdr:col>21</xdr:col>
      <xdr:colOff>0</xdr:colOff>
      <xdr:row>13</xdr:row>
      <xdr:rowOff>0</xdr:rowOff>
    </xdr:from>
    <xdr:to>
      <xdr:col>28</xdr:col>
      <xdr:colOff>0</xdr:colOff>
      <xdr:row>26</xdr:row>
      <xdr:rowOff>0</xdr:rowOff>
    </xdr:to>
    <xdr:pic>
      <xdr:nvPicPr>
        <xdr:cNvPr id="286" name="Profit to Investment Ratio (PIR)"/>
        <xdr:cNvPicPr>
          <a:picLocks/>
        </xdr:cNvPicPr>
      </xdr:nvPicPr>
      <xdr:blipFill>
        <a:blip xmlns:r="http://schemas.openxmlformats.org/officeDocument/2006/relationships" r:embed="rId14"/>
        <a:stretch>
          <a:fillRect/>
        </a:stretch>
      </xdr:blipFill>
      <xdr:spPr>
        <a:xfrm>
          <a:off x="11201400" y="1857375"/>
          <a:ext cx="3733800" cy="1857375"/>
        </a:xfrm>
        <a:prstGeom prst="rect">
          <a:avLst/>
        </a:prstGeom>
      </xdr:spPr>
    </xdr:pic>
    <xdr:clientData/>
  </xdr:twoCellAnchor>
  <xdr:twoCellAnchor editAs="oneCell">
    <xdr:from>
      <xdr:col>21</xdr:col>
      <xdr:colOff>0</xdr:colOff>
      <xdr:row>26</xdr:row>
      <xdr:rowOff>0</xdr:rowOff>
    </xdr:from>
    <xdr:to>
      <xdr:col>28</xdr:col>
      <xdr:colOff>0</xdr:colOff>
      <xdr:row>52</xdr:row>
      <xdr:rowOff>0</xdr:rowOff>
    </xdr:to>
    <xdr:pic>
      <xdr:nvPicPr>
        <xdr:cNvPr id="287" name="NPV_S"/>
        <xdr:cNvPicPr>
          <a:picLocks/>
        </xdr:cNvPicPr>
      </xdr:nvPicPr>
      <xdr:blipFill>
        <a:blip xmlns:r="http://schemas.openxmlformats.org/officeDocument/2006/relationships" r:embed="rId15"/>
        <a:stretch>
          <a:fillRect/>
        </a:stretch>
      </xdr:blipFill>
      <xdr:spPr>
        <a:xfrm>
          <a:off x="11201400" y="3714750"/>
          <a:ext cx="3733800" cy="3714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0</xdr:colOff>
      <xdr:row>50</xdr:row>
      <xdr:rowOff>0</xdr:rowOff>
    </xdr:to>
    <xdr:pic>
      <xdr:nvPicPr>
        <xdr:cNvPr id="33" name="Scatter_NPV"/>
        <xdr:cNvPicPr>
          <a:picLocks/>
        </xdr:cNvPicPr>
      </xdr:nvPicPr>
      <xdr:blipFill>
        <a:blip xmlns:r="http://schemas.openxmlformats.org/officeDocument/2006/relationships" r:embed="rId1"/>
        <a:stretch>
          <a:fillRect/>
        </a:stretch>
      </xdr:blipFill>
      <xdr:spPr>
        <a:xfrm>
          <a:off x="0" y="0"/>
          <a:ext cx="10668000" cy="7143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19050</xdr:colOff>
      <xdr:row>10</xdr:row>
      <xdr:rowOff>28574</xdr:rowOff>
    </xdr:from>
    <xdr:to>
      <xdr:col>21</xdr:col>
      <xdr:colOff>257175</xdr:colOff>
      <xdr:row>41</xdr:row>
      <xdr:rowOff>9524</xdr:rowOff>
    </xdr:to>
    <xdr:graphicFrame macro="">
      <xdr:nvGraphicFramePr>
        <xdr:cNvPr id="5" name="Gas_Forecast_Trial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19050</xdr:colOff>
          <xdr:row>0</xdr:row>
          <xdr:rowOff>76200</xdr:rowOff>
        </xdr:from>
        <xdr:to>
          <xdr:col>8</xdr:col>
          <xdr:colOff>57150</xdr:colOff>
          <xdr:row>3</xdr:row>
          <xdr:rowOff>76200</xdr:rowOff>
        </xdr:to>
        <xdr:sp macro="" textlink="">
          <xdr:nvSpPr>
            <xdr:cNvPr id="17409" name="CommandButton1" hidden="1">
              <a:extLst>
                <a:ext uri="{63B3BB69-23CF-44E3-9099-C40C66FF867C}">
                  <a14:compatExt spid="_x0000_s17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4.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image" Target="../media/image22.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T40"/>
  <sheetViews>
    <sheetView showGridLines="0" tabSelected="1" workbookViewId="0">
      <selection activeCell="E31" sqref="E31"/>
    </sheetView>
  </sheetViews>
  <sheetFormatPr defaultRowHeight="11.25"/>
  <cols>
    <col min="2" max="2" width="11.6640625" bestFit="1" customWidth="1"/>
    <col min="3" max="3" width="11.6640625" style="31" customWidth="1"/>
    <col min="4" max="4" width="23.5" style="31" customWidth="1"/>
    <col min="6" max="6" width="12.6640625" style="158" bestFit="1" customWidth="1"/>
    <col min="7" max="8" width="9.33203125" style="158"/>
  </cols>
  <sheetData>
    <row r="2" spans="2:20">
      <c r="E2" t="s">
        <v>168</v>
      </c>
      <c r="F2" s="360">
        <f>SUM(C10:C23)</f>
        <v>12.339699999999999</v>
      </c>
    </row>
    <row r="3" spans="2:20">
      <c r="E3" t="s">
        <v>66</v>
      </c>
      <c r="F3" s="244">
        <f>EXP(F2)</f>
        <v>228593.36375995146</v>
      </c>
      <c r="G3" s="158" t="s">
        <v>182</v>
      </c>
    </row>
    <row r="4" spans="2:20">
      <c r="E4" t="s">
        <v>66</v>
      </c>
      <c r="F4" s="244">
        <f>+F3*5.61</f>
        <v>1282408.7706933278</v>
      </c>
      <c r="G4" s="158" t="s">
        <v>183</v>
      </c>
    </row>
    <row r="5" spans="2:20">
      <c r="B5" s="31"/>
      <c r="C5" s="35"/>
      <c r="E5" t="s">
        <v>66</v>
      </c>
      <c r="F5" s="244">
        <f>+F4/1000000</f>
        <v>1.2824087706933278</v>
      </c>
      <c r="G5" s="158" t="s">
        <v>120</v>
      </c>
    </row>
    <row r="6" spans="2:20">
      <c r="B6" s="31"/>
      <c r="C6" s="158"/>
    </row>
    <row r="9" spans="2:20">
      <c r="B9" s="158" t="s">
        <v>153</v>
      </c>
      <c r="C9" s="158" t="s">
        <v>180</v>
      </c>
      <c r="D9" s="158"/>
      <c r="E9" t="s">
        <v>72</v>
      </c>
      <c r="G9" s="158" t="s">
        <v>98</v>
      </c>
      <c r="T9">
        <f>EXP(0)</f>
        <v>1</v>
      </c>
    </row>
    <row r="10" spans="2:20">
      <c r="B10" s="359">
        <v>6.4000000000000001E-2</v>
      </c>
      <c r="C10" s="359">
        <f>+B10</f>
        <v>6.4000000000000001E-2</v>
      </c>
      <c r="D10" s="359"/>
      <c r="H10" s="158" t="s">
        <v>69</v>
      </c>
      <c r="I10" s="158" t="s">
        <v>167</v>
      </c>
    </row>
    <row r="11" spans="2:20">
      <c r="B11" s="359">
        <v>6.7000000000000002E-3</v>
      </c>
      <c r="C11" s="359">
        <f>+B11*F11</f>
        <v>6.7</v>
      </c>
      <c r="D11" s="359" t="s">
        <v>179</v>
      </c>
      <c r="E11" s="361" t="s">
        <v>154</v>
      </c>
      <c r="F11" s="365">
        <v>1000</v>
      </c>
      <c r="G11" s="362" t="s">
        <v>169</v>
      </c>
    </row>
    <row r="12" spans="2:20">
      <c r="B12" s="359">
        <v>4</v>
      </c>
      <c r="C12" s="359">
        <f t="shared" ref="C12:C23" si="0">+B12*F12</f>
        <v>0.4</v>
      </c>
      <c r="D12" s="359" t="s">
        <v>178</v>
      </c>
      <c r="E12" s="363" t="s">
        <v>155</v>
      </c>
      <c r="F12" s="165">
        <v>0.1</v>
      </c>
      <c r="G12" s="169" t="s">
        <v>169</v>
      </c>
    </row>
    <row r="13" spans="2:20">
      <c r="B13" s="359">
        <v>1.8000000000000001E-4</v>
      </c>
      <c r="C13" s="359">
        <f>+B13*F13</f>
        <v>1.3860000000000001</v>
      </c>
      <c r="D13" s="359" t="s">
        <v>177</v>
      </c>
      <c r="E13" s="363" t="s">
        <v>156</v>
      </c>
      <c r="F13" s="165">
        <v>7700</v>
      </c>
      <c r="G13" s="169" t="s">
        <v>170</v>
      </c>
    </row>
    <row r="14" spans="2:20">
      <c r="B14" s="359">
        <v>-5.4000000000000001E-4</v>
      </c>
      <c r="C14" s="359">
        <f t="shared" si="0"/>
        <v>-1.62</v>
      </c>
      <c r="D14" s="359" t="s">
        <v>176</v>
      </c>
      <c r="E14" s="363" t="s">
        <v>157</v>
      </c>
      <c r="F14" s="165">
        <v>3000</v>
      </c>
      <c r="G14" s="169" t="s">
        <v>170</v>
      </c>
    </row>
    <row r="15" spans="2:20">
      <c r="B15" s="359">
        <v>-2.0999999999999999E-3</v>
      </c>
      <c r="C15" s="359">
        <f t="shared" si="0"/>
        <v>-0.105</v>
      </c>
      <c r="D15" s="359" t="s">
        <v>175</v>
      </c>
      <c r="E15" s="363" t="s">
        <v>158</v>
      </c>
      <c r="F15" s="165">
        <v>50</v>
      </c>
      <c r="G15" s="169" t="s">
        <v>171</v>
      </c>
    </row>
    <row r="16" spans="2:20">
      <c r="B16" s="359">
        <v>-3.9</v>
      </c>
      <c r="C16" s="359">
        <f t="shared" si="0"/>
        <v>-0.156</v>
      </c>
      <c r="D16" s="359" t="s">
        <v>174</v>
      </c>
      <c r="E16" s="363" t="s">
        <v>159</v>
      </c>
      <c r="F16" s="165">
        <v>0.04</v>
      </c>
      <c r="G16" s="169" t="s">
        <v>172</v>
      </c>
    </row>
    <row r="17" spans="2:7">
      <c r="B17" s="359">
        <v>-1.1E-4</v>
      </c>
      <c r="C17" s="359">
        <f t="shared" si="0"/>
        <v>-5.5E-2</v>
      </c>
      <c r="D17" s="359" t="s">
        <v>173</v>
      </c>
      <c r="E17" s="364" t="s">
        <v>160</v>
      </c>
      <c r="F17" s="170">
        <v>500</v>
      </c>
      <c r="G17" s="172" t="s">
        <v>171</v>
      </c>
    </row>
    <row r="18" spans="2:7">
      <c r="B18" s="359">
        <v>7.3999999999999996E-5</v>
      </c>
      <c r="C18" s="359">
        <f t="shared" si="0"/>
        <v>3.6999999999999997</v>
      </c>
      <c r="D18" s="359"/>
      <c r="E18" s="361" t="s">
        <v>161</v>
      </c>
      <c r="F18" s="365">
        <f>+F11*F15</f>
        <v>50000</v>
      </c>
      <c r="G18" s="362"/>
    </row>
    <row r="19" spans="2:7">
      <c r="B19" s="359">
        <v>3.5999999999999999E-7</v>
      </c>
      <c r="C19" s="359">
        <f t="shared" si="0"/>
        <v>0.18</v>
      </c>
      <c r="D19" s="359"/>
      <c r="E19" s="363" t="s">
        <v>162</v>
      </c>
      <c r="F19" s="165">
        <f>+F11*F17</f>
        <v>500000</v>
      </c>
      <c r="G19" s="169"/>
    </row>
    <row r="20" spans="2:7">
      <c r="B20" s="359">
        <v>2.3E-2</v>
      </c>
      <c r="C20" s="359">
        <f t="shared" si="0"/>
        <v>1.1499999999999999</v>
      </c>
      <c r="D20" s="359"/>
      <c r="E20" s="363" t="s">
        <v>163</v>
      </c>
      <c r="F20" s="165">
        <f>+F12*F17</f>
        <v>50</v>
      </c>
      <c r="G20" s="169"/>
    </row>
    <row r="21" spans="2:7">
      <c r="B21" s="359">
        <v>4.6999999999999997E-8</v>
      </c>
      <c r="C21" s="359">
        <f t="shared" si="0"/>
        <v>1.0856999999999999</v>
      </c>
      <c r="D21" s="359"/>
      <c r="E21" s="363" t="s">
        <v>164</v>
      </c>
      <c r="F21" s="165">
        <f>+F13*F14</f>
        <v>23100000</v>
      </c>
      <c r="G21" s="169"/>
    </row>
    <row r="22" spans="2:7">
      <c r="B22" s="359">
        <v>5.4E-6</v>
      </c>
      <c r="C22" s="359">
        <f t="shared" si="0"/>
        <v>0.13500000000000001</v>
      </c>
      <c r="D22" s="359"/>
      <c r="E22" s="363" t="s">
        <v>165</v>
      </c>
      <c r="F22" s="165">
        <f>+F15*F17</f>
        <v>25000</v>
      </c>
      <c r="G22" s="169"/>
    </row>
    <row r="23" spans="2:7">
      <c r="B23" s="359">
        <v>-2.0999999999999999E-8</v>
      </c>
      <c r="C23" s="359">
        <f t="shared" si="0"/>
        <v>-0.52500000000000002</v>
      </c>
      <c r="D23" s="359"/>
      <c r="E23" s="364" t="s">
        <v>166</v>
      </c>
      <c r="F23" s="170">
        <f>+F11*F15*F17</f>
        <v>25000000</v>
      </c>
      <c r="G23" s="172"/>
    </row>
    <row r="26" spans="2:7">
      <c r="B26" t="s">
        <v>186</v>
      </c>
      <c r="C26" s="31">
        <v>0.62</v>
      </c>
    </row>
    <row r="27" spans="2:7">
      <c r="B27" t="s">
        <v>185</v>
      </c>
      <c r="C27" s="31">
        <v>5.0000000000000001E-4</v>
      </c>
    </row>
    <row r="28" spans="2:7">
      <c r="B28" t="s">
        <v>184</v>
      </c>
    </row>
    <row r="29" spans="2:7">
      <c r="B29" t="s">
        <v>153</v>
      </c>
    </row>
    <row r="30" spans="2:7">
      <c r="B30" s="359">
        <v>690</v>
      </c>
      <c r="C30" s="359">
        <f>+B30</f>
        <v>690</v>
      </c>
    </row>
    <row r="31" spans="2:7">
      <c r="B31" s="35">
        <v>-3.8</v>
      </c>
      <c r="C31" s="31">
        <f>+B31*F11</f>
        <v>-3800</v>
      </c>
    </row>
    <row r="32" spans="2:7">
      <c r="B32" s="359">
        <v>420000</v>
      </c>
      <c r="C32" s="31">
        <f>+B32*F12</f>
        <v>42000</v>
      </c>
    </row>
    <row r="33" spans="2:5">
      <c r="B33" s="35">
        <v>-16.100000000000001</v>
      </c>
      <c r="C33" s="31">
        <f>+B33*F15</f>
        <v>-805.00000000000011</v>
      </c>
    </row>
    <row r="34" spans="2:5">
      <c r="B34" s="359">
        <v>13000</v>
      </c>
      <c r="C34" s="31">
        <f>+B34*F16</f>
        <v>520</v>
      </c>
    </row>
    <row r="35" spans="2:5">
      <c r="B35" s="359">
        <v>-1.4999999999999999E-2</v>
      </c>
      <c r="C35" s="31">
        <f>+B35*F17</f>
        <v>-7.5</v>
      </c>
    </row>
    <row r="36" spans="2:5">
      <c r="B36" s="359">
        <v>-5900000</v>
      </c>
      <c r="C36" s="31">
        <f>+B36*F12*F16</f>
        <v>-23600</v>
      </c>
    </row>
    <row r="37" spans="2:5">
      <c r="B37" s="35">
        <v>-4.5</v>
      </c>
      <c r="C37" s="31">
        <f>+B37*F15*F17*C27</f>
        <v>-56.25</v>
      </c>
    </row>
    <row r="39" spans="2:5">
      <c r="C39" s="359">
        <f>SUM(C30:C37)</f>
        <v>14941.25</v>
      </c>
      <c r="D39" s="31">
        <f>+C39*-1</f>
        <v>-14941.25</v>
      </c>
      <c r="E39">
        <v>2</v>
      </c>
    </row>
    <row r="40" spans="2:5">
      <c r="C40" s="31">
        <f>+C39^(1/1.12)</f>
        <v>5334.9602725370769</v>
      </c>
      <c r="D40" s="31" t="e">
        <f>+D39^(1/1.12)</f>
        <v>#NUM!</v>
      </c>
      <c r="E40" s="31">
        <f>+E39^(1/1.12)</f>
        <v>1.8568498283350514</v>
      </c>
    </row>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IP292"/>
  <sheetViews>
    <sheetView showGridLines="0" zoomScaleNormal="100" workbookViewId="0">
      <selection activeCell="D30" sqref="D30"/>
    </sheetView>
  </sheetViews>
  <sheetFormatPr defaultRowHeight="12"/>
  <cols>
    <col min="1" max="1" width="3.33203125" style="139" customWidth="1"/>
    <col min="2" max="2" width="12" style="139" customWidth="1"/>
    <col min="3" max="3" width="11.6640625" style="139" bestFit="1" customWidth="1"/>
    <col min="4" max="6" width="9.33203125" style="139"/>
    <col min="7" max="7" width="15.6640625" style="139" customWidth="1"/>
    <col min="8" max="8" width="11.5" style="139" customWidth="1"/>
    <col min="9" max="9" width="18.33203125" style="139" customWidth="1"/>
    <col min="10" max="10" width="14.5" style="139" customWidth="1"/>
    <col min="11" max="11" width="9.33203125" style="139"/>
    <col min="12" max="12" width="9.1640625" style="139" customWidth="1"/>
    <col min="13" max="16384" width="9.33203125" style="139"/>
  </cols>
  <sheetData>
    <row r="2" spans="2:5">
      <c r="B2" s="139" t="s">
        <v>114</v>
      </c>
      <c r="C2" s="220">
        <v>45658</v>
      </c>
    </row>
    <row r="3" spans="2:5">
      <c r="B3" s="7" t="s">
        <v>115</v>
      </c>
      <c r="C3" s="12">
        <v>0.98</v>
      </c>
      <c r="D3" s="11" t="s">
        <v>0</v>
      </c>
    </row>
    <row r="4" spans="2:5">
      <c r="B4" s="71" t="s">
        <v>116</v>
      </c>
      <c r="C4" s="72">
        <v>25</v>
      </c>
      <c r="D4" s="73" t="s">
        <v>57</v>
      </c>
    </row>
    <row r="5" spans="2:5">
      <c r="B5" s="71" t="s">
        <v>117</v>
      </c>
      <c r="C5" s="72">
        <v>6</v>
      </c>
      <c r="D5" s="73" t="s">
        <v>57</v>
      </c>
    </row>
    <row r="6" spans="2:5">
      <c r="B6" s="6" t="s">
        <v>9</v>
      </c>
      <c r="C6" s="10">
        <v>4</v>
      </c>
      <c r="D6" s="9" t="s">
        <v>57</v>
      </c>
      <c r="E6" s="221"/>
    </row>
    <row r="7" spans="2:5">
      <c r="B7" s="5" t="s">
        <v>10</v>
      </c>
      <c r="C7" s="8">
        <v>0</v>
      </c>
      <c r="D7" s="3" t="s">
        <v>57</v>
      </c>
    </row>
    <row r="8" spans="2:5">
      <c r="E8" s="222"/>
    </row>
    <row r="9" spans="2:5">
      <c r="B9" s="142"/>
      <c r="C9" s="142"/>
    </row>
    <row r="11" spans="2:5">
      <c r="C11" s="143"/>
      <c r="E11" s="224"/>
    </row>
    <row r="12" spans="2:5">
      <c r="C12" s="143"/>
    </row>
    <row r="13" spans="2:5">
      <c r="C13" s="143"/>
    </row>
    <row r="14" spans="2:5">
      <c r="C14" s="143"/>
    </row>
    <row r="15" spans="2:5">
      <c r="C15" s="143"/>
    </row>
    <row r="16" spans="2:5">
      <c r="B16" s="137" t="s">
        <v>72</v>
      </c>
      <c r="C16" s="137" t="s">
        <v>71</v>
      </c>
      <c r="D16" s="138" t="s">
        <v>69</v>
      </c>
      <c r="E16" s="138" t="s">
        <v>70</v>
      </c>
    </row>
    <row r="17" spans="2:5">
      <c r="B17" s="140" t="s">
        <v>66</v>
      </c>
      <c r="C17" s="141">
        <v>5</v>
      </c>
      <c r="D17" s="142">
        <v>5</v>
      </c>
      <c r="E17" s="142">
        <v>1</v>
      </c>
    </row>
    <row r="18" spans="2:5">
      <c r="B18" s="140" t="s">
        <v>2</v>
      </c>
      <c r="C18" s="141">
        <v>2</v>
      </c>
      <c r="D18" s="142">
        <v>2.5</v>
      </c>
      <c r="E18" s="142">
        <v>0.5</v>
      </c>
    </row>
    <row r="19" spans="2:5">
      <c r="B19" s="140" t="s">
        <v>67</v>
      </c>
      <c r="C19" s="141">
        <v>0.9</v>
      </c>
      <c r="D19" s="142">
        <v>0.8</v>
      </c>
      <c r="E19" s="142">
        <v>0.1</v>
      </c>
    </row>
    <row r="20" spans="2:5">
      <c r="C20" s="143"/>
    </row>
    <row r="21" spans="2:5">
      <c r="C21" s="143"/>
    </row>
    <row r="22" spans="2:5">
      <c r="C22" s="143"/>
    </row>
    <row r="23" spans="2:5">
      <c r="C23" s="143"/>
    </row>
    <row r="24" spans="2:5">
      <c r="C24" s="143"/>
    </row>
    <row r="25" spans="2:5">
      <c r="C25" s="143"/>
    </row>
    <row r="26" spans="2:5">
      <c r="C26" s="143"/>
    </row>
    <row r="27" spans="2:5">
      <c r="C27" s="143"/>
    </row>
    <row r="28" spans="2:5">
      <c r="C28" s="143"/>
    </row>
    <row r="29" spans="2:5">
      <c r="C29" s="143"/>
    </row>
    <row r="30" spans="2:5">
      <c r="C30" s="143"/>
    </row>
    <row r="31" spans="2:5">
      <c r="C31" s="143"/>
    </row>
    <row r="32" spans="2:5">
      <c r="C32" s="143"/>
    </row>
    <row r="33" spans="3:250">
      <c r="C33" s="143"/>
    </row>
    <row r="34" spans="3:250">
      <c r="C34" s="143"/>
    </row>
    <row r="35" spans="3:250" ht="15">
      <c r="C35" s="143"/>
      <c r="G35" s="211" t="s">
        <v>111</v>
      </c>
      <c r="L35" s="223"/>
      <c r="M35" s="223"/>
      <c r="N35" s="223"/>
      <c r="O35" s="223"/>
      <c r="P35" s="223"/>
      <c r="Q35" s="223"/>
      <c r="R35" s="223"/>
      <c r="S35" s="223"/>
      <c r="T35" s="223"/>
      <c r="U35" s="223"/>
      <c r="V35" s="223"/>
      <c r="W35" s="223"/>
      <c r="X35" s="223"/>
      <c r="Y35" s="223"/>
      <c r="Z35" s="223"/>
      <c r="AA35" s="223"/>
      <c r="AB35" s="223"/>
      <c r="AC35" s="223"/>
      <c r="AD35" s="223"/>
      <c r="AE35" s="223"/>
      <c r="AF35" s="223"/>
      <c r="AG35" s="223"/>
      <c r="AH35" s="223"/>
      <c r="AI35" s="223"/>
      <c r="AJ35" s="223"/>
      <c r="AK35" s="223"/>
      <c r="AL35" s="223"/>
      <c r="AM35" s="223"/>
      <c r="AN35" s="223"/>
      <c r="AO35" s="223"/>
      <c r="AP35" s="223"/>
      <c r="AQ35" s="223"/>
      <c r="AR35" s="223"/>
      <c r="AS35" s="223"/>
      <c r="AT35" s="223"/>
      <c r="AU35" s="223"/>
      <c r="AV35" s="223"/>
      <c r="AW35" s="223"/>
      <c r="AX35" s="223"/>
      <c r="AY35" s="223"/>
      <c r="AZ35" s="223"/>
      <c r="BA35" s="223"/>
      <c r="BB35" s="223"/>
      <c r="BC35" s="223"/>
      <c r="BD35" s="223"/>
      <c r="BE35" s="223"/>
      <c r="BF35" s="223"/>
      <c r="BG35" s="223"/>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c r="DQ35" s="223"/>
      <c r="DR35" s="223"/>
      <c r="DS35" s="223"/>
      <c r="DT35" s="223"/>
      <c r="DU35" s="223"/>
      <c r="DV35" s="223"/>
      <c r="DW35" s="223"/>
      <c r="DX35" s="223"/>
      <c r="DY35" s="223"/>
      <c r="DZ35" s="223"/>
      <c r="EA35" s="223"/>
      <c r="EB35" s="223"/>
      <c r="EC35" s="223"/>
      <c r="ED35" s="223"/>
      <c r="EE35" s="223"/>
      <c r="EF35" s="223"/>
      <c r="EG35" s="223"/>
      <c r="EH35" s="223"/>
      <c r="EI35" s="223"/>
      <c r="EJ35" s="223"/>
      <c r="EK35" s="223"/>
      <c r="EL35" s="223"/>
      <c r="EM35" s="223"/>
      <c r="EN35" s="223"/>
      <c r="EO35" s="223"/>
      <c r="EP35" s="223"/>
      <c r="EQ35" s="223"/>
      <c r="ER35" s="223"/>
      <c r="ES35" s="223"/>
      <c r="ET35" s="223"/>
      <c r="EU35" s="223"/>
      <c r="EV35" s="223"/>
      <c r="EW35" s="223"/>
      <c r="EX35" s="223"/>
      <c r="EY35" s="223"/>
      <c r="EZ35" s="223"/>
      <c r="FA35" s="223"/>
      <c r="FB35" s="223"/>
      <c r="FC35" s="223"/>
      <c r="FD35" s="223"/>
      <c r="FE35" s="223"/>
      <c r="FF35" s="223"/>
      <c r="FG35" s="223"/>
      <c r="FH35" s="223"/>
      <c r="FI35" s="223"/>
      <c r="FJ35" s="223"/>
      <c r="FK35" s="223"/>
      <c r="FL35" s="223"/>
      <c r="FM35" s="223"/>
      <c r="FN35" s="223"/>
      <c r="FO35" s="223"/>
      <c r="FP35" s="223"/>
      <c r="FQ35" s="223"/>
      <c r="FR35" s="223"/>
      <c r="FS35" s="223"/>
      <c r="FT35" s="223"/>
      <c r="FU35" s="223"/>
      <c r="FV35" s="223"/>
      <c r="FW35" s="223"/>
      <c r="FX35" s="223"/>
      <c r="FY35" s="223"/>
      <c r="FZ35" s="223"/>
      <c r="GA35" s="223"/>
      <c r="GB35" s="223"/>
      <c r="GC35" s="223"/>
      <c r="GD35" s="223"/>
      <c r="GE35" s="223"/>
      <c r="GF35" s="223"/>
      <c r="GG35" s="223"/>
      <c r="GH35" s="223"/>
    </row>
    <row r="36" spans="3:250" ht="15">
      <c r="C36" s="143"/>
      <c r="G36" s="189"/>
      <c r="H36" s="196"/>
      <c r="I36" s="189"/>
      <c r="J36" s="190"/>
      <c r="K36" s="55">
        <v>0</v>
      </c>
      <c r="L36" s="56">
        <f>+K36+1</f>
        <v>1</v>
      </c>
      <c r="M36" s="56">
        <f t="shared" ref="M36:V36" si="0">+L36+1</f>
        <v>2</v>
      </c>
      <c r="N36" s="56">
        <f t="shared" si="0"/>
        <v>3</v>
      </c>
      <c r="O36" s="56">
        <f t="shared" si="0"/>
        <v>4</v>
      </c>
      <c r="P36" s="56">
        <f t="shared" si="0"/>
        <v>5</v>
      </c>
      <c r="Q36" s="56">
        <f t="shared" si="0"/>
        <v>6</v>
      </c>
      <c r="R36" s="56">
        <f t="shared" si="0"/>
        <v>7</v>
      </c>
      <c r="S36" s="56">
        <f t="shared" si="0"/>
        <v>8</v>
      </c>
      <c r="T36" s="56">
        <f t="shared" si="0"/>
        <v>9</v>
      </c>
      <c r="U36" s="56">
        <f t="shared" si="0"/>
        <v>10</v>
      </c>
      <c r="V36" s="56">
        <f t="shared" si="0"/>
        <v>11</v>
      </c>
      <c r="W36" s="56">
        <f t="shared" ref="W36:BX36" si="1">+V36+1</f>
        <v>12</v>
      </c>
      <c r="X36" s="56">
        <f t="shared" si="1"/>
        <v>13</v>
      </c>
      <c r="Y36" s="56">
        <f t="shared" si="1"/>
        <v>14</v>
      </c>
      <c r="Z36" s="56">
        <f t="shared" si="1"/>
        <v>15</v>
      </c>
      <c r="AA36" s="56">
        <f t="shared" si="1"/>
        <v>16</v>
      </c>
      <c r="AB36" s="56">
        <f t="shared" si="1"/>
        <v>17</v>
      </c>
      <c r="AC36" s="56">
        <f t="shared" si="1"/>
        <v>18</v>
      </c>
      <c r="AD36" s="56">
        <f t="shared" si="1"/>
        <v>19</v>
      </c>
      <c r="AE36" s="56">
        <f t="shared" si="1"/>
        <v>20</v>
      </c>
      <c r="AF36" s="56">
        <f t="shared" si="1"/>
        <v>21</v>
      </c>
      <c r="AG36" s="56">
        <f t="shared" si="1"/>
        <v>22</v>
      </c>
      <c r="AH36" s="56">
        <f t="shared" si="1"/>
        <v>23</v>
      </c>
      <c r="AI36" s="56">
        <f t="shared" si="1"/>
        <v>24</v>
      </c>
      <c r="AJ36" s="56">
        <f t="shared" si="1"/>
        <v>25</v>
      </c>
      <c r="AK36" s="56">
        <f t="shared" si="1"/>
        <v>26</v>
      </c>
      <c r="AL36" s="56">
        <f t="shared" si="1"/>
        <v>27</v>
      </c>
      <c r="AM36" s="56">
        <f t="shared" si="1"/>
        <v>28</v>
      </c>
      <c r="AN36" s="56">
        <f t="shared" si="1"/>
        <v>29</v>
      </c>
      <c r="AO36" s="56">
        <f t="shared" si="1"/>
        <v>30</v>
      </c>
      <c r="AP36" s="56">
        <f t="shared" si="1"/>
        <v>31</v>
      </c>
      <c r="AQ36" s="56">
        <f t="shared" si="1"/>
        <v>32</v>
      </c>
      <c r="AR36" s="56">
        <f t="shared" si="1"/>
        <v>33</v>
      </c>
      <c r="AS36" s="56">
        <f t="shared" si="1"/>
        <v>34</v>
      </c>
      <c r="AT36" s="56">
        <f t="shared" si="1"/>
        <v>35</v>
      </c>
      <c r="AU36" s="56">
        <f t="shared" si="1"/>
        <v>36</v>
      </c>
      <c r="AV36" s="56">
        <f t="shared" si="1"/>
        <v>37</v>
      </c>
      <c r="AW36" s="56">
        <f t="shared" si="1"/>
        <v>38</v>
      </c>
      <c r="AX36" s="56">
        <f t="shared" si="1"/>
        <v>39</v>
      </c>
      <c r="AY36" s="56">
        <f t="shared" si="1"/>
        <v>40</v>
      </c>
      <c r="AZ36" s="56">
        <f t="shared" si="1"/>
        <v>41</v>
      </c>
      <c r="BA36" s="56">
        <f t="shared" si="1"/>
        <v>42</v>
      </c>
      <c r="BB36" s="56">
        <f t="shared" si="1"/>
        <v>43</v>
      </c>
      <c r="BC36" s="56">
        <f t="shared" si="1"/>
        <v>44</v>
      </c>
      <c r="BD36" s="56">
        <f t="shared" si="1"/>
        <v>45</v>
      </c>
      <c r="BE36" s="56">
        <f t="shared" si="1"/>
        <v>46</v>
      </c>
      <c r="BF36" s="56">
        <f t="shared" si="1"/>
        <v>47</v>
      </c>
      <c r="BG36" s="56">
        <f t="shared" si="1"/>
        <v>48</v>
      </c>
      <c r="BH36" s="56">
        <f t="shared" si="1"/>
        <v>49</v>
      </c>
      <c r="BI36" s="56">
        <f t="shared" si="1"/>
        <v>50</v>
      </c>
      <c r="BJ36" s="56">
        <f t="shared" si="1"/>
        <v>51</v>
      </c>
      <c r="BK36" s="56">
        <f t="shared" si="1"/>
        <v>52</v>
      </c>
      <c r="BL36" s="56">
        <f t="shared" si="1"/>
        <v>53</v>
      </c>
      <c r="BM36" s="56">
        <f t="shared" si="1"/>
        <v>54</v>
      </c>
      <c r="BN36" s="56">
        <f t="shared" si="1"/>
        <v>55</v>
      </c>
      <c r="BO36" s="56">
        <f t="shared" si="1"/>
        <v>56</v>
      </c>
      <c r="BP36" s="56">
        <f t="shared" si="1"/>
        <v>57</v>
      </c>
      <c r="BQ36" s="56">
        <f t="shared" si="1"/>
        <v>58</v>
      </c>
      <c r="BR36" s="56">
        <f t="shared" si="1"/>
        <v>59</v>
      </c>
      <c r="BS36" s="56">
        <f t="shared" si="1"/>
        <v>60</v>
      </c>
      <c r="BT36" s="56">
        <f t="shared" si="1"/>
        <v>61</v>
      </c>
      <c r="BU36" s="56">
        <f t="shared" si="1"/>
        <v>62</v>
      </c>
      <c r="BV36" s="56">
        <f t="shared" si="1"/>
        <v>63</v>
      </c>
      <c r="BW36" s="56">
        <f t="shared" si="1"/>
        <v>64</v>
      </c>
      <c r="BX36" s="56">
        <f t="shared" si="1"/>
        <v>65</v>
      </c>
      <c r="BY36" s="56">
        <f t="shared" ref="BY36:EJ36" si="2">+BX36+1</f>
        <v>66</v>
      </c>
      <c r="BZ36" s="56">
        <f t="shared" si="2"/>
        <v>67</v>
      </c>
      <c r="CA36" s="56">
        <f t="shared" si="2"/>
        <v>68</v>
      </c>
      <c r="CB36" s="56">
        <f t="shared" si="2"/>
        <v>69</v>
      </c>
      <c r="CC36" s="56">
        <f t="shared" si="2"/>
        <v>70</v>
      </c>
      <c r="CD36" s="56">
        <f t="shared" si="2"/>
        <v>71</v>
      </c>
      <c r="CE36" s="56">
        <f t="shared" si="2"/>
        <v>72</v>
      </c>
      <c r="CF36" s="56">
        <f t="shared" si="2"/>
        <v>73</v>
      </c>
      <c r="CG36" s="56">
        <f t="shared" si="2"/>
        <v>74</v>
      </c>
      <c r="CH36" s="56">
        <f t="shared" si="2"/>
        <v>75</v>
      </c>
      <c r="CI36" s="56">
        <f t="shared" si="2"/>
        <v>76</v>
      </c>
      <c r="CJ36" s="56">
        <f t="shared" si="2"/>
        <v>77</v>
      </c>
      <c r="CK36" s="56">
        <f t="shared" si="2"/>
        <v>78</v>
      </c>
      <c r="CL36" s="56">
        <f t="shared" si="2"/>
        <v>79</v>
      </c>
      <c r="CM36" s="56">
        <f t="shared" si="2"/>
        <v>80</v>
      </c>
      <c r="CN36" s="56">
        <f t="shared" si="2"/>
        <v>81</v>
      </c>
      <c r="CO36" s="56">
        <f t="shared" si="2"/>
        <v>82</v>
      </c>
      <c r="CP36" s="56">
        <f t="shared" si="2"/>
        <v>83</v>
      </c>
      <c r="CQ36" s="56">
        <f t="shared" si="2"/>
        <v>84</v>
      </c>
      <c r="CR36" s="56">
        <f t="shared" si="2"/>
        <v>85</v>
      </c>
      <c r="CS36" s="56">
        <f t="shared" si="2"/>
        <v>86</v>
      </c>
      <c r="CT36" s="56">
        <f t="shared" si="2"/>
        <v>87</v>
      </c>
      <c r="CU36" s="56">
        <f t="shared" si="2"/>
        <v>88</v>
      </c>
      <c r="CV36" s="56">
        <f t="shared" si="2"/>
        <v>89</v>
      </c>
      <c r="CW36" s="56">
        <f t="shared" si="2"/>
        <v>90</v>
      </c>
      <c r="CX36" s="56">
        <f t="shared" si="2"/>
        <v>91</v>
      </c>
      <c r="CY36" s="56">
        <f t="shared" si="2"/>
        <v>92</v>
      </c>
      <c r="CZ36" s="56">
        <f t="shared" si="2"/>
        <v>93</v>
      </c>
      <c r="DA36" s="56">
        <f t="shared" si="2"/>
        <v>94</v>
      </c>
      <c r="DB36" s="56">
        <f t="shared" si="2"/>
        <v>95</v>
      </c>
      <c r="DC36" s="56">
        <f t="shared" si="2"/>
        <v>96</v>
      </c>
      <c r="DD36" s="56">
        <f t="shared" si="2"/>
        <v>97</v>
      </c>
      <c r="DE36" s="56">
        <f t="shared" si="2"/>
        <v>98</v>
      </c>
      <c r="DF36" s="56">
        <f t="shared" si="2"/>
        <v>99</v>
      </c>
      <c r="DG36" s="56">
        <f t="shared" si="2"/>
        <v>100</v>
      </c>
      <c r="DH36" s="56">
        <f t="shared" si="2"/>
        <v>101</v>
      </c>
      <c r="DI36" s="56">
        <f t="shared" si="2"/>
        <v>102</v>
      </c>
      <c r="DJ36" s="56">
        <f t="shared" si="2"/>
        <v>103</v>
      </c>
      <c r="DK36" s="56">
        <f t="shared" si="2"/>
        <v>104</v>
      </c>
      <c r="DL36" s="56">
        <f t="shared" si="2"/>
        <v>105</v>
      </c>
      <c r="DM36" s="56">
        <f t="shared" si="2"/>
        <v>106</v>
      </c>
      <c r="DN36" s="56">
        <f t="shared" si="2"/>
        <v>107</v>
      </c>
      <c r="DO36" s="56">
        <f t="shared" si="2"/>
        <v>108</v>
      </c>
      <c r="DP36" s="56">
        <f t="shared" si="2"/>
        <v>109</v>
      </c>
      <c r="DQ36" s="56">
        <f t="shared" si="2"/>
        <v>110</v>
      </c>
      <c r="DR36" s="56">
        <f t="shared" si="2"/>
        <v>111</v>
      </c>
      <c r="DS36" s="56">
        <f t="shared" si="2"/>
        <v>112</v>
      </c>
      <c r="DT36" s="56">
        <f t="shared" si="2"/>
        <v>113</v>
      </c>
      <c r="DU36" s="56">
        <f t="shared" si="2"/>
        <v>114</v>
      </c>
      <c r="DV36" s="56">
        <f t="shared" si="2"/>
        <v>115</v>
      </c>
      <c r="DW36" s="56">
        <f t="shared" si="2"/>
        <v>116</v>
      </c>
      <c r="DX36" s="56">
        <f t="shared" si="2"/>
        <v>117</v>
      </c>
      <c r="DY36" s="56">
        <f t="shared" si="2"/>
        <v>118</v>
      </c>
      <c r="DZ36" s="56">
        <f t="shared" si="2"/>
        <v>119</v>
      </c>
      <c r="EA36" s="56">
        <f t="shared" si="2"/>
        <v>120</v>
      </c>
      <c r="EB36" s="56">
        <f t="shared" si="2"/>
        <v>121</v>
      </c>
      <c r="EC36" s="56">
        <f t="shared" si="2"/>
        <v>122</v>
      </c>
      <c r="ED36" s="56">
        <f t="shared" si="2"/>
        <v>123</v>
      </c>
      <c r="EE36" s="56">
        <f t="shared" si="2"/>
        <v>124</v>
      </c>
      <c r="EF36" s="56">
        <f t="shared" si="2"/>
        <v>125</v>
      </c>
      <c r="EG36" s="56">
        <f t="shared" si="2"/>
        <v>126</v>
      </c>
      <c r="EH36" s="56">
        <f t="shared" si="2"/>
        <v>127</v>
      </c>
      <c r="EI36" s="56">
        <f t="shared" si="2"/>
        <v>128</v>
      </c>
      <c r="EJ36" s="56">
        <f t="shared" si="2"/>
        <v>129</v>
      </c>
      <c r="EK36" s="56">
        <f t="shared" ref="EK36:EX36" si="3">+EJ36+1</f>
        <v>130</v>
      </c>
      <c r="EL36" s="56">
        <f t="shared" si="3"/>
        <v>131</v>
      </c>
      <c r="EM36" s="56">
        <f t="shared" si="3"/>
        <v>132</v>
      </c>
      <c r="EN36" s="56">
        <f t="shared" si="3"/>
        <v>133</v>
      </c>
      <c r="EO36" s="56">
        <f t="shared" si="3"/>
        <v>134</v>
      </c>
      <c r="EP36" s="56">
        <f t="shared" si="3"/>
        <v>135</v>
      </c>
      <c r="EQ36" s="56">
        <f t="shared" si="3"/>
        <v>136</v>
      </c>
      <c r="ER36" s="56">
        <f t="shared" si="3"/>
        <v>137</v>
      </c>
      <c r="ES36" s="56">
        <f t="shared" si="3"/>
        <v>138</v>
      </c>
      <c r="ET36" s="56">
        <f t="shared" si="3"/>
        <v>139</v>
      </c>
      <c r="EU36" s="56">
        <f t="shared" si="3"/>
        <v>140</v>
      </c>
      <c r="EV36" s="56">
        <f t="shared" si="3"/>
        <v>141</v>
      </c>
      <c r="EW36" s="56">
        <f t="shared" si="3"/>
        <v>142</v>
      </c>
      <c r="EX36" s="56">
        <f t="shared" si="3"/>
        <v>143</v>
      </c>
      <c r="EY36" s="56">
        <f t="shared" ref="EY36" si="4">+EX36+1</f>
        <v>144</v>
      </c>
      <c r="EZ36" s="56">
        <f t="shared" ref="EZ36" si="5">+EY36+1</f>
        <v>145</v>
      </c>
      <c r="FA36" s="56">
        <f t="shared" ref="FA36" si="6">+EZ36+1</f>
        <v>146</v>
      </c>
      <c r="FB36" s="56">
        <f t="shared" ref="FB36" si="7">+FA36+1</f>
        <v>147</v>
      </c>
      <c r="FC36" s="56">
        <f t="shared" ref="FC36" si="8">+FB36+1</f>
        <v>148</v>
      </c>
      <c r="FD36" s="56">
        <f t="shared" ref="FD36" si="9">+FC36+1</f>
        <v>149</v>
      </c>
      <c r="FE36" s="56">
        <f t="shared" ref="FE36" si="10">+FD36+1</f>
        <v>150</v>
      </c>
      <c r="FF36" s="56">
        <f t="shared" ref="FF36" si="11">+FE36+1</f>
        <v>151</v>
      </c>
      <c r="FG36" s="56">
        <f t="shared" ref="FG36" si="12">+FF36+1</f>
        <v>152</v>
      </c>
      <c r="FH36" s="56">
        <f t="shared" ref="FH36" si="13">+FG36+1</f>
        <v>153</v>
      </c>
      <c r="FI36" s="56">
        <f t="shared" ref="FI36" si="14">+FH36+1</f>
        <v>154</v>
      </c>
      <c r="FJ36" s="56">
        <f t="shared" ref="FJ36" si="15">+FI36+1</f>
        <v>155</v>
      </c>
      <c r="FK36" s="56">
        <f t="shared" ref="FK36" si="16">+FJ36+1</f>
        <v>156</v>
      </c>
      <c r="FL36" s="56">
        <f t="shared" ref="FL36" si="17">+FK36+1</f>
        <v>157</v>
      </c>
      <c r="FM36" s="56">
        <f t="shared" ref="FM36" si="18">+FL36+1</f>
        <v>158</v>
      </c>
      <c r="FN36" s="56">
        <f t="shared" ref="FN36" si="19">+FM36+1</f>
        <v>159</v>
      </c>
      <c r="FO36" s="56">
        <f t="shared" ref="FO36" si="20">+FN36+1</f>
        <v>160</v>
      </c>
      <c r="FP36" s="56">
        <f t="shared" ref="FP36" si="21">+FO36+1</f>
        <v>161</v>
      </c>
      <c r="FQ36" s="56">
        <f t="shared" ref="FQ36" si="22">+FP36+1</f>
        <v>162</v>
      </c>
      <c r="FR36" s="56">
        <f t="shared" ref="FR36" si="23">+FQ36+1</f>
        <v>163</v>
      </c>
      <c r="FS36" s="56">
        <f t="shared" ref="FS36" si="24">+FR36+1</f>
        <v>164</v>
      </c>
      <c r="FT36" s="56">
        <f t="shared" ref="FT36" si="25">+FS36+1</f>
        <v>165</v>
      </c>
      <c r="FU36" s="56">
        <f t="shared" ref="FU36" si="26">+FT36+1</f>
        <v>166</v>
      </c>
      <c r="FV36" s="56">
        <f t="shared" ref="FV36" si="27">+FU36+1</f>
        <v>167</v>
      </c>
      <c r="FW36" s="56">
        <f t="shared" ref="FW36" si="28">+FV36+1</f>
        <v>168</v>
      </c>
      <c r="FX36" s="56">
        <f t="shared" ref="FX36" si="29">+FW36+1</f>
        <v>169</v>
      </c>
      <c r="FY36" s="56">
        <f t="shared" ref="FY36" si="30">+FX36+1</f>
        <v>170</v>
      </c>
      <c r="FZ36" s="56">
        <f t="shared" ref="FZ36" si="31">+FY36+1</f>
        <v>171</v>
      </c>
      <c r="GA36" s="56">
        <f t="shared" ref="GA36" si="32">+FZ36+1</f>
        <v>172</v>
      </c>
      <c r="GB36" s="56">
        <f t="shared" ref="GB36" si="33">+GA36+1</f>
        <v>173</v>
      </c>
      <c r="GC36" s="56">
        <f t="shared" ref="GC36" si="34">+GB36+1</f>
        <v>174</v>
      </c>
      <c r="GD36" s="56">
        <f t="shared" ref="GD36" si="35">+GC36+1</f>
        <v>175</v>
      </c>
      <c r="GE36" s="56">
        <f t="shared" ref="GE36" si="36">+GD36+1</f>
        <v>176</v>
      </c>
      <c r="GF36" s="56">
        <f t="shared" ref="GF36" si="37">+GE36+1</f>
        <v>177</v>
      </c>
      <c r="GG36" s="56">
        <f t="shared" ref="GG36" si="38">+GF36+1</f>
        <v>178</v>
      </c>
      <c r="GH36" s="56">
        <f t="shared" ref="GH36" si="39">+GG36+1</f>
        <v>179</v>
      </c>
      <c r="GI36" s="56">
        <f t="shared" ref="GI36" si="40">+GH36+1</f>
        <v>180</v>
      </c>
      <c r="GJ36" s="56">
        <f t="shared" ref="GJ36" si="41">+GI36+1</f>
        <v>181</v>
      </c>
      <c r="GK36" s="56">
        <f t="shared" ref="GK36" si="42">+GJ36+1</f>
        <v>182</v>
      </c>
      <c r="GL36" s="56">
        <f t="shared" ref="GL36" si="43">+GK36+1</f>
        <v>183</v>
      </c>
      <c r="GM36" s="56">
        <f t="shared" ref="GM36" si="44">+GL36+1</f>
        <v>184</v>
      </c>
      <c r="GN36" s="56">
        <f t="shared" ref="GN36" si="45">+GM36+1</f>
        <v>185</v>
      </c>
      <c r="GO36" s="56">
        <f t="shared" ref="GO36" si="46">+GN36+1</f>
        <v>186</v>
      </c>
      <c r="GP36" s="56">
        <f t="shared" ref="GP36" si="47">+GO36+1</f>
        <v>187</v>
      </c>
      <c r="GQ36" s="56">
        <f t="shared" ref="GQ36" si="48">+GP36+1</f>
        <v>188</v>
      </c>
      <c r="GR36" s="56">
        <f t="shared" ref="GR36" si="49">+GQ36+1</f>
        <v>189</v>
      </c>
      <c r="GS36" s="56">
        <f t="shared" ref="GS36" si="50">+GR36+1</f>
        <v>190</v>
      </c>
      <c r="GT36" s="56">
        <f t="shared" ref="GT36" si="51">+GS36+1</f>
        <v>191</v>
      </c>
      <c r="GU36" s="56">
        <f t="shared" ref="GU36" si="52">+GT36+1</f>
        <v>192</v>
      </c>
      <c r="GV36" s="56">
        <f t="shared" ref="GV36" si="53">+GU36+1</f>
        <v>193</v>
      </c>
      <c r="GW36" s="56">
        <f t="shared" ref="GW36" si="54">+GV36+1</f>
        <v>194</v>
      </c>
      <c r="GX36" s="56">
        <f t="shared" ref="GX36" si="55">+GW36+1</f>
        <v>195</v>
      </c>
      <c r="GY36" s="56">
        <f t="shared" ref="GY36" si="56">+GX36+1</f>
        <v>196</v>
      </c>
      <c r="GZ36" s="56">
        <f t="shared" ref="GZ36" si="57">+GY36+1</f>
        <v>197</v>
      </c>
      <c r="HA36" s="56">
        <f t="shared" ref="HA36" si="58">+GZ36+1</f>
        <v>198</v>
      </c>
      <c r="HB36" s="56">
        <f t="shared" ref="HB36" si="59">+HA36+1</f>
        <v>199</v>
      </c>
      <c r="HC36" s="56">
        <f t="shared" ref="HC36" si="60">+HB36+1</f>
        <v>200</v>
      </c>
      <c r="HD36" s="56">
        <f t="shared" ref="HD36" si="61">+HC36+1</f>
        <v>201</v>
      </c>
      <c r="HE36" s="56">
        <f t="shared" ref="HE36" si="62">+HD36+1</f>
        <v>202</v>
      </c>
      <c r="HF36" s="56">
        <f t="shared" ref="HF36" si="63">+HE36+1</f>
        <v>203</v>
      </c>
      <c r="HG36" s="56">
        <f t="shared" ref="HG36" si="64">+HF36+1</f>
        <v>204</v>
      </c>
      <c r="HH36" s="56">
        <f t="shared" ref="HH36" si="65">+HG36+1</f>
        <v>205</v>
      </c>
      <c r="HI36" s="56">
        <f t="shared" ref="HI36" si="66">+HH36+1</f>
        <v>206</v>
      </c>
      <c r="HJ36" s="56">
        <f t="shared" ref="HJ36" si="67">+HI36+1</f>
        <v>207</v>
      </c>
      <c r="HK36" s="56">
        <f t="shared" ref="HK36" si="68">+HJ36+1</f>
        <v>208</v>
      </c>
      <c r="HL36" s="56">
        <f t="shared" ref="HL36" si="69">+HK36+1</f>
        <v>209</v>
      </c>
      <c r="HM36" s="56">
        <f t="shared" ref="HM36" si="70">+HL36+1</f>
        <v>210</v>
      </c>
      <c r="HN36" s="56">
        <f t="shared" ref="HN36" si="71">+HM36+1</f>
        <v>211</v>
      </c>
      <c r="HO36" s="56">
        <f t="shared" ref="HO36" si="72">+HN36+1</f>
        <v>212</v>
      </c>
      <c r="HP36" s="56">
        <f t="shared" ref="HP36" si="73">+HO36+1</f>
        <v>213</v>
      </c>
      <c r="HQ36" s="56">
        <f t="shared" ref="HQ36" si="74">+HP36+1</f>
        <v>214</v>
      </c>
      <c r="HR36" s="56">
        <f t="shared" ref="HR36" si="75">+HQ36+1</f>
        <v>215</v>
      </c>
      <c r="HS36" s="56">
        <f t="shared" ref="HS36" si="76">+HR36+1</f>
        <v>216</v>
      </c>
      <c r="HT36" s="56">
        <f t="shared" ref="HT36" si="77">+HS36+1</f>
        <v>217</v>
      </c>
      <c r="HU36" s="56">
        <f t="shared" ref="HU36" si="78">+HT36+1</f>
        <v>218</v>
      </c>
      <c r="HV36" s="56">
        <f t="shared" ref="HV36" si="79">+HU36+1</f>
        <v>219</v>
      </c>
      <c r="HW36" s="56">
        <f t="shared" ref="HW36" si="80">+HV36+1</f>
        <v>220</v>
      </c>
      <c r="HX36" s="56">
        <f t="shared" ref="HX36" si="81">+HW36+1</f>
        <v>221</v>
      </c>
      <c r="HY36" s="56">
        <f t="shared" ref="HY36" si="82">+HX36+1</f>
        <v>222</v>
      </c>
      <c r="HZ36" s="56">
        <f t="shared" ref="HZ36" si="83">+HY36+1</f>
        <v>223</v>
      </c>
      <c r="IA36" s="56">
        <f t="shared" ref="IA36" si="84">+HZ36+1</f>
        <v>224</v>
      </c>
      <c r="IB36" s="56">
        <f t="shared" ref="IB36" si="85">+IA36+1</f>
        <v>225</v>
      </c>
      <c r="IC36" s="56">
        <f t="shared" ref="IC36" si="86">+IB36+1</f>
        <v>226</v>
      </c>
      <c r="ID36" s="56">
        <f t="shared" ref="ID36" si="87">+IC36+1</f>
        <v>227</v>
      </c>
      <c r="IE36" s="56">
        <f t="shared" ref="IE36" si="88">+ID36+1</f>
        <v>228</v>
      </c>
      <c r="IF36" s="56">
        <f t="shared" ref="IF36" si="89">+IE36+1</f>
        <v>229</v>
      </c>
      <c r="IG36" s="56">
        <f t="shared" ref="IG36" si="90">+IF36+1</f>
        <v>230</v>
      </c>
      <c r="IH36" s="56">
        <f t="shared" ref="IH36" si="91">+IG36+1</f>
        <v>231</v>
      </c>
      <c r="II36" s="56">
        <f t="shared" ref="II36" si="92">+IH36+1</f>
        <v>232</v>
      </c>
      <c r="IJ36" s="56">
        <f t="shared" ref="IJ36" si="93">+II36+1</f>
        <v>233</v>
      </c>
      <c r="IK36" s="56">
        <f t="shared" ref="IK36" si="94">+IJ36+1</f>
        <v>234</v>
      </c>
      <c r="IL36" s="56">
        <f t="shared" ref="IL36" si="95">+IK36+1</f>
        <v>235</v>
      </c>
      <c r="IM36" s="56">
        <f t="shared" ref="IM36" si="96">+IL36+1</f>
        <v>236</v>
      </c>
      <c r="IN36" s="56">
        <f t="shared" ref="IN36" si="97">+IM36+1</f>
        <v>237</v>
      </c>
      <c r="IO36" s="56">
        <f t="shared" ref="IO36" si="98">+IN36+1</f>
        <v>238</v>
      </c>
      <c r="IP36" s="56">
        <f t="shared" ref="IP36" si="99">+IO36+1</f>
        <v>239</v>
      </c>
    </row>
    <row r="37" spans="3:250" ht="15">
      <c r="C37" s="143"/>
      <c r="G37" s="191"/>
      <c r="H37" s="197"/>
      <c r="I37" s="192"/>
      <c r="J37" s="193"/>
      <c r="K37" s="155">
        <f>+C2</f>
        <v>45658</v>
      </c>
      <c r="L37" s="156">
        <f t="shared" ref="L37:AQ37" si="100">K$38+K$37</f>
        <v>45689</v>
      </c>
      <c r="M37" s="157">
        <f t="shared" si="100"/>
        <v>45717</v>
      </c>
      <c r="N37" s="156">
        <f t="shared" si="100"/>
        <v>45748</v>
      </c>
      <c r="O37" s="156">
        <f t="shared" si="100"/>
        <v>45778</v>
      </c>
      <c r="P37" s="156">
        <f t="shared" si="100"/>
        <v>45809</v>
      </c>
      <c r="Q37" s="156">
        <f t="shared" si="100"/>
        <v>45839</v>
      </c>
      <c r="R37" s="156">
        <f t="shared" si="100"/>
        <v>45870</v>
      </c>
      <c r="S37" s="156">
        <f t="shared" si="100"/>
        <v>45901</v>
      </c>
      <c r="T37" s="156">
        <f t="shared" si="100"/>
        <v>45931</v>
      </c>
      <c r="U37" s="156">
        <f t="shared" si="100"/>
        <v>45962</v>
      </c>
      <c r="V37" s="156">
        <f t="shared" si="100"/>
        <v>45992</v>
      </c>
      <c r="W37" s="156">
        <f t="shared" si="100"/>
        <v>46023</v>
      </c>
      <c r="X37" s="156">
        <f t="shared" si="100"/>
        <v>46054</v>
      </c>
      <c r="Y37" s="156">
        <f t="shared" si="100"/>
        <v>46082</v>
      </c>
      <c r="Z37" s="156">
        <f t="shared" si="100"/>
        <v>46113</v>
      </c>
      <c r="AA37" s="156">
        <f t="shared" si="100"/>
        <v>46143</v>
      </c>
      <c r="AB37" s="156">
        <f t="shared" si="100"/>
        <v>46174</v>
      </c>
      <c r="AC37" s="156">
        <f t="shared" si="100"/>
        <v>46204</v>
      </c>
      <c r="AD37" s="156">
        <f t="shared" si="100"/>
        <v>46235</v>
      </c>
      <c r="AE37" s="156">
        <f t="shared" si="100"/>
        <v>46266</v>
      </c>
      <c r="AF37" s="156">
        <f t="shared" si="100"/>
        <v>46296</v>
      </c>
      <c r="AG37" s="156">
        <f t="shared" si="100"/>
        <v>46327</v>
      </c>
      <c r="AH37" s="156">
        <f t="shared" si="100"/>
        <v>46357</v>
      </c>
      <c r="AI37" s="156">
        <f t="shared" si="100"/>
        <v>46388</v>
      </c>
      <c r="AJ37" s="156">
        <f t="shared" si="100"/>
        <v>46419</v>
      </c>
      <c r="AK37" s="156">
        <f t="shared" si="100"/>
        <v>46447</v>
      </c>
      <c r="AL37" s="156">
        <f t="shared" si="100"/>
        <v>46478</v>
      </c>
      <c r="AM37" s="156">
        <f t="shared" si="100"/>
        <v>46508</v>
      </c>
      <c r="AN37" s="156">
        <f t="shared" si="100"/>
        <v>46539</v>
      </c>
      <c r="AO37" s="156">
        <f t="shared" si="100"/>
        <v>46569</v>
      </c>
      <c r="AP37" s="156">
        <f t="shared" si="100"/>
        <v>46600</v>
      </c>
      <c r="AQ37" s="156">
        <f t="shared" si="100"/>
        <v>46631</v>
      </c>
      <c r="AR37" s="156">
        <f t="shared" ref="AR37:BW37" si="101">AQ$38+AQ$37</f>
        <v>46661</v>
      </c>
      <c r="AS37" s="156">
        <f t="shared" si="101"/>
        <v>46692</v>
      </c>
      <c r="AT37" s="156">
        <f t="shared" si="101"/>
        <v>46722</v>
      </c>
      <c r="AU37" s="156">
        <f t="shared" si="101"/>
        <v>46753</v>
      </c>
      <c r="AV37" s="156">
        <f t="shared" si="101"/>
        <v>46784</v>
      </c>
      <c r="AW37" s="156">
        <f t="shared" si="101"/>
        <v>46813</v>
      </c>
      <c r="AX37" s="156">
        <f t="shared" si="101"/>
        <v>46844</v>
      </c>
      <c r="AY37" s="156">
        <f t="shared" si="101"/>
        <v>46874</v>
      </c>
      <c r="AZ37" s="156">
        <f t="shared" si="101"/>
        <v>46905</v>
      </c>
      <c r="BA37" s="156">
        <f t="shared" si="101"/>
        <v>46935</v>
      </c>
      <c r="BB37" s="156">
        <f t="shared" si="101"/>
        <v>46966</v>
      </c>
      <c r="BC37" s="156">
        <f t="shared" si="101"/>
        <v>46997</v>
      </c>
      <c r="BD37" s="156">
        <f t="shared" si="101"/>
        <v>47027</v>
      </c>
      <c r="BE37" s="156">
        <f t="shared" si="101"/>
        <v>47058</v>
      </c>
      <c r="BF37" s="156">
        <f t="shared" si="101"/>
        <v>47088</v>
      </c>
      <c r="BG37" s="156">
        <f t="shared" si="101"/>
        <v>47119</v>
      </c>
      <c r="BH37" s="156">
        <f t="shared" si="101"/>
        <v>47150</v>
      </c>
      <c r="BI37" s="156">
        <f t="shared" si="101"/>
        <v>47178</v>
      </c>
      <c r="BJ37" s="156">
        <f t="shared" si="101"/>
        <v>47209</v>
      </c>
      <c r="BK37" s="156">
        <f t="shared" si="101"/>
        <v>47239</v>
      </c>
      <c r="BL37" s="156">
        <f t="shared" si="101"/>
        <v>47270</v>
      </c>
      <c r="BM37" s="156">
        <f t="shared" si="101"/>
        <v>47300</v>
      </c>
      <c r="BN37" s="156">
        <f t="shared" si="101"/>
        <v>47331</v>
      </c>
      <c r="BO37" s="156">
        <f t="shared" si="101"/>
        <v>47362</v>
      </c>
      <c r="BP37" s="156">
        <f t="shared" si="101"/>
        <v>47392</v>
      </c>
      <c r="BQ37" s="156">
        <f t="shared" si="101"/>
        <v>47423</v>
      </c>
      <c r="BR37" s="156">
        <f t="shared" si="101"/>
        <v>47453</v>
      </c>
      <c r="BS37" s="156">
        <f t="shared" si="101"/>
        <v>47484</v>
      </c>
      <c r="BT37" s="156">
        <f t="shared" si="101"/>
        <v>47515</v>
      </c>
      <c r="BU37" s="156">
        <f t="shared" si="101"/>
        <v>47543</v>
      </c>
      <c r="BV37" s="156">
        <f t="shared" si="101"/>
        <v>47574</v>
      </c>
      <c r="BW37" s="156">
        <f t="shared" si="101"/>
        <v>47604</v>
      </c>
      <c r="BX37" s="156">
        <f t="shared" ref="BX37:DC37" si="102">BW$38+BW$37</f>
        <v>47635</v>
      </c>
      <c r="BY37" s="156">
        <f t="shared" si="102"/>
        <v>47665</v>
      </c>
      <c r="BZ37" s="156">
        <f t="shared" si="102"/>
        <v>47696</v>
      </c>
      <c r="CA37" s="156">
        <f t="shared" si="102"/>
        <v>47727</v>
      </c>
      <c r="CB37" s="156">
        <f t="shared" si="102"/>
        <v>47757</v>
      </c>
      <c r="CC37" s="156">
        <f t="shared" si="102"/>
        <v>47788</v>
      </c>
      <c r="CD37" s="156">
        <f t="shared" si="102"/>
        <v>47818</v>
      </c>
      <c r="CE37" s="156">
        <f t="shared" si="102"/>
        <v>47849</v>
      </c>
      <c r="CF37" s="156">
        <f t="shared" si="102"/>
        <v>47880</v>
      </c>
      <c r="CG37" s="156">
        <f t="shared" si="102"/>
        <v>47908</v>
      </c>
      <c r="CH37" s="156">
        <f t="shared" si="102"/>
        <v>47939</v>
      </c>
      <c r="CI37" s="156">
        <f t="shared" si="102"/>
        <v>47969</v>
      </c>
      <c r="CJ37" s="156">
        <f t="shared" si="102"/>
        <v>48000</v>
      </c>
      <c r="CK37" s="156">
        <f t="shared" si="102"/>
        <v>48030</v>
      </c>
      <c r="CL37" s="156">
        <f t="shared" si="102"/>
        <v>48061</v>
      </c>
      <c r="CM37" s="156">
        <f t="shared" si="102"/>
        <v>48092</v>
      </c>
      <c r="CN37" s="156">
        <f t="shared" si="102"/>
        <v>48122</v>
      </c>
      <c r="CO37" s="156">
        <f t="shared" si="102"/>
        <v>48153</v>
      </c>
      <c r="CP37" s="156">
        <f t="shared" si="102"/>
        <v>48183</v>
      </c>
      <c r="CQ37" s="156">
        <f t="shared" si="102"/>
        <v>48214</v>
      </c>
      <c r="CR37" s="156">
        <f t="shared" si="102"/>
        <v>48245</v>
      </c>
      <c r="CS37" s="156">
        <f t="shared" si="102"/>
        <v>48274</v>
      </c>
      <c r="CT37" s="156">
        <f t="shared" si="102"/>
        <v>48305</v>
      </c>
      <c r="CU37" s="156">
        <f t="shared" si="102"/>
        <v>48335</v>
      </c>
      <c r="CV37" s="156">
        <f t="shared" si="102"/>
        <v>48366</v>
      </c>
      <c r="CW37" s="156">
        <f t="shared" si="102"/>
        <v>48396</v>
      </c>
      <c r="CX37" s="156">
        <f t="shared" si="102"/>
        <v>48427</v>
      </c>
      <c r="CY37" s="156">
        <f t="shared" si="102"/>
        <v>48458</v>
      </c>
      <c r="CZ37" s="156">
        <f t="shared" si="102"/>
        <v>48488</v>
      </c>
      <c r="DA37" s="156">
        <f t="shared" si="102"/>
        <v>48519</v>
      </c>
      <c r="DB37" s="156">
        <f t="shared" si="102"/>
        <v>48549</v>
      </c>
      <c r="DC37" s="156">
        <f t="shared" si="102"/>
        <v>48580</v>
      </c>
      <c r="DD37" s="156">
        <f t="shared" ref="DD37:EI37" si="103">DC$38+DC$37</f>
        <v>48611</v>
      </c>
      <c r="DE37" s="156">
        <f t="shared" si="103"/>
        <v>48639</v>
      </c>
      <c r="DF37" s="156">
        <f t="shared" si="103"/>
        <v>48670</v>
      </c>
      <c r="DG37" s="156">
        <f t="shared" si="103"/>
        <v>48700</v>
      </c>
      <c r="DH37" s="156">
        <f t="shared" si="103"/>
        <v>48731</v>
      </c>
      <c r="DI37" s="156">
        <f t="shared" si="103"/>
        <v>48761</v>
      </c>
      <c r="DJ37" s="156">
        <f t="shared" si="103"/>
        <v>48792</v>
      </c>
      <c r="DK37" s="156">
        <f t="shared" si="103"/>
        <v>48823</v>
      </c>
      <c r="DL37" s="156">
        <f t="shared" si="103"/>
        <v>48853</v>
      </c>
      <c r="DM37" s="156">
        <f t="shared" si="103"/>
        <v>48884</v>
      </c>
      <c r="DN37" s="156">
        <f t="shared" si="103"/>
        <v>48914</v>
      </c>
      <c r="DO37" s="156">
        <f t="shared" si="103"/>
        <v>48945</v>
      </c>
      <c r="DP37" s="156">
        <f t="shared" si="103"/>
        <v>48976</v>
      </c>
      <c r="DQ37" s="156">
        <f t="shared" si="103"/>
        <v>49004</v>
      </c>
      <c r="DR37" s="156">
        <f t="shared" si="103"/>
        <v>49035</v>
      </c>
      <c r="DS37" s="156">
        <f t="shared" si="103"/>
        <v>49065</v>
      </c>
      <c r="DT37" s="156">
        <f t="shared" si="103"/>
        <v>49096</v>
      </c>
      <c r="DU37" s="156">
        <f t="shared" si="103"/>
        <v>49126</v>
      </c>
      <c r="DV37" s="156">
        <f t="shared" si="103"/>
        <v>49157</v>
      </c>
      <c r="DW37" s="156">
        <f t="shared" si="103"/>
        <v>49188</v>
      </c>
      <c r="DX37" s="156">
        <f t="shared" si="103"/>
        <v>49218</v>
      </c>
      <c r="DY37" s="156">
        <f t="shared" si="103"/>
        <v>49249</v>
      </c>
      <c r="DZ37" s="156">
        <f t="shared" si="103"/>
        <v>49279</v>
      </c>
      <c r="EA37" s="156">
        <f t="shared" si="103"/>
        <v>49310</v>
      </c>
      <c r="EB37" s="156">
        <f t="shared" si="103"/>
        <v>49341</v>
      </c>
      <c r="EC37" s="156">
        <f t="shared" si="103"/>
        <v>49369</v>
      </c>
      <c r="ED37" s="156">
        <f t="shared" si="103"/>
        <v>49400</v>
      </c>
      <c r="EE37" s="156">
        <f t="shared" si="103"/>
        <v>49430</v>
      </c>
      <c r="EF37" s="156">
        <f t="shared" si="103"/>
        <v>49461</v>
      </c>
      <c r="EG37" s="156">
        <f t="shared" si="103"/>
        <v>49491</v>
      </c>
      <c r="EH37" s="156">
        <f t="shared" si="103"/>
        <v>49522</v>
      </c>
      <c r="EI37" s="156">
        <f t="shared" si="103"/>
        <v>49553</v>
      </c>
      <c r="EJ37" s="156">
        <f t="shared" ref="EJ37:EX37" si="104">EI$38+EI$37</f>
        <v>49583</v>
      </c>
      <c r="EK37" s="156">
        <f t="shared" si="104"/>
        <v>49614</v>
      </c>
      <c r="EL37" s="156">
        <f t="shared" si="104"/>
        <v>49644</v>
      </c>
      <c r="EM37" s="156">
        <f t="shared" si="104"/>
        <v>49675</v>
      </c>
      <c r="EN37" s="156">
        <f t="shared" si="104"/>
        <v>49706</v>
      </c>
      <c r="EO37" s="156">
        <f t="shared" si="104"/>
        <v>49735</v>
      </c>
      <c r="EP37" s="156">
        <f t="shared" si="104"/>
        <v>49766</v>
      </c>
      <c r="EQ37" s="156">
        <f t="shared" si="104"/>
        <v>49796</v>
      </c>
      <c r="ER37" s="156">
        <f t="shared" si="104"/>
        <v>49827</v>
      </c>
      <c r="ES37" s="156">
        <f t="shared" si="104"/>
        <v>49857</v>
      </c>
      <c r="ET37" s="156">
        <f t="shared" si="104"/>
        <v>49888</v>
      </c>
      <c r="EU37" s="156">
        <f t="shared" si="104"/>
        <v>49919</v>
      </c>
      <c r="EV37" s="156">
        <f t="shared" si="104"/>
        <v>49949</v>
      </c>
      <c r="EW37" s="156">
        <f t="shared" si="104"/>
        <v>49980</v>
      </c>
      <c r="EX37" s="156">
        <f t="shared" si="104"/>
        <v>50010</v>
      </c>
      <c r="EY37" s="156">
        <f t="shared" ref="EY37:FN37" si="105">EX$38+EX$37</f>
        <v>50041</v>
      </c>
      <c r="EZ37" s="156">
        <f t="shared" si="105"/>
        <v>50072</v>
      </c>
      <c r="FA37" s="156">
        <f t="shared" si="105"/>
        <v>50100</v>
      </c>
      <c r="FB37" s="156">
        <f t="shared" si="105"/>
        <v>50131</v>
      </c>
      <c r="FC37" s="156">
        <f t="shared" si="105"/>
        <v>50161</v>
      </c>
      <c r="FD37" s="156">
        <f t="shared" si="105"/>
        <v>50192</v>
      </c>
      <c r="FE37" s="156">
        <f t="shared" si="105"/>
        <v>50222</v>
      </c>
      <c r="FF37" s="156">
        <f t="shared" si="105"/>
        <v>50253</v>
      </c>
      <c r="FG37" s="156">
        <f t="shared" si="105"/>
        <v>50284</v>
      </c>
      <c r="FH37" s="156">
        <f t="shared" si="105"/>
        <v>50314</v>
      </c>
      <c r="FI37" s="156">
        <f t="shared" si="105"/>
        <v>50345</v>
      </c>
      <c r="FJ37" s="156">
        <f t="shared" si="105"/>
        <v>50375</v>
      </c>
      <c r="FK37" s="156">
        <f t="shared" si="105"/>
        <v>50406</v>
      </c>
      <c r="FL37" s="156">
        <f t="shared" si="105"/>
        <v>50437</v>
      </c>
      <c r="FM37" s="156">
        <f t="shared" si="105"/>
        <v>50465</v>
      </c>
      <c r="FN37" s="156">
        <f t="shared" si="105"/>
        <v>50496</v>
      </c>
      <c r="FO37" s="156">
        <f t="shared" ref="FO37:GH37" si="106">FN$38+FN$37</f>
        <v>50526</v>
      </c>
      <c r="FP37" s="156">
        <f t="shared" si="106"/>
        <v>50557</v>
      </c>
      <c r="FQ37" s="156">
        <f t="shared" si="106"/>
        <v>50587</v>
      </c>
      <c r="FR37" s="156">
        <f t="shared" si="106"/>
        <v>50618</v>
      </c>
      <c r="FS37" s="156">
        <f t="shared" si="106"/>
        <v>50649</v>
      </c>
      <c r="FT37" s="156">
        <f t="shared" si="106"/>
        <v>50679</v>
      </c>
      <c r="FU37" s="156">
        <f t="shared" si="106"/>
        <v>50710</v>
      </c>
      <c r="FV37" s="156">
        <f t="shared" si="106"/>
        <v>50740</v>
      </c>
      <c r="FW37" s="156">
        <f t="shared" si="106"/>
        <v>50771</v>
      </c>
      <c r="FX37" s="156">
        <f t="shared" si="106"/>
        <v>50802</v>
      </c>
      <c r="FY37" s="156">
        <f t="shared" si="106"/>
        <v>50830</v>
      </c>
      <c r="FZ37" s="156">
        <f t="shared" si="106"/>
        <v>50861</v>
      </c>
      <c r="GA37" s="156">
        <f t="shared" si="106"/>
        <v>50891</v>
      </c>
      <c r="GB37" s="156">
        <f t="shared" si="106"/>
        <v>50922</v>
      </c>
      <c r="GC37" s="156">
        <f t="shared" si="106"/>
        <v>50952</v>
      </c>
      <c r="GD37" s="156">
        <f t="shared" si="106"/>
        <v>50983</v>
      </c>
      <c r="GE37" s="156">
        <f t="shared" si="106"/>
        <v>51014</v>
      </c>
      <c r="GF37" s="156">
        <f t="shared" si="106"/>
        <v>51044</v>
      </c>
      <c r="GG37" s="156">
        <f t="shared" si="106"/>
        <v>51075</v>
      </c>
      <c r="GH37" s="156">
        <f t="shared" si="106"/>
        <v>51105</v>
      </c>
      <c r="GI37" s="156">
        <f t="shared" ref="GI37:IA37" si="107">GH$38+GH$37</f>
        <v>51136</v>
      </c>
      <c r="GJ37" s="156">
        <f t="shared" si="107"/>
        <v>51167</v>
      </c>
      <c r="GK37" s="156">
        <f t="shared" si="107"/>
        <v>51196</v>
      </c>
      <c r="GL37" s="156">
        <f t="shared" si="107"/>
        <v>51227</v>
      </c>
      <c r="GM37" s="156">
        <f t="shared" si="107"/>
        <v>51257</v>
      </c>
      <c r="GN37" s="156">
        <f t="shared" si="107"/>
        <v>51288</v>
      </c>
      <c r="GO37" s="156">
        <f t="shared" si="107"/>
        <v>51318</v>
      </c>
      <c r="GP37" s="156">
        <f t="shared" si="107"/>
        <v>51349</v>
      </c>
      <c r="GQ37" s="156">
        <f t="shared" si="107"/>
        <v>51380</v>
      </c>
      <c r="GR37" s="156">
        <f t="shared" si="107"/>
        <v>51410</v>
      </c>
      <c r="GS37" s="156">
        <f t="shared" si="107"/>
        <v>51441</v>
      </c>
      <c r="GT37" s="156">
        <f t="shared" si="107"/>
        <v>51471</v>
      </c>
      <c r="GU37" s="156">
        <f t="shared" si="107"/>
        <v>51502</v>
      </c>
      <c r="GV37" s="156">
        <f t="shared" si="107"/>
        <v>51533</v>
      </c>
      <c r="GW37" s="156">
        <f t="shared" si="107"/>
        <v>51561</v>
      </c>
      <c r="GX37" s="156">
        <f t="shared" si="107"/>
        <v>51592</v>
      </c>
      <c r="GY37" s="156">
        <f t="shared" si="107"/>
        <v>51622</v>
      </c>
      <c r="GZ37" s="156">
        <f t="shared" si="107"/>
        <v>51653</v>
      </c>
      <c r="HA37" s="156">
        <f t="shared" si="107"/>
        <v>51683</v>
      </c>
      <c r="HB37" s="156">
        <f t="shared" si="107"/>
        <v>51714</v>
      </c>
      <c r="HC37" s="156">
        <f t="shared" si="107"/>
        <v>51745</v>
      </c>
      <c r="HD37" s="156">
        <f t="shared" si="107"/>
        <v>51775</v>
      </c>
      <c r="HE37" s="156">
        <f t="shared" si="107"/>
        <v>51806</v>
      </c>
      <c r="HF37" s="156">
        <f t="shared" si="107"/>
        <v>51836</v>
      </c>
      <c r="HG37" s="156">
        <f t="shared" si="107"/>
        <v>51867</v>
      </c>
      <c r="HH37" s="156">
        <f t="shared" si="107"/>
        <v>51898</v>
      </c>
      <c r="HI37" s="156">
        <f t="shared" si="107"/>
        <v>51926</v>
      </c>
      <c r="HJ37" s="156">
        <f t="shared" si="107"/>
        <v>51957</v>
      </c>
      <c r="HK37" s="156">
        <f t="shared" si="107"/>
        <v>51987</v>
      </c>
      <c r="HL37" s="156">
        <f t="shared" si="107"/>
        <v>52018</v>
      </c>
      <c r="HM37" s="156">
        <f t="shared" si="107"/>
        <v>52048</v>
      </c>
      <c r="HN37" s="156">
        <f t="shared" si="107"/>
        <v>52079</v>
      </c>
      <c r="HO37" s="156">
        <f t="shared" si="107"/>
        <v>52110</v>
      </c>
      <c r="HP37" s="156">
        <f t="shared" si="107"/>
        <v>52140</v>
      </c>
      <c r="HQ37" s="156">
        <f t="shared" si="107"/>
        <v>52171</v>
      </c>
      <c r="HR37" s="156">
        <f t="shared" si="107"/>
        <v>52201</v>
      </c>
      <c r="HS37" s="156">
        <f t="shared" si="107"/>
        <v>52232</v>
      </c>
      <c r="HT37" s="156">
        <f t="shared" si="107"/>
        <v>52263</v>
      </c>
      <c r="HU37" s="156">
        <f t="shared" si="107"/>
        <v>52291</v>
      </c>
      <c r="HV37" s="156">
        <f t="shared" si="107"/>
        <v>52322</v>
      </c>
      <c r="HW37" s="156">
        <f t="shared" si="107"/>
        <v>52352</v>
      </c>
      <c r="HX37" s="156">
        <f t="shared" si="107"/>
        <v>52383</v>
      </c>
      <c r="HY37" s="156">
        <f t="shared" si="107"/>
        <v>52413</v>
      </c>
      <c r="HZ37" s="156">
        <f t="shared" si="107"/>
        <v>52444</v>
      </c>
      <c r="IA37" s="156">
        <f t="shared" si="107"/>
        <v>52475</v>
      </c>
      <c r="IB37" s="156">
        <f t="shared" ref="IB37:IP37" si="108">IA$38+IA$37</f>
        <v>52505</v>
      </c>
      <c r="IC37" s="156">
        <f t="shared" si="108"/>
        <v>52536</v>
      </c>
      <c r="ID37" s="156">
        <f t="shared" si="108"/>
        <v>52566</v>
      </c>
      <c r="IE37" s="156">
        <f t="shared" si="108"/>
        <v>52597</v>
      </c>
      <c r="IF37" s="156">
        <f t="shared" si="108"/>
        <v>52628</v>
      </c>
      <c r="IG37" s="156">
        <f t="shared" si="108"/>
        <v>52657</v>
      </c>
      <c r="IH37" s="156">
        <f t="shared" si="108"/>
        <v>52688</v>
      </c>
      <c r="II37" s="156">
        <f t="shared" si="108"/>
        <v>52718</v>
      </c>
      <c r="IJ37" s="156">
        <f t="shared" si="108"/>
        <v>52749</v>
      </c>
      <c r="IK37" s="156">
        <f t="shared" si="108"/>
        <v>52779</v>
      </c>
      <c r="IL37" s="156">
        <f t="shared" si="108"/>
        <v>52810</v>
      </c>
      <c r="IM37" s="156">
        <f t="shared" si="108"/>
        <v>52841</v>
      </c>
      <c r="IN37" s="156">
        <f t="shared" si="108"/>
        <v>52871</v>
      </c>
      <c r="IO37" s="156">
        <f t="shared" si="108"/>
        <v>52902</v>
      </c>
      <c r="IP37" s="156">
        <f t="shared" si="108"/>
        <v>52932</v>
      </c>
    </row>
    <row r="38" spans="3:250" ht="15">
      <c r="C38" s="143"/>
      <c r="G38" s="194" t="s">
        <v>60</v>
      </c>
      <c r="H38" s="198"/>
      <c r="I38" s="194"/>
      <c r="J38" s="195"/>
      <c r="K38" s="60">
        <f>DAY(EOMONTH(K37,0))</f>
        <v>31</v>
      </c>
      <c r="L38" s="61">
        <f>DAY(EOMONTH(L37,0))</f>
        <v>28</v>
      </c>
      <c r="M38" s="61">
        <f t="shared" ref="M38:V38" si="109">DAY(EOMONTH(M37,0))</f>
        <v>31</v>
      </c>
      <c r="N38" s="61">
        <f t="shared" si="109"/>
        <v>30</v>
      </c>
      <c r="O38" s="61">
        <f t="shared" si="109"/>
        <v>31</v>
      </c>
      <c r="P38" s="61">
        <f t="shared" si="109"/>
        <v>30</v>
      </c>
      <c r="Q38" s="61">
        <f t="shared" si="109"/>
        <v>31</v>
      </c>
      <c r="R38" s="61">
        <f t="shared" si="109"/>
        <v>31</v>
      </c>
      <c r="S38" s="61">
        <f t="shared" si="109"/>
        <v>30</v>
      </c>
      <c r="T38" s="61">
        <f t="shared" si="109"/>
        <v>31</v>
      </c>
      <c r="U38" s="61">
        <f t="shared" si="109"/>
        <v>30</v>
      </c>
      <c r="V38" s="61">
        <f t="shared" si="109"/>
        <v>31</v>
      </c>
      <c r="W38" s="61">
        <f t="shared" ref="W38" si="110">DAY(EOMONTH(W37,0))</f>
        <v>31</v>
      </c>
      <c r="X38" s="61">
        <f t="shared" ref="X38" si="111">DAY(EOMONTH(X37,0))</f>
        <v>28</v>
      </c>
      <c r="Y38" s="61">
        <f t="shared" ref="Y38" si="112">DAY(EOMONTH(Y37,0))</f>
        <v>31</v>
      </c>
      <c r="Z38" s="61">
        <f t="shared" ref="Z38" si="113">DAY(EOMONTH(Z37,0))</f>
        <v>30</v>
      </c>
      <c r="AA38" s="61">
        <f t="shared" ref="AA38" si="114">DAY(EOMONTH(AA37,0))</f>
        <v>31</v>
      </c>
      <c r="AB38" s="61">
        <f t="shared" ref="AB38" si="115">DAY(EOMONTH(AB37,0))</f>
        <v>30</v>
      </c>
      <c r="AC38" s="61">
        <f t="shared" ref="AC38" si="116">DAY(EOMONTH(AC37,0))</f>
        <v>31</v>
      </c>
      <c r="AD38" s="61">
        <f t="shared" ref="AD38" si="117">DAY(EOMONTH(AD37,0))</f>
        <v>31</v>
      </c>
      <c r="AE38" s="61">
        <f t="shared" ref="AE38" si="118">DAY(EOMONTH(AE37,0))</f>
        <v>30</v>
      </c>
      <c r="AF38" s="61">
        <f t="shared" ref="AF38" si="119">DAY(EOMONTH(AF37,0))</f>
        <v>31</v>
      </c>
      <c r="AG38" s="61">
        <f t="shared" ref="AG38" si="120">DAY(EOMONTH(AG37,0))</f>
        <v>30</v>
      </c>
      <c r="AH38" s="61">
        <f t="shared" ref="AH38" si="121">DAY(EOMONTH(AH37,0))</f>
        <v>31</v>
      </c>
      <c r="AI38" s="61">
        <f t="shared" ref="AI38" si="122">DAY(EOMONTH(AI37,0))</f>
        <v>31</v>
      </c>
      <c r="AJ38" s="61">
        <f t="shared" ref="AJ38" si="123">DAY(EOMONTH(AJ37,0))</f>
        <v>28</v>
      </c>
      <c r="AK38" s="61">
        <f t="shared" ref="AK38" si="124">DAY(EOMONTH(AK37,0))</f>
        <v>31</v>
      </c>
      <c r="AL38" s="61">
        <f t="shared" ref="AL38" si="125">DAY(EOMONTH(AL37,0))</f>
        <v>30</v>
      </c>
      <c r="AM38" s="61">
        <f t="shared" ref="AM38" si="126">DAY(EOMONTH(AM37,0))</f>
        <v>31</v>
      </c>
      <c r="AN38" s="61">
        <f t="shared" ref="AN38" si="127">DAY(EOMONTH(AN37,0))</f>
        <v>30</v>
      </c>
      <c r="AO38" s="61">
        <f t="shared" ref="AO38" si="128">DAY(EOMONTH(AO37,0))</f>
        <v>31</v>
      </c>
      <c r="AP38" s="61">
        <f t="shared" ref="AP38" si="129">DAY(EOMONTH(AP37,0))</f>
        <v>31</v>
      </c>
      <c r="AQ38" s="61">
        <f t="shared" ref="AQ38" si="130">DAY(EOMONTH(AQ37,0))</f>
        <v>30</v>
      </c>
      <c r="AR38" s="61">
        <f t="shared" ref="AR38" si="131">DAY(EOMONTH(AR37,0))</f>
        <v>31</v>
      </c>
      <c r="AS38" s="61">
        <f t="shared" ref="AS38" si="132">DAY(EOMONTH(AS37,0))</f>
        <v>30</v>
      </c>
      <c r="AT38" s="61">
        <f t="shared" ref="AT38" si="133">DAY(EOMONTH(AT37,0))</f>
        <v>31</v>
      </c>
      <c r="AU38" s="61">
        <f t="shared" ref="AU38" si="134">DAY(EOMONTH(AU37,0))</f>
        <v>31</v>
      </c>
      <c r="AV38" s="61">
        <f t="shared" ref="AV38" si="135">DAY(EOMONTH(AV37,0))</f>
        <v>29</v>
      </c>
      <c r="AW38" s="61">
        <f t="shared" ref="AW38" si="136">DAY(EOMONTH(AW37,0))</f>
        <v>31</v>
      </c>
      <c r="AX38" s="61">
        <f t="shared" ref="AX38" si="137">DAY(EOMONTH(AX37,0))</f>
        <v>30</v>
      </c>
      <c r="AY38" s="61">
        <f t="shared" ref="AY38" si="138">DAY(EOMONTH(AY37,0))</f>
        <v>31</v>
      </c>
      <c r="AZ38" s="61">
        <f t="shared" ref="AZ38" si="139">DAY(EOMONTH(AZ37,0))</f>
        <v>30</v>
      </c>
      <c r="BA38" s="61">
        <f t="shared" ref="BA38" si="140">DAY(EOMONTH(BA37,0))</f>
        <v>31</v>
      </c>
      <c r="BB38" s="61">
        <f t="shared" ref="BB38" si="141">DAY(EOMONTH(BB37,0))</f>
        <v>31</v>
      </c>
      <c r="BC38" s="61">
        <f t="shared" ref="BC38" si="142">DAY(EOMONTH(BC37,0))</f>
        <v>30</v>
      </c>
      <c r="BD38" s="61">
        <f t="shared" ref="BD38" si="143">DAY(EOMONTH(BD37,0))</f>
        <v>31</v>
      </c>
      <c r="BE38" s="61">
        <f t="shared" ref="BE38" si="144">DAY(EOMONTH(BE37,0))</f>
        <v>30</v>
      </c>
      <c r="BF38" s="61">
        <f t="shared" ref="BF38" si="145">DAY(EOMONTH(BF37,0))</f>
        <v>31</v>
      </c>
      <c r="BG38" s="61">
        <f t="shared" ref="BG38" si="146">DAY(EOMONTH(BG37,0))</f>
        <v>31</v>
      </c>
      <c r="BH38" s="61">
        <f t="shared" ref="BH38" si="147">DAY(EOMONTH(BH37,0))</f>
        <v>28</v>
      </c>
      <c r="BI38" s="61">
        <f t="shared" ref="BI38" si="148">DAY(EOMONTH(BI37,0))</f>
        <v>31</v>
      </c>
      <c r="BJ38" s="61">
        <f t="shared" ref="BJ38" si="149">DAY(EOMONTH(BJ37,0))</f>
        <v>30</v>
      </c>
      <c r="BK38" s="61">
        <f t="shared" ref="BK38" si="150">DAY(EOMONTH(BK37,0))</f>
        <v>31</v>
      </c>
      <c r="BL38" s="61">
        <f t="shared" ref="BL38" si="151">DAY(EOMONTH(BL37,0))</f>
        <v>30</v>
      </c>
      <c r="BM38" s="61">
        <f t="shared" ref="BM38" si="152">DAY(EOMONTH(BM37,0))</f>
        <v>31</v>
      </c>
      <c r="BN38" s="61">
        <f t="shared" ref="BN38" si="153">DAY(EOMONTH(BN37,0))</f>
        <v>31</v>
      </c>
      <c r="BO38" s="61">
        <f t="shared" ref="BO38" si="154">DAY(EOMONTH(BO37,0))</f>
        <v>30</v>
      </c>
      <c r="BP38" s="61">
        <f t="shared" ref="BP38" si="155">DAY(EOMONTH(BP37,0))</f>
        <v>31</v>
      </c>
      <c r="BQ38" s="61">
        <f t="shared" ref="BQ38" si="156">DAY(EOMONTH(BQ37,0))</f>
        <v>30</v>
      </c>
      <c r="BR38" s="61">
        <f t="shared" ref="BR38" si="157">DAY(EOMONTH(BR37,0))</f>
        <v>31</v>
      </c>
      <c r="BS38" s="61">
        <f t="shared" ref="BS38" si="158">DAY(EOMONTH(BS37,0))</f>
        <v>31</v>
      </c>
      <c r="BT38" s="61">
        <f t="shared" ref="BT38" si="159">DAY(EOMONTH(BT37,0))</f>
        <v>28</v>
      </c>
      <c r="BU38" s="61">
        <f t="shared" ref="BU38" si="160">DAY(EOMONTH(BU37,0))</f>
        <v>31</v>
      </c>
      <c r="BV38" s="61">
        <f t="shared" ref="BV38" si="161">DAY(EOMONTH(BV37,0))</f>
        <v>30</v>
      </c>
      <c r="BW38" s="61">
        <f t="shared" ref="BW38" si="162">DAY(EOMONTH(BW37,0))</f>
        <v>31</v>
      </c>
      <c r="BX38" s="61">
        <f t="shared" ref="BX38" si="163">DAY(EOMONTH(BX37,0))</f>
        <v>30</v>
      </c>
      <c r="BY38" s="61">
        <f t="shared" ref="BY38" si="164">DAY(EOMONTH(BY37,0))</f>
        <v>31</v>
      </c>
      <c r="BZ38" s="61">
        <f t="shared" ref="BZ38" si="165">DAY(EOMONTH(BZ37,0))</f>
        <v>31</v>
      </c>
      <c r="CA38" s="61">
        <f t="shared" ref="CA38" si="166">DAY(EOMONTH(CA37,0))</f>
        <v>30</v>
      </c>
      <c r="CB38" s="61">
        <f t="shared" ref="CB38" si="167">DAY(EOMONTH(CB37,0))</f>
        <v>31</v>
      </c>
      <c r="CC38" s="61">
        <f t="shared" ref="CC38" si="168">DAY(EOMONTH(CC37,0))</f>
        <v>30</v>
      </c>
      <c r="CD38" s="61">
        <f t="shared" ref="CD38" si="169">DAY(EOMONTH(CD37,0))</f>
        <v>31</v>
      </c>
      <c r="CE38" s="61">
        <f t="shared" ref="CE38" si="170">DAY(EOMONTH(CE37,0))</f>
        <v>31</v>
      </c>
      <c r="CF38" s="61">
        <f t="shared" ref="CF38" si="171">DAY(EOMONTH(CF37,0))</f>
        <v>28</v>
      </c>
      <c r="CG38" s="61">
        <f t="shared" ref="CG38" si="172">DAY(EOMONTH(CG37,0))</f>
        <v>31</v>
      </c>
      <c r="CH38" s="61">
        <f t="shared" ref="CH38" si="173">DAY(EOMONTH(CH37,0))</f>
        <v>30</v>
      </c>
      <c r="CI38" s="61">
        <f t="shared" ref="CI38" si="174">DAY(EOMONTH(CI37,0))</f>
        <v>31</v>
      </c>
      <c r="CJ38" s="61">
        <f t="shared" ref="CJ38" si="175">DAY(EOMONTH(CJ37,0))</f>
        <v>30</v>
      </c>
      <c r="CK38" s="61">
        <f t="shared" ref="CK38" si="176">DAY(EOMONTH(CK37,0))</f>
        <v>31</v>
      </c>
      <c r="CL38" s="61">
        <f t="shared" ref="CL38" si="177">DAY(EOMONTH(CL37,0))</f>
        <v>31</v>
      </c>
      <c r="CM38" s="61">
        <f t="shared" ref="CM38" si="178">DAY(EOMONTH(CM37,0))</f>
        <v>30</v>
      </c>
      <c r="CN38" s="61">
        <f t="shared" ref="CN38" si="179">DAY(EOMONTH(CN37,0))</f>
        <v>31</v>
      </c>
      <c r="CO38" s="61">
        <f t="shared" ref="CO38" si="180">DAY(EOMONTH(CO37,0))</f>
        <v>30</v>
      </c>
      <c r="CP38" s="61">
        <f t="shared" ref="CP38" si="181">DAY(EOMONTH(CP37,0))</f>
        <v>31</v>
      </c>
      <c r="CQ38" s="61">
        <f t="shared" ref="CQ38" si="182">DAY(EOMONTH(CQ37,0))</f>
        <v>31</v>
      </c>
      <c r="CR38" s="61">
        <f t="shared" ref="CR38" si="183">DAY(EOMONTH(CR37,0))</f>
        <v>29</v>
      </c>
      <c r="CS38" s="61">
        <f t="shared" ref="CS38" si="184">DAY(EOMONTH(CS37,0))</f>
        <v>31</v>
      </c>
      <c r="CT38" s="61">
        <f t="shared" ref="CT38" si="185">DAY(EOMONTH(CT37,0))</f>
        <v>30</v>
      </c>
      <c r="CU38" s="61">
        <f t="shared" ref="CU38" si="186">DAY(EOMONTH(CU37,0))</f>
        <v>31</v>
      </c>
      <c r="CV38" s="61">
        <f t="shared" ref="CV38" si="187">DAY(EOMONTH(CV37,0))</f>
        <v>30</v>
      </c>
      <c r="CW38" s="61">
        <f t="shared" ref="CW38" si="188">DAY(EOMONTH(CW37,0))</f>
        <v>31</v>
      </c>
      <c r="CX38" s="61">
        <f t="shared" ref="CX38" si="189">DAY(EOMONTH(CX37,0))</f>
        <v>31</v>
      </c>
      <c r="CY38" s="61">
        <f t="shared" ref="CY38" si="190">DAY(EOMONTH(CY37,0))</f>
        <v>30</v>
      </c>
      <c r="CZ38" s="61">
        <f t="shared" ref="CZ38" si="191">DAY(EOMONTH(CZ37,0))</f>
        <v>31</v>
      </c>
      <c r="DA38" s="61">
        <f t="shared" ref="DA38" si="192">DAY(EOMONTH(DA37,0))</f>
        <v>30</v>
      </c>
      <c r="DB38" s="61">
        <f t="shared" ref="DB38" si="193">DAY(EOMONTH(DB37,0))</f>
        <v>31</v>
      </c>
      <c r="DC38" s="61">
        <f t="shared" ref="DC38" si="194">DAY(EOMONTH(DC37,0))</f>
        <v>31</v>
      </c>
      <c r="DD38" s="61">
        <f t="shared" ref="DD38" si="195">DAY(EOMONTH(DD37,0))</f>
        <v>28</v>
      </c>
      <c r="DE38" s="61">
        <f t="shared" ref="DE38" si="196">DAY(EOMONTH(DE37,0))</f>
        <v>31</v>
      </c>
      <c r="DF38" s="61">
        <f t="shared" ref="DF38" si="197">DAY(EOMONTH(DF37,0))</f>
        <v>30</v>
      </c>
      <c r="DG38" s="61">
        <f t="shared" ref="DG38" si="198">DAY(EOMONTH(DG37,0))</f>
        <v>31</v>
      </c>
      <c r="DH38" s="61">
        <f t="shared" ref="DH38" si="199">DAY(EOMONTH(DH37,0))</f>
        <v>30</v>
      </c>
      <c r="DI38" s="61">
        <f t="shared" ref="DI38" si="200">DAY(EOMONTH(DI37,0))</f>
        <v>31</v>
      </c>
      <c r="DJ38" s="61">
        <f t="shared" ref="DJ38" si="201">DAY(EOMONTH(DJ37,0))</f>
        <v>31</v>
      </c>
      <c r="DK38" s="61">
        <f t="shared" ref="DK38" si="202">DAY(EOMONTH(DK37,0))</f>
        <v>30</v>
      </c>
      <c r="DL38" s="61">
        <f t="shared" ref="DL38" si="203">DAY(EOMONTH(DL37,0))</f>
        <v>31</v>
      </c>
      <c r="DM38" s="61">
        <f t="shared" ref="DM38" si="204">DAY(EOMONTH(DM37,0))</f>
        <v>30</v>
      </c>
      <c r="DN38" s="61">
        <f t="shared" ref="DN38" si="205">DAY(EOMONTH(DN37,0))</f>
        <v>31</v>
      </c>
      <c r="DO38" s="61">
        <f t="shared" ref="DO38" si="206">DAY(EOMONTH(DO37,0))</f>
        <v>31</v>
      </c>
      <c r="DP38" s="61">
        <f t="shared" ref="DP38" si="207">DAY(EOMONTH(DP37,0))</f>
        <v>28</v>
      </c>
      <c r="DQ38" s="61">
        <f t="shared" ref="DQ38" si="208">DAY(EOMONTH(DQ37,0))</f>
        <v>31</v>
      </c>
      <c r="DR38" s="61">
        <f t="shared" ref="DR38" si="209">DAY(EOMONTH(DR37,0))</f>
        <v>30</v>
      </c>
      <c r="DS38" s="61">
        <f t="shared" ref="DS38" si="210">DAY(EOMONTH(DS37,0))</f>
        <v>31</v>
      </c>
      <c r="DT38" s="61">
        <f t="shared" ref="DT38" si="211">DAY(EOMONTH(DT37,0))</f>
        <v>30</v>
      </c>
      <c r="DU38" s="61">
        <f t="shared" ref="DU38" si="212">DAY(EOMONTH(DU37,0))</f>
        <v>31</v>
      </c>
      <c r="DV38" s="61">
        <f t="shared" ref="DV38" si="213">DAY(EOMONTH(DV37,0))</f>
        <v>31</v>
      </c>
      <c r="DW38" s="61">
        <f t="shared" ref="DW38" si="214">DAY(EOMONTH(DW37,0))</f>
        <v>30</v>
      </c>
      <c r="DX38" s="61">
        <f t="shared" ref="DX38" si="215">DAY(EOMONTH(DX37,0))</f>
        <v>31</v>
      </c>
      <c r="DY38" s="61">
        <f t="shared" ref="DY38" si="216">DAY(EOMONTH(DY37,0))</f>
        <v>30</v>
      </c>
      <c r="DZ38" s="61">
        <f t="shared" ref="DZ38" si="217">DAY(EOMONTH(DZ37,0))</f>
        <v>31</v>
      </c>
      <c r="EA38" s="61">
        <f t="shared" ref="EA38" si="218">DAY(EOMONTH(EA37,0))</f>
        <v>31</v>
      </c>
      <c r="EB38" s="61">
        <f t="shared" ref="EB38" si="219">DAY(EOMONTH(EB37,0))</f>
        <v>28</v>
      </c>
      <c r="EC38" s="61">
        <f t="shared" ref="EC38" si="220">DAY(EOMONTH(EC37,0))</f>
        <v>31</v>
      </c>
      <c r="ED38" s="61">
        <f t="shared" ref="ED38" si="221">DAY(EOMONTH(ED37,0))</f>
        <v>30</v>
      </c>
      <c r="EE38" s="61">
        <f t="shared" ref="EE38" si="222">DAY(EOMONTH(EE37,0))</f>
        <v>31</v>
      </c>
      <c r="EF38" s="61">
        <f t="shared" ref="EF38" si="223">DAY(EOMONTH(EF37,0))</f>
        <v>30</v>
      </c>
      <c r="EG38" s="61">
        <f t="shared" ref="EG38" si="224">DAY(EOMONTH(EG37,0))</f>
        <v>31</v>
      </c>
      <c r="EH38" s="61">
        <f t="shared" ref="EH38" si="225">DAY(EOMONTH(EH37,0))</f>
        <v>31</v>
      </c>
      <c r="EI38" s="61">
        <f t="shared" ref="EI38" si="226">DAY(EOMONTH(EI37,0))</f>
        <v>30</v>
      </c>
      <c r="EJ38" s="61">
        <f t="shared" ref="EJ38" si="227">DAY(EOMONTH(EJ37,0))</f>
        <v>31</v>
      </c>
      <c r="EK38" s="61">
        <f t="shared" ref="EK38" si="228">DAY(EOMONTH(EK37,0))</f>
        <v>30</v>
      </c>
      <c r="EL38" s="61">
        <f t="shared" ref="EL38" si="229">DAY(EOMONTH(EL37,0))</f>
        <v>31</v>
      </c>
      <c r="EM38" s="61">
        <f t="shared" ref="EM38" si="230">DAY(EOMONTH(EM37,0))</f>
        <v>31</v>
      </c>
      <c r="EN38" s="61">
        <f t="shared" ref="EN38" si="231">DAY(EOMONTH(EN37,0))</f>
        <v>29</v>
      </c>
      <c r="EO38" s="61">
        <f t="shared" ref="EO38" si="232">DAY(EOMONTH(EO37,0))</f>
        <v>31</v>
      </c>
      <c r="EP38" s="61">
        <f t="shared" ref="EP38" si="233">DAY(EOMONTH(EP37,0))</f>
        <v>30</v>
      </c>
      <c r="EQ38" s="61">
        <f t="shared" ref="EQ38" si="234">DAY(EOMONTH(EQ37,0))</f>
        <v>31</v>
      </c>
      <c r="ER38" s="61">
        <f t="shared" ref="ER38" si="235">DAY(EOMONTH(ER37,0))</f>
        <v>30</v>
      </c>
      <c r="ES38" s="61">
        <f t="shared" ref="ES38" si="236">DAY(EOMONTH(ES37,0))</f>
        <v>31</v>
      </c>
      <c r="ET38" s="61">
        <f t="shared" ref="ET38" si="237">DAY(EOMONTH(ET37,0))</f>
        <v>31</v>
      </c>
      <c r="EU38" s="61">
        <f t="shared" ref="EU38" si="238">DAY(EOMONTH(EU37,0))</f>
        <v>30</v>
      </c>
      <c r="EV38" s="61">
        <f t="shared" ref="EV38" si="239">DAY(EOMONTH(EV37,0))</f>
        <v>31</v>
      </c>
      <c r="EW38" s="61">
        <f t="shared" ref="EW38" si="240">DAY(EOMONTH(EW37,0))</f>
        <v>30</v>
      </c>
      <c r="EX38" s="61">
        <f t="shared" ref="EX38:FM38" si="241">DAY(EOMONTH(EX37,0))</f>
        <v>31</v>
      </c>
      <c r="EY38" s="61">
        <f t="shared" si="241"/>
        <v>31</v>
      </c>
      <c r="EZ38" s="61">
        <f t="shared" si="241"/>
        <v>28</v>
      </c>
      <c r="FA38" s="61">
        <f t="shared" si="241"/>
        <v>31</v>
      </c>
      <c r="FB38" s="61">
        <f t="shared" si="241"/>
        <v>30</v>
      </c>
      <c r="FC38" s="61">
        <f t="shared" si="241"/>
        <v>31</v>
      </c>
      <c r="FD38" s="61">
        <f t="shared" si="241"/>
        <v>30</v>
      </c>
      <c r="FE38" s="61">
        <f t="shared" si="241"/>
        <v>31</v>
      </c>
      <c r="FF38" s="61">
        <f t="shared" si="241"/>
        <v>31</v>
      </c>
      <c r="FG38" s="61">
        <f t="shared" si="241"/>
        <v>30</v>
      </c>
      <c r="FH38" s="61">
        <f t="shared" si="241"/>
        <v>31</v>
      </c>
      <c r="FI38" s="61">
        <f t="shared" si="241"/>
        <v>30</v>
      </c>
      <c r="FJ38" s="61">
        <f t="shared" si="241"/>
        <v>31</v>
      </c>
      <c r="FK38" s="61">
        <f t="shared" si="241"/>
        <v>31</v>
      </c>
      <c r="FL38" s="61">
        <f t="shared" si="241"/>
        <v>28</v>
      </c>
      <c r="FM38" s="61">
        <f t="shared" si="241"/>
        <v>31</v>
      </c>
      <c r="FN38" s="61">
        <f t="shared" ref="FN38:GH38" si="242">DAY(EOMONTH(FN37,0))</f>
        <v>30</v>
      </c>
      <c r="FO38" s="61">
        <f t="shared" si="242"/>
        <v>31</v>
      </c>
      <c r="FP38" s="61">
        <f t="shared" si="242"/>
        <v>30</v>
      </c>
      <c r="FQ38" s="61">
        <f t="shared" si="242"/>
        <v>31</v>
      </c>
      <c r="FR38" s="61">
        <f t="shared" si="242"/>
        <v>31</v>
      </c>
      <c r="FS38" s="61">
        <f t="shared" si="242"/>
        <v>30</v>
      </c>
      <c r="FT38" s="61">
        <f t="shared" si="242"/>
        <v>31</v>
      </c>
      <c r="FU38" s="61">
        <f t="shared" si="242"/>
        <v>30</v>
      </c>
      <c r="FV38" s="61">
        <f t="shared" si="242"/>
        <v>31</v>
      </c>
      <c r="FW38" s="61">
        <f t="shared" si="242"/>
        <v>31</v>
      </c>
      <c r="FX38" s="61">
        <f t="shared" si="242"/>
        <v>28</v>
      </c>
      <c r="FY38" s="61">
        <f t="shared" si="242"/>
        <v>31</v>
      </c>
      <c r="FZ38" s="61">
        <f t="shared" si="242"/>
        <v>30</v>
      </c>
      <c r="GA38" s="61">
        <f t="shared" si="242"/>
        <v>31</v>
      </c>
      <c r="GB38" s="61">
        <f t="shared" si="242"/>
        <v>30</v>
      </c>
      <c r="GC38" s="61">
        <f t="shared" si="242"/>
        <v>31</v>
      </c>
      <c r="GD38" s="61">
        <f t="shared" si="242"/>
        <v>31</v>
      </c>
      <c r="GE38" s="61">
        <f t="shared" si="242"/>
        <v>30</v>
      </c>
      <c r="GF38" s="61">
        <f t="shared" si="242"/>
        <v>31</v>
      </c>
      <c r="GG38" s="61">
        <f t="shared" si="242"/>
        <v>30</v>
      </c>
      <c r="GH38" s="61">
        <f t="shared" si="242"/>
        <v>31</v>
      </c>
      <c r="GI38" s="61">
        <f t="shared" ref="GI38:IA38" si="243">DAY(EOMONTH(GI37,0))</f>
        <v>31</v>
      </c>
      <c r="GJ38" s="61">
        <f t="shared" si="243"/>
        <v>29</v>
      </c>
      <c r="GK38" s="61">
        <f t="shared" si="243"/>
        <v>31</v>
      </c>
      <c r="GL38" s="61">
        <f t="shared" si="243"/>
        <v>30</v>
      </c>
      <c r="GM38" s="61">
        <f t="shared" si="243"/>
        <v>31</v>
      </c>
      <c r="GN38" s="61">
        <f t="shared" si="243"/>
        <v>30</v>
      </c>
      <c r="GO38" s="61">
        <f t="shared" si="243"/>
        <v>31</v>
      </c>
      <c r="GP38" s="61">
        <f t="shared" si="243"/>
        <v>31</v>
      </c>
      <c r="GQ38" s="61">
        <f t="shared" si="243"/>
        <v>30</v>
      </c>
      <c r="GR38" s="61">
        <f t="shared" si="243"/>
        <v>31</v>
      </c>
      <c r="GS38" s="61">
        <f t="shared" si="243"/>
        <v>30</v>
      </c>
      <c r="GT38" s="61">
        <f t="shared" si="243"/>
        <v>31</v>
      </c>
      <c r="GU38" s="61">
        <f t="shared" si="243"/>
        <v>31</v>
      </c>
      <c r="GV38" s="61">
        <f t="shared" si="243"/>
        <v>28</v>
      </c>
      <c r="GW38" s="61">
        <f t="shared" si="243"/>
        <v>31</v>
      </c>
      <c r="GX38" s="61">
        <f t="shared" si="243"/>
        <v>30</v>
      </c>
      <c r="GY38" s="61">
        <f t="shared" si="243"/>
        <v>31</v>
      </c>
      <c r="GZ38" s="61">
        <f t="shared" si="243"/>
        <v>30</v>
      </c>
      <c r="HA38" s="61">
        <f t="shared" si="243"/>
        <v>31</v>
      </c>
      <c r="HB38" s="61">
        <f t="shared" si="243"/>
        <v>31</v>
      </c>
      <c r="HC38" s="61">
        <f t="shared" si="243"/>
        <v>30</v>
      </c>
      <c r="HD38" s="61">
        <f t="shared" si="243"/>
        <v>31</v>
      </c>
      <c r="HE38" s="61">
        <f t="shared" si="243"/>
        <v>30</v>
      </c>
      <c r="HF38" s="61">
        <f t="shared" si="243"/>
        <v>31</v>
      </c>
      <c r="HG38" s="61">
        <f t="shared" si="243"/>
        <v>31</v>
      </c>
      <c r="HH38" s="61">
        <f t="shared" si="243"/>
        <v>28</v>
      </c>
      <c r="HI38" s="61">
        <f t="shared" si="243"/>
        <v>31</v>
      </c>
      <c r="HJ38" s="61">
        <f t="shared" si="243"/>
        <v>30</v>
      </c>
      <c r="HK38" s="61">
        <f t="shared" si="243"/>
        <v>31</v>
      </c>
      <c r="HL38" s="61">
        <f t="shared" si="243"/>
        <v>30</v>
      </c>
      <c r="HM38" s="61">
        <f t="shared" si="243"/>
        <v>31</v>
      </c>
      <c r="HN38" s="61">
        <f t="shared" si="243"/>
        <v>31</v>
      </c>
      <c r="HO38" s="61">
        <f t="shared" si="243"/>
        <v>30</v>
      </c>
      <c r="HP38" s="61">
        <f t="shared" si="243"/>
        <v>31</v>
      </c>
      <c r="HQ38" s="61">
        <f t="shared" si="243"/>
        <v>30</v>
      </c>
      <c r="HR38" s="61">
        <f t="shared" si="243"/>
        <v>31</v>
      </c>
      <c r="HS38" s="61">
        <f t="shared" si="243"/>
        <v>31</v>
      </c>
      <c r="HT38" s="61">
        <f t="shared" si="243"/>
        <v>28</v>
      </c>
      <c r="HU38" s="61">
        <f t="shared" si="243"/>
        <v>31</v>
      </c>
      <c r="HV38" s="61">
        <f t="shared" si="243"/>
        <v>30</v>
      </c>
      <c r="HW38" s="61">
        <f t="shared" si="243"/>
        <v>31</v>
      </c>
      <c r="HX38" s="61">
        <f t="shared" si="243"/>
        <v>30</v>
      </c>
      <c r="HY38" s="61">
        <f t="shared" si="243"/>
        <v>31</v>
      </c>
      <c r="HZ38" s="61">
        <f t="shared" si="243"/>
        <v>31</v>
      </c>
      <c r="IA38" s="61">
        <f t="shared" si="243"/>
        <v>30</v>
      </c>
      <c r="IB38" s="61">
        <f t="shared" ref="IB38:IP38" si="244">DAY(EOMONTH(IB37,0))</f>
        <v>31</v>
      </c>
      <c r="IC38" s="61">
        <f t="shared" si="244"/>
        <v>30</v>
      </c>
      <c r="ID38" s="61">
        <f t="shared" si="244"/>
        <v>31</v>
      </c>
      <c r="IE38" s="61">
        <f t="shared" si="244"/>
        <v>31</v>
      </c>
      <c r="IF38" s="61">
        <f t="shared" si="244"/>
        <v>29</v>
      </c>
      <c r="IG38" s="61">
        <f t="shared" si="244"/>
        <v>31</v>
      </c>
      <c r="IH38" s="61">
        <f t="shared" si="244"/>
        <v>30</v>
      </c>
      <c r="II38" s="61">
        <f t="shared" si="244"/>
        <v>31</v>
      </c>
      <c r="IJ38" s="61">
        <f t="shared" si="244"/>
        <v>30</v>
      </c>
      <c r="IK38" s="61">
        <f t="shared" si="244"/>
        <v>31</v>
      </c>
      <c r="IL38" s="61">
        <f t="shared" si="244"/>
        <v>31</v>
      </c>
      <c r="IM38" s="61">
        <f t="shared" si="244"/>
        <v>30</v>
      </c>
      <c r="IN38" s="61">
        <f t="shared" si="244"/>
        <v>31</v>
      </c>
      <c r="IO38" s="61">
        <f t="shared" si="244"/>
        <v>30</v>
      </c>
      <c r="IP38" s="61">
        <f t="shared" si="244"/>
        <v>31</v>
      </c>
    </row>
    <row r="39" spans="3:250">
      <c r="C39" s="143"/>
      <c r="G39" s="199">
        <f>SUMPRODUCT(K39:IP39,$K$38:$IP$38)/1000000</f>
        <v>5.0379310344827406</v>
      </c>
      <c r="H39" s="200" t="s">
        <v>64</v>
      </c>
      <c r="I39" s="53" t="s">
        <v>58</v>
      </c>
      <c r="J39" s="54" t="s">
        <v>61</v>
      </c>
      <c r="K39" s="74">
        <f t="shared" ref="K39:AP39" si="245">K$47*1000/5.8+K$48+K$16+K$17</f>
        <v>689.65517241379314</v>
      </c>
      <c r="L39" s="75">
        <f t="shared" si="245"/>
        <v>689.65517241379314</v>
      </c>
      <c r="M39" s="75">
        <f t="shared" si="245"/>
        <v>689.65517241379314</v>
      </c>
      <c r="N39" s="75">
        <f t="shared" si="245"/>
        <v>689.65517241379314</v>
      </c>
      <c r="O39" s="75">
        <f t="shared" si="245"/>
        <v>689.65517241379314</v>
      </c>
      <c r="P39" s="75">
        <f t="shared" si="245"/>
        <v>689.65517241379314</v>
      </c>
      <c r="Q39" s="75">
        <f t="shared" si="245"/>
        <v>689.65517241379314</v>
      </c>
      <c r="R39" s="75">
        <f t="shared" si="245"/>
        <v>689.65517241379314</v>
      </c>
      <c r="S39" s="75">
        <f t="shared" si="245"/>
        <v>689.65517241379314</v>
      </c>
      <c r="T39" s="75">
        <f t="shared" si="245"/>
        <v>689.65517241379314</v>
      </c>
      <c r="U39" s="75">
        <f t="shared" si="245"/>
        <v>689.65517241379314</v>
      </c>
      <c r="V39" s="75">
        <f t="shared" si="245"/>
        <v>689.65517241379314</v>
      </c>
      <c r="W39" s="75">
        <f t="shared" si="245"/>
        <v>689.65517241379314</v>
      </c>
      <c r="X39" s="75">
        <f t="shared" si="245"/>
        <v>689.65517241379314</v>
      </c>
      <c r="Y39" s="75">
        <f t="shared" si="245"/>
        <v>689.65517241379314</v>
      </c>
      <c r="Z39" s="75">
        <f t="shared" si="245"/>
        <v>689.65517241379314</v>
      </c>
      <c r="AA39" s="75">
        <f t="shared" si="245"/>
        <v>689.65517241379314</v>
      </c>
      <c r="AB39" s="75">
        <f t="shared" si="245"/>
        <v>689.65517241379314</v>
      </c>
      <c r="AC39" s="75">
        <f t="shared" si="245"/>
        <v>689.65517241379314</v>
      </c>
      <c r="AD39" s="75">
        <f t="shared" si="245"/>
        <v>689.65517241379314</v>
      </c>
      <c r="AE39" s="75">
        <f t="shared" si="245"/>
        <v>689.65517241379314</v>
      </c>
      <c r="AF39" s="75">
        <f t="shared" si="245"/>
        <v>689.65517241379314</v>
      </c>
      <c r="AG39" s="75">
        <f t="shared" si="245"/>
        <v>689.65517241379314</v>
      </c>
      <c r="AH39" s="75">
        <f t="shared" si="245"/>
        <v>689.65517241379314</v>
      </c>
      <c r="AI39" s="75">
        <f t="shared" si="245"/>
        <v>689.65517241379314</v>
      </c>
      <c r="AJ39" s="75">
        <f t="shared" si="245"/>
        <v>689.65517241379314</v>
      </c>
      <c r="AK39" s="75">
        <f t="shared" si="245"/>
        <v>689.65517241379314</v>
      </c>
      <c r="AL39" s="75">
        <f t="shared" si="245"/>
        <v>689.65517241379314</v>
      </c>
      <c r="AM39" s="75">
        <f t="shared" si="245"/>
        <v>689.65517241379314</v>
      </c>
      <c r="AN39" s="75">
        <f t="shared" si="245"/>
        <v>689.65517241379314</v>
      </c>
      <c r="AO39" s="75">
        <f t="shared" si="245"/>
        <v>689.65517241379314</v>
      </c>
      <c r="AP39" s="75">
        <f t="shared" si="245"/>
        <v>689.65517241379314</v>
      </c>
      <c r="AQ39" s="75">
        <f t="shared" ref="AQ39:BV39" si="246">AQ$47*1000/5.8+AQ$48+AQ$16+AQ$17</f>
        <v>689.65517241379314</v>
      </c>
      <c r="AR39" s="75">
        <f t="shared" si="246"/>
        <v>689.65517241379314</v>
      </c>
      <c r="AS39" s="75">
        <f t="shared" si="246"/>
        <v>689.65517241379314</v>
      </c>
      <c r="AT39" s="75">
        <f t="shared" si="246"/>
        <v>689.65517241379314</v>
      </c>
      <c r="AU39" s="75">
        <f t="shared" si="246"/>
        <v>689.65517241379314</v>
      </c>
      <c r="AV39" s="75">
        <f t="shared" si="246"/>
        <v>689.65517241379314</v>
      </c>
      <c r="AW39" s="75">
        <f t="shared" si="246"/>
        <v>689.65517241379314</v>
      </c>
      <c r="AX39" s="75">
        <f t="shared" si="246"/>
        <v>689.65517241379314</v>
      </c>
      <c r="AY39" s="75">
        <f t="shared" si="246"/>
        <v>689.65517241379314</v>
      </c>
      <c r="AZ39" s="75">
        <f t="shared" si="246"/>
        <v>689.65517241379314</v>
      </c>
      <c r="BA39" s="75">
        <f t="shared" si="246"/>
        <v>689.65517241379314</v>
      </c>
      <c r="BB39" s="75">
        <f t="shared" si="246"/>
        <v>689.65517241379314</v>
      </c>
      <c r="BC39" s="75">
        <f t="shared" si="246"/>
        <v>689.65517241379314</v>
      </c>
      <c r="BD39" s="75">
        <f t="shared" si="246"/>
        <v>689.65517241379314</v>
      </c>
      <c r="BE39" s="75">
        <f t="shared" si="246"/>
        <v>689.65517241379314</v>
      </c>
      <c r="BF39" s="75">
        <f t="shared" si="246"/>
        <v>689.65517241379314</v>
      </c>
      <c r="BG39" s="75">
        <f t="shared" si="246"/>
        <v>689.65517241379314</v>
      </c>
      <c r="BH39" s="75">
        <f t="shared" si="246"/>
        <v>689.65517241379314</v>
      </c>
      <c r="BI39" s="75">
        <f t="shared" si="246"/>
        <v>689.65517241379314</v>
      </c>
      <c r="BJ39" s="75">
        <f t="shared" si="246"/>
        <v>689.65517241379314</v>
      </c>
      <c r="BK39" s="75">
        <f t="shared" si="246"/>
        <v>689.65517241379314</v>
      </c>
      <c r="BL39" s="75">
        <f t="shared" si="246"/>
        <v>689.65517241379314</v>
      </c>
      <c r="BM39" s="75">
        <f t="shared" si="246"/>
        <v>689.65517241379314</v>
      </c>
      <c r="BN39" s="75">
        <f t="shared" si="246"/>
        <v>689.65517241379314</v>
      </c>
      <c r="BO39" s="75">
        <f t="shared" si="246"/>
        <v>689.65517241379314</v>
      </c>
      <c r="BP39" s="75">
        <f t="shared" si="246"/>
        <v>689.65517241379314</v>
      </c>
      <c r="BQ39" s="75">
        <f t="shared" si="246"/>
        <v>689.65517241379314</v>
      </c>
      <c r="BR39" s="75">
        <f t="shared" si="246"/>
        <v>689.65517241379314</v>
      </c>
      <c r="BS39" s="75">
        <f t="shared" si="246"/>
        <v>689.65517241379314</v>
      </c>
      <c r="BT39" s="75">
        <f t="shared" si="246"/>
        <v>689.65517241379314</v>
      </c>
      <c r="BU39" s="75">
        <f t="shared" si="246"/>
        <v>689.65517241379314</v>
      </c>
      <c r="BV39" s="75">
        <f t="shared" si="246"/>
        <v>689.65517241379314</v>
      </c>
      <c r="BW39" s="75">
        <f t="shared" ref="BW39:DB39" si="247">BW$47*1000/5.8+BW$48+BW$16+BW$17</f>
        <v>689.65517241379314</v>
      </c>
      <c r="BX39" s="75">
        <f t="shared" si="247"/>
        <v>689.65517241379314</v>
      </c>
      <c r="BY39" s="75">
        <f t="shared" si="247"/>
        <v>689.65517241379314</v>
      </c>
      <c r="BZ39" s="75">
        <f t="shared" si="247"/>
        <v>689.65517241379314</v>
      </c>
      <c r="CA39" s="75">
        <f t="shared" si="247"/>
        <v>689.65517241379314</v>
      </c>
      <c r="CB39" s="75">
        <f t="shared" si="247"/>
        <v>689.65517241379314</v>
      </c>
      <c r="CC39" s="75">
        <f t="shared" si="247"/>
        <v>689.65517241379314</v>
      </c>
      <c r="CD39" s="75">
        <f t="shared" si="247"/>
        <v>689.65517241379314</v>
      </c>
      <c r="CE39" s="75">
        <f t="shared" si="247"/>
        <v>689.65517241379314</v>
      </c>
      <c r="CF39" s="75">
        <f t="shared" si="247"/>
        <v>689.65517241379314</v>
      </c>
      <c r="CG39" s="75">
        <f t="shared" si="247"/>
        <v>689.65517241379314</v>
      </c>
      <c r="CH39" s="75">
        <f t="shared" si="247"/>
        <v>689.65517241379314</v>
      </c>
      <c r="CI39" s="75">
        <f t="shared" si="247"/>
        <v>689.65517241379314</v>
      </c>
      <c r="CJ39" s="75">
        <f t="shared" si="247"/>
        <v>689.65517241379314</v>
      </c>
      <c r="CK39" s="75">
        <f t="shared" si="247"/>
        <v>689.65517241379314</v>
      </c>
      <c r="CL39" s="75">
        <f t="shared" si="247"/>
        <v>689.65517241379314</v>
      </c>
      <c r="CM39" s="75">
        <f t="shared" si="247"/>
        <v>689.65517241379314</v>
      </c>
      <c r="CN39" s="75">
        <f t="shared" si="247"/>
        <v>689.65517241379314</v>
      </c>
      <c r="CO39" s="75">
        <f t="shared" si="247"/>
        <v>689.65517241379314</v>
      </c>
      <c r="CP39" s="75">
        <f t="shared" si="247"/>
        <v>689.65517241379314</v>
      </c>
      <c r="CQ39" s="75">
        <f t="shared" si="247"/>
        <v>689.65517241379314</v>
      </c>
      <c r="CR39" s="75">
        <f t="shared" si="247"/>
        <v>689.65517241379314</v>
      </c>
      <c r="CS39" s="75">
        <f t="shared" si="247"/>
        <v>689.65517241379314</v>
      </c>
      <c r="CT39" s="75">
        <f t="shared" si="247"/>
        <v>689.65517241379314</v>
      </c>
      <c r="CU39" s="75">
        <f t="shared" si="247"/>
        <v>689.65517241379314</v>
      </c>
      <c r="CV39" s="75">
        <f t="shared" si="247"/>
        <v>689.65517241379314</v>
      </c>
      <c r="CW39" s="75">
        <f t="shared" si="247"/>
        <v>689.65517241379314</v>
      </c>
      <c r="CX39" s="75">
        <f t="shared" si="247"/>
        <v>689.65517241379314</v>
      </c>
      <c r="CY39" s="75">
        <f t="shared" si="247"/>
        <v>689.65517241379314</v>
      </c>
      <c r="CZ39" s="75">
        <f t="shared" si="247"/>
        <v>689.65517241379314</v>
      </c>
      <c r="DA39" s="75">
        <f t="shared" si="247"/>
        <v>689.65517241379314</v>
      </c>
      <c r="DB39" s="75">
        <f t="shared" si="247"/>
        <v>689.65517241379314</v>
      </c>
      <c r="DC39" s="75">
        <f t="shared" ref="DC39:EH39" si="248">DC$47*1000/5.8+DC$48+DC$16+DC$17</f>
        <v>689.65517241379314</v>
      </c>
      <c r="DD39" s="75">
        <f t="shared" si="248"/>
        <v>689.65517241379314</v>
      </c>
      <c r="DE39" s="75">
        <f t="shared" si="248"/>
        <v>689.65517241379314</v>
      </c>
      <c r="DF39" s="75">
        <f t="shared" si="248"/>
        <v>689.65517241379314</v>
      </c>
      <c r="DG39" s="75">
        <f t="shared" si="248"/>
        <v>689.65517241379314</v>
      </c>
      <c r="DH39" s="75">
        <f t="shared" si="248"/>
        <v>689.65517241379314</v>
      </c>
      <c r="DI39" s="75">
        <f t="shared" si="248"/>
        <v>689.65517241379314</v>
      </c>
      <c r="DJ39" s="75">
        <f t="shared" si="248"/>
        <v>689.65517241379314</v>
      </c>
      <c r="DK39" s="75">
        <f t="shared" si="248"/>
        <v>689.65517241379314</v>
      </c>
      <c r="DL39" s="75">
        <f t="shared" si="248"/>
        <v>689.65517241379314</v>
      </c>
      <c r="DM39" s="75">
        <f t="shared" si="248"/>
        <v>689.65517241379314</v>
      </c>
      <c r="DN39" s="75">
        <f t="shared" si="248"/>
        <v>689.65517241379314</v>
      </c>
      <c r="DO39" s="75">
        <f t="shared" si="248"/>
        <v>689.65517241379314</v>
      </c>
      <c r="DP39" s="75">
        <f t="shared" si="248"/>
        <v>689.65517241379314</v>
      </c>
      <c r="DQ39" s="75">
        <f t="shared" si="248"/>
        <v>689.65517241379314</v>
      </c>
      <c r="DR39" s="75">
        <f t="shared" si="248"/>
        <v>689.65517241379314</v>
      </c>
      <c r="DS39" s="75">
        <f t="shared" si="248"/>
        <v>689.65517241379314</v>
      </c>
      <c r="DT39" s="75">
        <f t="shared" si="248"/>
        <v>689.65517241379314</v>
      </c>
      <c r="DU39" s="75">
        <f t="shared" si="248"/>
        <v>689.65517241379314</v>
      </c>
      <c r="DV39" s="75">
        <f t="shared" si="248"/>
        <v>689.65517241379314</v>
      </c>
      <c r="DW39" s="75">
        <f t="shared" si="248"/>
        <v>689.65517241379314</v>
      </c>
      <c r="DX39" s="75">
        <f t="shared" si="248"/>
        <v>689.65517241379314</v>
      </c>
      <c r="DY39" s="75">
        <f t="shared" si="248"/>
        <v>689.65517241379314</v>
      </c>
      <c r="DZ39" s="75">
        <f t="shared" si="248"/>
        <v>689.65517241379314</v>
      </c>
      <c r="EA39" s="75">
        <f t="shared" si="248"/>
        <v>689.65517241379314</v>
      </c>
      <c r="EB39" s="75">
        <f t="shared" si="248"/>
        <v>689.65517241379314</v>
      </c>
      <c r="EC39" s="75">
        <f t="shared" si="248"/>
        <v>689.65517241379314</v>
      </c>
      <c r="ED39" s="75">
        <f t="shared" si="248"/>
        <v>689.65517241379314</v>
      </c>
      <c r="EE39" s="75">
        <f t="shared" si="248"/>
        <v>689.65517241379314</v>
      </c>
      <c r="EF39" s="75">
        <f t="shared" si="248"/>
        <v>689.65517241379314</v>
      </c>
      <c r="EG39" s="75">
        <f t="shared" si="248"/>
        <v>689.65517241379314</v>
      </c>
      <c r="EH39" s="75">
        <f t="shared" si="248"/>
        <v>689.65517241379314</v>
      </c>
      <c r="EI39" s="75">
        <f t="shared" ref="EI39:EX39" si="249">EI$47*1000/5.8+EI$48+EI$16+EI$17</f>
        <v>689.65517241379314</v>
      </c>
      <c r="EJ39" s="75">
        <f t="shared" si="249"/>
        <v>689.65517241379314</v>
      </c>
      <c r="EK39" s="75">
        <f t="shared" si="249"/>
        <v>689.65517241379314</v>
      </c>
      <c r="EL39" s="75">
        <f t="shared" si="249"/>
        <v>689.65517241379314</v>
      </c>
      <c r="EM39" s="75">
        <f t="shared" si="249"/>
        <v>689.65517241379314</v>
      </c>
      <c r="EN39" s="75">
        <f t="shared" si="249"/>
        <v>689.65517241379314</v>
      </c>
      <c r="EO39" s="75">
        <f t="shared" si="249"/>
        <v>689.65517241379314</v>
      </c>
      <c r="EP39" s="75">
        <f t="shared" si="249"/>
        <v>689.65517241379314</v>
      </c>
      <c r="EQ39" s="75">
        <f t="shared" si="249"/>
        <v>689.65517241379314</v>
      </c>
      <c r="ER39" s="75">
        <f t="shared" si="249"/>
        <v>689.65517241379314</v>
      </c>
      <c r="ES39" s="75">
        <f t="shared" si="249"/>
        <v>689.65517241379314</v>
      </c>
      <c r="ET39" s="75">
        <f t="shared" si="249"/>
        <v>689.65517241379314</v>
      </c>
      <c r="EU39" s="75">
        <f t="shared" si="249"/>
        <v>689.65517241379314</v>
      </c>
      <c r="EV39" s="75">
        <f t="shared" si="249"/>
        <v>689.65517241379314</v>
      </c>
      <c r="EW39" s="75">
        <f t="shared" si="249"/>
        <v>689.65517241379314</v>
      </c>
      <c r="EX39" s="75">
        <f t="shared" si="249"/>
        <v>689.65517241379314</v>
      </c>
      <c r="EY39" s="75">
        <f t="shared" ref="EY39:HJ39" si="250">EY$47*1000/5.8+EY$48+EY$16+EY$17</f>
        <v>689.65517241379314</v>
      </c>
      <c r="EZ39" s="75">
        <f t="shared" si="250"/>
        <v>689.65517241379314</v>
      </c>
      <c r="FA39" s="75">
        <f t="shared" si="250"/>
        <v>689.65517241379314</v>
      </c>
      <c r="FB39" s="75">
        <f t="shared" si="250"/>
        <v>689.65517241379314</v>
      </c>
      <c r="FC39" s="75">
        <f t="shared" si="250"/>
        <v>689.65517241379314</v>
      </c>
      <c r="FD39" s="75">
        <f t="shared" si="250"/>
        <v>689.65517241379314</v>
      </c>
      <c r="FE39" s="75">
        <f t="shared" si="250"/>
        <v>689.65517241379314</v>
      </c>
      <c r="FF39" s="75">
        <f t="shared" si="250"/>
        <v>689.65517241379314</v>
      </c>
      <c r="FG39" s="75">
        <f t="shared" si="250"/>
        <v>689.65517241379314</v>
      </c>
      <c r="FH39" s="75">
        <f t="shared" si="250"/>
        <v>689.65517241379314</v>
      </c>
      <c r="FI39" s="75">
        <f t="shared" si="250"/>
        <v>689.65517241379314</v>
      </c>
      <c r="FJ39" s="75">
        <f t="shared" si="250"/>
        <v>689.65517241379314</v>
      </c>
      <c r="FK39" s="75">
        <f t="shared" si="250"/>
        <v>689.65517241379314</v>
      </c>
      <c r="FL39" s="75">
        <f t="shared" si="250"/>
        <v>689.65517241379314</v>
      </c>
      <c r="FM39" s="75">
        <f t="shared" si="250"/>
        <v>689.65517241379314</v>
      </c>
      <c r="FN39" s="75">
        <f t="shared" si="250"/>
        <v>689.65517241379314</v>
      </c>
      <c r="FO39" s="75">
        <f t="shared" si="250"/>
        <v>689.65517241379314</v>
      </c>
      <c r="FP39" s="75">
        <f t="shared" si="250"/>
        <v>689.65517241379314</v>
      </c>
      <c r="FQ39" s="75">
        <f t="shared" si="250"/>
        <v>689.65517241379314</v>
      </c>
      <c r="FR39" s="75">
        <f t="shared" si="250"/>
        <v>689.65517241379314</v>
      </c>
      <c r="FS39" s="75">
        <f t="shared" si="250"/>
        <v>689.65517241379314</v>
      </c>
      <c r="FT39" s="75">
        <f t="shared" si="250"/>
        <v>689.65517241379314</v>
      </c>
      <c r="FU39" s="75">
        <f t="shared" si="250"/>
        <v>689.65517241379314</v>
      </c>
      <c r="FV39" s="75">
        <f t="shared" si="250"/>
        <v>689.65517241379314</v>
      </c>
      <c r="FW39" s="75">
        <f t="shared" si="250"/>
        <v>689.65517241379314</v>
      </c>
      <c r="FX39" s="75">
        <f t="shared" si="250"/>
        <v>689.65517241379314</v>
      </c>
      <c r="FY39" s="75">
        <f t="shared" si="250"/>
        <v>689.65517241379314</v>
      </c>
      <c r="FZ39" s="75">
        <f t="shared" si="250"/>
        <v>689.65517241379314</v>
      </c>
      <c r="GA39" s="75">
        <f t="shared" si="250"/>
        <v>689.65517241379314</v>
      </c>
      <c r="GB39" s="75">
        <f t="shared" si="250"/>
        <v>689.65517241379314</v>
      </c>
      <c r="GC39" s="75">
        <f t="shared" si="250"/>
        <v>689.65517241379314</v>
      </c>
      <c r="GD39" s="75">
        <f t="shared" si="250"/>
        <v>689.65517241379314</v>
      </c>
      <c r="GE39" s="75">
        <f t="shared" si="250"/>
        <v>689.65517241379314</v>
      </c>
      <c r="GF39" s="75">
        <f t="shared" si="250"/>
        <v>689.65517241379314</v>
      </c>
      <c r="GG39" s="75">
        <f t="shared" si="250"/>
        <v>689.65517241379314</v>
      </c>
      <c r="GH39" s="75">
        <f t="shared" si="250"/>
        <v>689.65517241379314</v>
      </c>
      <c r="GI39" s="75">
        <f t="shared" si="250"/>
        <v>689.65517241379314</v>
      </c>
      <c r="GJ39" s="75">
        <f t="shared" si="250"/>
        <v>689.65517241379314</v>
      </c>
      <c r="GK39" s="75">
        <f t="shared" si="250"/>
        <v>689.65517241379314</v>
      </c>
      <c r="GL39" s="75">
        <f t="shared" si="250"/>
        <v>689.65517241379314</v>
      </c>
      <c r="GM39" s="75">
        <f t="shared" si="250"/>
        <v>689.65517241379314</v>
      </c>
      <c r="GN39" s="75">
        <f t="shared" si="250"/>
        <v>689.65517241379314</v>
      </c>
      <c r="GO39" s="75">
        <f t="shared" si="250"/>
        <v>689.65517241379314</v>
      </c>
      <c r="GP39" s="75">
        <f t="shared" si="250"/>
        <v>689.65517241379314</v>
      </c>
      <c r="GQ39" s="75">
        <f t="shared" si="250"/>
        <v>689.65517241379314</v>
      </c>
      <c r="GR39" s="75">
        <f t="shared" si="250"/>
        <v>689.65517241379314</v>
      </c>
      <c r="GS39" s="75">
        <f t="shared" si="250"/>
        <v>689.65517241379314</v>
      </c>
      <c r="GT39" s="75">
        <f t="shared" si="250"/>
        <v>689.65517241379314</v>
      </c>
      <c r="GU39" s="75">
        <f t="shared" si="250"/>
        <v>689.65517241379314</v>
      </c>
      <c r="GV39" s="75">
        <f t="shared" si="250"/>
        <v>689.65517241379314</v>
      </c>
      <c r="GW39" s="75">
        <f t="shared" si="250"/>
        <v>689.65517241379314</v>
      </c>
      <c r="GX39" s="75">
        <f t="shared" si="250"/>
        <v>689.65517241379314</v>
      </c>
      <c r="GY39" s="75">
        <f t="shared" si="250"/>
        <v>689.65517241379314</v>
      </c>
      <c r="GZ39" s="75">
        <f t="shared" si="250"/>
        <v>689.65517241379314</v>
      </c>
      <c r="HA39" s="75">
        <f t="shared" si="250"/>
        <v>689.65517241379314</v>
      </c>
      <c r="HB39" s="75">
        <f t="shared" si="250"/>
        <v>689.65517241379314</v>
      </c>
      <c r="HC39" s="75">
        <f t="shared" si="250"/>
        <v>689.65517241379314</v>
      </c>
      <c r="HD39" s="75">
        <f t="shared" si="250"/>
        <v>689.65517241379314</v>
      </c>
      <c r="HE39" s="75">
        <f t="shared" si="250"/>
        <v>689.65517241379314</v>
      </c>
      <c r="HF39" s="75">
        <f t="shared" si="250"/>
        <v>689.65517241379314</v>
      </c>
      <c r="HG39" s="75">
        <f t="shared" si="250"/>
        <v>689.65517241379314</v>
      </c>
      <c r="HH39" s="75">
        <f t="shared" si="250"/>
        <v>689.65517241379314</v>
      </c>
      <c r="HI39" s="75">
        <f t="shared" si="250"/>
        <v>689.65517241379314</v>
      </c>
      <c r="HJ39" s="75">
        <f t="shared" si="250"/>
        <v>689.65517241379314</v>
      </c>
      <c r="HK39" s="75">
        <f t="shared" ref="HK39:IP39" si="251">HK$47*1000/5.8+HK$48+HK$16+HK$17</f>
        <v>689.65517241379314</v>
      </c>
      <c r="HL39" s="75">
        <f t="shared" si="251"/>
        <v>689.65517241379314</v>
      </c>
      <c r="HM39" s="75">
        <f t="shared" si="251"/>
        <v>689.65517241379314</v>
      </c>
      <c r="HN39" s="75">
        <f t="shared" si="251"/>
        <v>689.65517241379314</v>
      </c>
      <c r="HO39" s="75">
        <f t="shared" si="251"/>
        <v>689.65517241379314</v>
      </c>
      <c r="HP39" s="75">
        <f t="shared" si="251"/>
        <v>689.65517241379314</v>
      </c>
      <c r="HQ39" s="75">
        <f t="shared" si="251"/>
        <v>689.65517241379314</v>
      </c>
      <c r="HR39" s="75">
        <f t="shared" si="251"/>
        <v>689.65517241379314</v>
      </c>
      <c r="HS39" s="75">
        <f t="shared" si="251"/>
        <v>689.65517241379314</v>
      </c>
      <c r="HT39" s="75">
        <f t="shared" si="251"/>
        <v>689.65517241379314</v>
      </c>
      <c r="HU39" s="75">
        <f t="shared" si="251"/>
        <v>689.65517241379314</v>
      </c>
      <c r="HV39" s="75">
        <f t="shared" si="251"/>
        <v>689.65517241379314</v>
      </c>
      <c r="HW39" s="75">
        <f t="shared" si="251"/>
        <v>689.65517241379314</v>
      </c>
      <c r="HX39" s="75">
        <f t="shared" si="251"/>
        <v>689.65517241379314</v>
      </c>
      <c r="HY39" s="75">
        <f t="shared" si="251"/>
        <v>689.65517241379314</v>
      </c>
      <c r="HZ39" s="75">
        <f t="shared" si="251"/>
        <v>689.65517241379314</v>
      </c>
      <c r="IA39" s="75">
        <f t="shared" si="251"/>
        <v>689.65517241379314</v>
      </c>
      <c r="IB39" s="75">
        <f t="shared" si="251"/>
        <v>689.65517241379314</v>
      </c>
      <c r="IC39" s="75">
        <f t="shared" si="251"/>
        <v>689.65517241379314</v>
      </c>
      <c r="ID39" s="75">
        <f t="shared" si="251"/>
        <v>689.65517241379314</v>
      </c>
      <c r="IE39" s="75">
        <f t="shared" si="251"/>
        <v>689.65517241379314</v>
      </c>
      <c r="IF39" s="75">
        <f t="shared" si="251"/>
        <v>689.65517241379314</v>
      </c>
      <c r="IG39" s="75">
        <f t="shared" si="251"/>
        <v>689.65517241379314</v>
      </c>
      <c r="IH39" s="75">
        <f t="shared" si="251"/>
        <v>689.65517241379314</v>
      </c>
      <c r="II39" s="75">
        <f t="shared" si="251"/>
        <v>689.65517241379314</v>
      </c>
      <c r="IJ39" s="75">
        <f t="shared" si="251"/>
        <v>689.65517241379314</v>
      </c>
      <c r="IK39" s="75">
        <f t="shared" si="251"/>
        <v>689.65517241379314</v>
      </c>
      <c r="IL39" s="75">
        <f t="shared" si="251"/>
        <v>689.65517241379314</v>
      </c>
      <c r="IM39" s="75">
        <f t="shared" si="251"/>
        <v>689.65517241379314</v>
      </c>
      <c r="IN39" s="75">
        <f t="shared" si="251"/>
        <v>689.65517241379314</v>
      </c>
      <c r="IO39" s="75">
        <f t="shared" si="251"/>
        <v>689.65517241379314</v>
      </c>
      <c r="IP39" s="75">
        <f t="shared" si="251"/>
        <v>689.65517241379314</v>
      </c>
    </row>
    <row r="40" spans="3:250">
      <c r="C40" s="143"/>
      <c r="G40" s="122">
        <f>SUMPRODUCT(K40:IP40,$K$38:$IP$38)/1000</f>
        <v>3.4295234694151304</v>
      </c>
      <c r="H40" s="201" t="s">
        <v>46</v>
      </c>
      <c r="I40" s="92" t="s">
        <v>14</v>
      </c>
      <c r="J40" s="209" t="s">
        <v>120</v>
      </c>
      <c r="K40" s="147">
        <f t="shared" ref="K40:AP40" si="252">+$C$17/(1+$C$18*$C$19*K36)^(1/$C$18)</f>
        <v>5</v>
      </c>
      <c r="L40" s="210">
        <f t="shared" si="252"/>
        <v>2.988071523335984</v>
      </c>
      <c r="M40" s="210">
        <f t="shared" si="252"/>
        <v>2.3312620206007844</v>
      </c>
      <c r="N40" s="210">
        <f t="shared" si="252"/>
        <v>1.976423537605237</v>
      </c>
      <c r="O40" s="210">
        <f t="shared" si="252"/>
        <v>1.7460757394239457</v>
      </c>
      <c r="P40" s="210">
        <f t="shared" si="252"/>
        <v>1.5811388300841895</v>
      </c>
      <c r="Q40" s="210">
        <f t="shared" si="252"/>
        <v>1.455556274348955</v>
      </c>
      <c r="R40" s="210">
        <f t="shared" si="252"/>
        <v>1.3558153613666011</v>
      </c>
      <c r="S40" s="210">
        <f t="shared" si="252"/>
        <v>1.2741179785940637</v>
      </c>
      <c r="T40" s="210">
        <f t="shared" si="252"/>
        <v>1.2056070554260303</v>
      </c>
      <c r="U40" s="210">
        <f t="shared" si="252"/>
        <v>1.1470786693528088</v>
      </c>
      <c r="V40" s="210">
        <f t="shared" si="252"/>
        <v>1.0963225241337864</v>
      </c>
      <c r="W40" s="210">
        <f t="shared" si="252"/>
        <v>1.0517579047791781</v>
      </c>
      <c r="X40" s="210">
        <f t="shared" si="252"/>
        <v>1.0122204127236449</v>
      </c>
      <c r="Y40" s="210">
        <f t="shared" si="252"/>
        <v>0.97683083145570437</v>
      </c>
      <c r="Z40" s="210">
        <f t="shared" si="252"/>
        <v>0.94491118252306805</v>
      </c>
      <c r="AA40" s="210">
        <f t="shared" si="252"/>
        <v>0.9159291318091396</v>
      </c>
      <c r="AB40" s="210">
        <f t="shared" si="252"/>
        <v>0.88946008370602503</v>
      </c>
      <c r="AC40" s="210">
        <f t="shared" si="252"/>
        <v>0.86516067525747853</v>
      </c>
      <c r="AD40" s="210">
        <f t="shared" si="252"/>
        <v>0.84274982807905263</v>
      </c>
      <c r="AE40" s="210">
        <f t="shared" si="252"/>
        <v>0.82199493652678646</v>
      </c>
      <c r="AF40" s="210">
        <f t="shared" si="252"/>
        <v>0.80270162383491939</v>
      </c>
      <c r="AG40" s="210">
        <f t="shared" si="252"/>
        <v>0.78470602571793058</v>
      </c>
      <c r="AH40" s="210">
        <f t="shared" si="252"/>
        <v>0.76786889604243902</v>
      </c>
      <c r="AI40" s="210">
        <f t="shared" si="252"/>
        <v>0.75207104699523353</v>
      </c>
      <c r="AJ40" s="210">
        <f t="shared" si="252"/>
        <v>0.73720978077448562</v>
      </c>
      <c r="AK40" s="210">
        <f t="shared" si="252"/>
        <v>0.72319606767546463</v>
      </c>
      <c r="AL40" s="210">
        <f t="shared" si="252"/>
        <v>0.70995229280883099</v>
      </c>
      <c r="AM40" s="210">
        <f t="shared" si="252"/>
        <v>0.69741044081458836</v>
      </c>
      <c r="AN40" s="210">
        <f t="shared" si="252"/>
        <v>0.68551062138385221</v>
      </c>
      <c r="AO40" s="210">
        <f t="shared" si="252"/>
        <v>0.67419986246324204</v>
      </c>
      <c r="AP40" s="210">
        <f t="shared" si="252"/>
        <v>0.66343111554284406</v>
      </c>
      <c r="AQ40" s="210">
        <f t="shared" ref="AQ40:BV40" si="253">+$C$17/(1+$C$18*$C$19*AQ36)^(1/$C$18)</f>
        <v>0.65316243034145516</v>
      </c>
      <c r="AR40" s="210">
        <f t="shared" si="253"/>
        <v>0.64335626581872341</v>
      </c>
      <c r="AS40" s="210">
        <f t="shared" si="253"/>
        <v>0.63397891167621712</v>
      </c>
      <c r="AT40" s="210">
        <f t="shared" si="253"/>
        <v>0.625</v>
      </c>
      <c r="AU40" s="210">
        <f t="shared" si="253"/>
        <v>0.61639209090192237</v>
      </c>
      <c r="AV40" s="210">
        <f t="shared" si="253"/>
        <v>0.60813031926314987</v>
      </c>
      <c r="AW40" s="210">
        <f t="shared" si="253"/>
        <v>0.60019209220917957</v>
      </c>
      <c r="AX40" s="210">
        <f t="shared" si="253"/>
        <v>0.59255682892497152</v>
      </c>
      <c r="AY40" s="210">
        <f t="shared" si="253"/>
        <v>0.58520573598065284</v>
      </c>
      <c r="AZ40" s="210">
        <f t="shared" si="253"/>
        <v>0.57812161257860029</v>
      </c>
      <c r="BA40" s="210">
        <f t="shared" si="253"/>
        <v>0.5712886811237875</v>
      </c>
      <c r="BB40" s="210">
        <f t="shared" si="253"/>
        <v>0.56469243931578206</v>
      </c>
      <c r="BC40" s="210">
        <f t="shared" si="253"/>
        <v>0.55831953060444162</v>
      </c>
      <c r="BD40" s="210">
        <f t="shared" si="253"/>
        <v>0.55215763037423271</v>
      </c>
      <c r="BE40" s="210">
        <f t="shared" si="253"/>
        <v>0.54619534564896455</v>
      </c>
      <c r="BF40" s="210">
        <f t="shared" si="253"/>
        <v>0.54042212645889609</v>
      </c>
      <c r="BG40" s="210">
        <f t="shared" si="253"/>
        <v>0.53482818730069759</v>
      </c>
      <c r="BH40" s="210">
        <f t="shared" si="253"/>
        <v>0.52940443735953346</v>
      </c>
      <c r="BI40" s="210">
        <f t="shared" si="253"/>
        <v>0.52414241836095921</v>
      </c>
      <c r="BJ40" s="210">
        <f t="shared" si="253"/>
        <v>0.51903424908587481</v>
      </c>
      <c r="BK40" s="210">
        <f t="shared" si="253"/>
        <v>0.51407257572041554</v>
      </c>
      <c r="BL40" s="210">
        <f t="shared" si="253"/>
        <v>0.50925052732919407</v>
      </c>
      <c r="BM40" s="210">
        <f t="shared" si="253"/>
        <v>0.50456167583859457</v>
      </c>
      <c r="BN40" s="210">
        <f t="shared" si="253"/>
        <v>0.5</v>
      </c>
      <c r="BO40" s="210">
        <f t="shared" si="253"/>
        <v>0.49555985287345539</v>
      </c>
      <c r="BP40" s="210">
        <f t="shared" si="253"/>
        <v>0.49123593243241204</v>
      </c>
      <c r="BQ40" s="210">
        <f t="shared" si="253"/>
        <v>0.48702325494157866</v>
      </c>
      <c r="BR40" s="210">
        <f t="shared" si="253"/>
        <v>0.48291713080390986</v>
      </c>
      <c r="BS40" s="210">
        <f t="shared" si="253"/>
        <v>0.47891314261057566</v>
      </c>
      <c r="BT40" s="210">
        <f t="shared" si="253"/>
        <v>0.47500712516031646</v>
      </c>
      <c r="BU40" s="210">
        <f t="shared" si="253"/>
        <v>0.47119514724271078</v>
      </c>
      <c r="BV40" s="210">
        <f t="shared" si="253"/>
        <v>0.46747349500422858</v>
      </c>
      <c r="BW40" s="210">
        <f t="shared" ref="BW40:DB40" si="254">+$C$17/(1+$C$18*$C$19*BW36)^(1/$C$18)</f>
        <v>0.46383865673706937</v>
      </c>
      <c r="BX40" s="210">
        <f t="shared" si="254"/>
        <v>0.4602873089491617</v>
      </c>
      <c r="BY40" s="210">
        <f t="shared" si="254"/>
        <v>0.45681630358972042</v>
      </c>
      <c r="BZ40" s="210">
        <f t="shared" si="254"/>
        <v>0.45342265631875722</v>
      </c>
      <c r="CA40" s="210">
        <f t="shared" si="254"/>
        <v>0.45010353572119338</v>
      </c>
      <c r="CB40" s="210">
        <f t="shared" si="254"/>
        <v>0.44685625337697649</v>
      </c>
      <c r="CC40" s="210">
        <f t="shared" si="254"/>
        <v>0.44367825470805694</v>
      </c>
      <c r="CD40" s="210">
        <f t="shared" si="254"/>
        <v>0.44056711053140085</v>
      </c>
      <c r="CE40" s="210">
        <f t="shared" si="254"/>
        <v>0.43752050925456826</v>
      </c>
      <c r="CF40" s="210">
        <f t="shared" si="254"/>
        <v>0.43453624965687387</v>
      </c>
      <c r="CG40" s="210">
        <f t="shared" si="254"/>
        <v>0.43161223420490546</v>
      </c>
      <c r="CH40" s="210">
        <f t="shared" si="254"/>
        <v>0.42874646285627205</v>
      </c>
      <c r="CI40" s="210">
        <f t="shared" si="254"/>
        <v>0.42593702730999095</v>
      </c>
      <c r="CJ40" s="210">
        <f t="shared" si="254"/>
        <v>0.42318210566595788</v>
      </c>
      <c r="CK40" s="210">
        <f t="shared" si="254"/>
        <v>0.42047995745954025</v>
      </c>
      <c r="CL40" s="210">
        <f t="shared" si="254"/>
        <v>0.41782891904054725</v>
      </c>
      <c r="CM40" s="210">
        <f t="shared" si="254"/>
        <v>0.41522739926869984</v>
      </c>
      <c r="CN40" s="210">
        <f t="shared" si="254"/>
        <v>0.4126738755002986</v>
      </c>
      <c r="CO40" s="210">
        <f t="shared" si="254"/>
        <v>0.41016688984308958</v>
      </c>
      <c r="CP40" s="210">
        <f t="shared" si="254"/>
        <v>0.40770504565840132</v>
      </c>
      <c r="CQ40" s="210">
        <f t="shared" si="254"/>
        <v>0.40528700429148845</v>
      </c>
      <c r="CR40" s="210">
        <f t="shared" si="254"/>
        <v>0.40291148201269011</v>
      </c>
      <c r="CS40" s="210">
        <f t="shared" si="254"/>
        <v>0.40057724715352822</v>
      </c>
      <c r="CT40" s="210">
        <f t="shared" si="254"/>
        <v>0.39828311742322886</v>
      </c>
      <c r="CU40" s="210">
        <f t="shared" si="254"/>
        <v>0.39602795739238716</v>
      </c>
      <c r="CV40" s="210">
        <f t="shared" si="254"/>
        <v>0.39381067613160986</v>
      </c>
      <c r="CW40" s="210">
        <f t="shared" si="254"/>
        <v>0.3916302249939787</v>
      </c>
      <c r="CX40" s="210">
        <f t="shared" si="254"/>
        <v>0.38948559553109741</v>
      </c>
      <c r="CY40" s="210">
        <f t="shared" si="254"/>
        <v>0.38737581753331463</v>
      </c>
      <c r="CZ40" s="210">
        <f t="shared" si="254"/>
        <v>0.38529995718547116</v>
      </c>
      <c r="DA40" s="210">
        <f t="shared" si="254"/>
        <v>0.38325711533020995</v>
      </c>
      <c r="DB40" s="210">
        <f t="shared" si="254"/>
        <v>0.38124642583151169</v>
      </c>
      <c r="DC40" s="210">
        <f t="shared" ref="DC40:EH40" si="255">+$C$17/(1+$C$18*$C$19*DC36)^(1/$C$18)</f>
        <v>0.37926705403169153</v>
      </c>
      <c r="DD40" s="210">
        <f t="shared" si="255"/>
        <v>0.37731819529561378</v>
      </c>
      <c r="DE40" s="210">
        <f t="shared" si="255"/>
        <v>0.37539907363635694</v>
      </c>
      <c r="DF40" s="210">
        <f t="shared" si="255"/>
        <v>0.373508940416998</v>
      </c>
      <c r="DG40" s="210">
        <f t="shared" si="255"/>
        <v>0.37164707312358319</v>
      </c>
      <c r="DH40" s="210">
        <f t="shared" si="255"/>
        <v>0.36981277420471703</v>
      </c>
      <c r="DI40" s="210">
        <f t="shared" si="255"/>
        <v>0.36800536997353828</v>
      </c>
      <c r="DJ40" s="210">
        <f t="shared" si="255"/>
        <v>0.36622420956815477</v>
      </c>
      <c r="DK40" s="210">
        <f t="shared" si="255"/>
        <v>0.36446866396689731</v>
      </c>
      <c r="DL40" s="210">
        <f t="shared" si="255"/>
        <v>0.36273812505500586</v>
      </c>
      <c r="DM40" s="210">
        <f t="shared" si="255"/>
        <v>0.36103200473960506</v>
      </c>
      <c r="DN40" s="210">
        <f t="shared" si="255"/>
        <v>0.35934973411004312</v>
      </c>
      <c r="DO40" s="210">
        <f t="shared" si="255"/>
        <v>0.35769076264087107</v>
      </c>
      <c r="DP40" s="210">
        <f t="shared" si="255"/>
        <v>0.35605455743492814</v>
      </c>
      <c r="DQ40" s="210">
        <f t="shared" si="255"/>
        <v>0.35444060250416792</v>
      </c>
      <c r="DR40" s="210">
        <f t="shared" si="255"/>
        <v>0.35284839808602292</v>
      </c>
      <c r="DS40" s="210">
        <f t="shared" si="255"/>
        <v>0.3512774599932495</v>
      </c>
      <c r="DT40" s="210">
        <f t="shared" si="255"/>
        <v>0.34972731899533299</v>
      </c>
      <c r="DU40" s="210">
        <f t="shared" si="255"/>
        <v>0.3481975202296585</v>
      </c>
      <c r="DV40" s="210">
        <f t="shared" si="255"/>
        <v>0.34668762264076824</v>
      </c>
      <c r="DW40" s="210">
        <f t="shared" si="255"/>
        <v>0.34519719844613739</v>
      </c>
      <c r="DX40" s="210">
        <f t="shared" si="255"/>
        <v>0.3437258326269978</v>
      </c>
      <c r="DY40" s="210">
        <f t="shared" si="255"/>
        <v>0.34227312244283309</v>
      </c>
      <c r="DZ40" s="210">
        <f t="shared" si="255"/>
        <v>0.34083867696825737</v>
      </c>
      <c r="EA40" s="210">
        <f t="shared" si="255"/>
        <v>0.33942211665106536</v>
      </c>
      <c r="EB40" s="210">
        <f t="shared" si="255"/>
        <v>0.33802307289032163</v>
      </c>
      <c r="EC40" s="210">
        <f t="shared" si="255"/>
        <v>0.33664118763342382</v>
      </c>
      <c r="ED40" s="210">
        <f t="shared" si="255"/>
        <v>0.33527611299113758</v>
      </c>
      <c r="EE40" s="210">
        <f t="shared" si="255"/>
        <v>0.33392751086966627</v>
      </c>
      <c r="EF40" s="210">
        <f t="shared" si="255"/>
        <v>0.33259505261886968</v>
      </c>
      <c r="EG40" s="210">
        <f t="shared" si="255"/>
        <v>0.33127841869580166</v>
      </c>
      <c r="EH40" s="210">
        <f t="shared" si="255"/>
        <v>0.32997729834278416</v>
      </c>
      <c r="EI40" s="210">
        <f t="shared" ref="EI40:FN40" si="256">+$C$17/(1+$C$18*$C$19*EI36)^(1/$C$18)</f>
        <v>0.32869138927928127</v>
      </c>
      <c r="EJ40" s="210">
        <f t="shared" si="256"/>
        <v>0.3274203974068795</v>
      </c>
      <c r="EK40" s="210">
        <f t="shared" si="256"/>
        <v>0.3261640365267211</v>
      </c>
      <c r="EL40" s="210">
        <f t="shared" si="256"/>
        <v>0.32492202806877268</v>
      </c>
      <c r="EM40" s="210">
        <f t="shared" si="256"/>
        <v>0.32369410083234917</v>
      </c>
      <c r="EN40" s="210">
        <f t="shared" si="256"/>
        <v>0.32247999073734285</v>
      </c>
      <c r="EO40" s="210">
        <f t="shared" si="256"/>
        <v>0.32127944058564079</v>
      </c>
      <c r="EP40" s="210">
        <f t="shared" si="256"/>
        <v>0.32009219983223997</v>
      </c>
      <c r="EQ40" s="210">
        <f t="shared" si="256"/>
        <v>0.31891802436559824</v>
      </c>
      <c r="ER40" s="210">
        <f t="shared" si="256"/>
        <v>0.31775667629678422</v>
      </c>
      <c r="ES40" s="210">
        <f t="shared" si="256"/>
        <v>0.31660792375701169</v>
      </c>
      <c r="ET40" s="210">
        <f t="shared" si="256"/>
        <v>0.31547154070316796</v>
      </c>
      <c r="EU40" s="210">
        <f t="shared" si="256"/>
        <v>0.31434730673096573</v>
      </c>
      <c r="EV40" s="210">
        <f t="shared" si="256"/>
        <v>0.31323500689536754</v>
      </c>
      <c r="EW40" s="210">
        <f t="shared" si="256"/>
        <v>0.31213443153795106</v>
      </c>
      <c r="EX40" s="210">
        <f t="shared" si="256"/>
        <v>0.31104537612089966</v>
      </c>
      <c r="EY40" s="210">
        <f t="shared" si="256"/>
        <v>0.30996764106732067</v>
      </c>
      <c r="EZ40" s="210">
        <f t="shared" si="256"/>
        <v>0.30890103160760773</v>
      </c>
      <c r="FA40" s="210">
        <f t="shared" si="256"/>
        <v>0.30784535763157878</v>
      </c>
      <c r="FB40" s="210">
        <f t="shared" si="256"/>
        <v>0.30680043354613495</v>
      </c>
      <c r="FC40" s="210">
        <f t="shared" si="256"/>
        <v>0.30576607813819856</v>
      </c>
      <c r="FD40" s="210">
        <f t="shared" si="256"/>
        <v>0.30474211444269966</v>
      </c>
      <c r="FE40" s="210">
        <f t="shared" si="256"/>
        <v>0.30372836961539346</v>
      </c>
      <c r="FF40" s="210">
        <f t="shared" si="256"/>
        <v>0.30272467481030169</v>
      </c>
      <c r="FG40" s="210">
        <f t="shared" si="256"/>
        <v>0.30173086506157842</v>
      </c>
      <c r="FH40" s="210">
        <f t="shared" si="256"/>
        <v>0.30074677916961512</v>
      </c>
      <c r="FI40" s="210">
        <f t="shared" si="256"/>
        <v>0.29977225959120529</v>
      </c>
      <c r="FJ40" s="210">
        <f t="shared" si="256"/>
        <v>0.29880715233359839</v>
      </c>
      <c r="FK40" s="210">
        <f t="shared" si="256"/>
        <v>0.29785130685228239</v>
      </c>
      <c r="FL40" s="210">
        <f t="shared" si="256"/>
        <v>0.29690457595233966</v>
      </c>
      <c r="FM40" s="210">
        <f t="shared" si="256"/>
        <v>0.29596681569323058</v>
      </c>
      <c r="FN40" s="210">
        <f t="shared" si="256"/>
        <v>0.29503788529686437</v>
      </c>
      <c r="FO40" s="210">
        <f t="shared" ref="FO40:GH40" si="257">+$C$17/(1+$C$18*$C$19*FO36)^(1/$C$18)</f>
        <v>0.29411764705882354</v>
      </c>
      <c r="FP40" s="210">
        <f t="shared" si="257"/>
        <v>0.2932059662626163</v>
      </c>
      <c r="FQ40" s="210">
        <f t="shared" si="257"/>
        <v>0.29230271109683387</v>
      </c>
      <c r="FR40" s="210">
        <f t="shared" si="257"/>
        <v>0.29140775257509804</v>
      </c>
      <c r="FS40" s="210">
        <f t="shared" si="257"/>
        <v>0.29052096445868886</v>
      </c>
      <c r="FT40" s="210">
        <f t="shared" si="257"/>
        <v>0.28964222318174615</v>
      </c>
      <c r="FU40" s="210">
        <f t="shared" si="257"/>
        <v>0.288771407778945</v>
      </c>
      <c r="FV40" s="210">
        <f t="shared" si="257"/>
        <v>0.28790839981554917</v>
      </c>
      <c r="FW40" s="210">
        <f t="shared" si="257"/>
        <v>0.28705308331974955</v>
      </c>
      <c r="FX40" s="210">
        <f t="shared" si="257"/>
        <v>0.28620534471720127</v>
      </c>
      <c r="FY40" s="210">
        <f t="shared" si="257"/>
        <v>0.28536507276767481</v>
      </c>
      <c r="FZ40" s="210">
        <f t="shared" si="257"/>
        <v>0.28453215850374086</v>
      </c>
      <c r="GA40" s="210">
        <f t="shared" si="257"/>
        <v>0.28370649517141283</v>
      </c>
      <c r="GB40" s="210">
        <f t="shared" si="257"/>
        <v>0.28288797817267219</v>
      </c>
      <c r="GC40" s="210">
        <f t="shared" si="257"/>
        <v>0.28207650500980885</v>
      </c>
      <c r="GD40" s="210">
        <f t="shared" si="257"/>
        <v>0.28127197523150599</v>
      </c>
      <c r="GE40" s="210">
        <f t="shared" si="257"/>
        <v>0.28047429038060862</v>
      </c>
      <c r="GF40" s="210">
        <f t="shared" si="257"/>
        <v>0.27968335394351118</v>
      </c>
      <c r="GG40" s="210">
        <f t="shared" si="257"/>
        <v>0.27889907130110664</v>
      </c>
      <c r="GH40" s="210">
        <f t="shared" si="257"/>
        <v>0.27812134968124047</v>
      </c>
      <c r="GI40" s="210">
        <f t="shared" ref="GI40:IA40" si="258">+$C$17/(1+$C$18*$C$19*GI36)^(1/$C$18)</f>
        <v>0.27735009811261457</v>
      </c>
      <c r="GJ40" s="210">
        <f t="shared" si="258"/>
        <v>0.27658522738008978</v>
      </c>
      <c r="GK40" s="210">
        <f t="shared" si="258"/>
        <v>0.27582664998133694</v>
      </c>
      <c r="GL40" s="210">
        <f t="shared" si="258"/>
        <v>0.27507428008478846</v>
      </c>
      <c r="GM40" s="210">
        <f t="shared" si="258"/>
        <v>0.27432803348884471</v>
      </c>
      <c r="GN40" s="210">
        <f t="shared" si="258"/>
        <v>0.27358782758229139</v>
      </c>
      <c r="GO40" s="210">
        <f t="shared" si="258"/>
        <v>0.27285358130588522</v>
      </c>
      <c r="GP40" s="210">
        <f t="shared" si="258"/>
        <v>0.2721252151150676</v>
      </c>
      <c r="GQ40" s="210">
        <f t="shared" si="258"/>
        <v>0.27140265094376781</v>
      </c>
      <c r="GR40" s="210">
        <f t="shared" si="258"/>
        <v>0.27068581216925713</v>
      </c>
      <c r="GS40" s="210">
        <f t="shared" si="258"/>
        <v>0.26997462357801943</v>
      </c>
      <c r="GT40" s="210">
        <f t="shared" si="258"/>
        <v>0.26926901133260234</v>
      </c>
      <c r="GU40" s="210">
        <f t="shared" si="258"/>
        <v>0.26856890293941688</v>
      </c>
      <c r="GV40" s="210">
        <f t="shared" si="258"/>
        <v>0.26787422721745346</v>
      </c>
      <c r="GW40" s="210">
        <f t="shared" si="258"/>
        <v>0.26718491426788266</v>
      </c>
      <c r="GX40" s="210">
        <f t="shared" si="258"/>
        <v>0.26650089544451305</v>
      </c>
      <c r="GY40" s="210">
        <f t="shared" si="258"/>
        <v>0.26582210332507589</v>
      </c>
      <c r="GZ40" s="210">
        <f t="shared" si="258"/>
        <v>0.26514847168331085</v>
      </c>
      <c r="HA40" s="210">
        <f t="shared" si="258"/>
        <v>0.26447993546182563</v>
      </c>
      <c r="HB40" s="210">
        <f t="shared" si="258"/>
        <v>0.26381643074570454</v>
      </c>
      <c r="HC40" s="210">
        <f t="shared" si="258"/>
        <v>0.26315789473684209</v>
      </c>
      <c r="HD40" s="210">
        <f t="shared" si="258"/>
        <v>0.26250426572897745</v>
      </c>
      <c r="HE40" s="210">
        <f t="shared" si="258"/>
        <v>0.26185548308340756</v>
      </c>
      <c r="HF40" s="210">
        <f t="shared" si="258"/>
        <v>0.26121148720535803</v>
      </c>
      <c r="HG40" s="210">
        <f t="shared" si="258"/>
        <v>0.26057221952098908</v>
      </c>
      <c r="HH40" s="210">
        <f t="shared" si="258"/>
        <v>0.25993762245501817</v>
      </c>
      <c r="HI40" s="210">
        <f t="shared" si="258"/>
        <v>0.25930763940893931</v>
      </c>
      <c r="HJ40" s="210">
        <f t="shared" si="258"/>
        <v>0.25868221473981945</v>
      </c>
      <c r="HK40" s="210">
        <f t="shared" si="258"/>
        <v>0.25806129373965592</v>
      </c>
      <c r="HL40" s="210">
        <f t="shared" si="258"/>
        <v>0.25744482261527496</v>
      </c>
      <c r="HM40" s="210">
        <f t="shared" si="258"/>
        <v>0.25683274846875703</v>
      </c>
      <c r="HN40" s="210">
        <f t="shared" si="258"/>
        <v>0.25622501927837116</v>
      </c>
      <c r="HO40" s="210">
        <f t="shared" si="258"/>
        <v>0.25562158388000317</v>
      </c>
      <c r="HP40" s="210">
        <f t="shared" si="258"/>
        <v>0.25502239194906284</v>
      </c>
      <c r="HQ40" s="210">
        <f t="shared" si="258"/>
        <v>0.2544273939828558</v>
      </c>
      <c r="HR40" s="210">
        <f t="shared" si="258"/>
        <v>0.25383654128340477</v>
      </c>
      <c r="HS40" s="210">
        <f t="shared" si="258"/>
        <v>0.2532497859407089</v>
      </c>
      <c r="HT40" s="210">
        <f t="shared" si="258"/>
        <v>0.25266708081642569</v>
      </c>
      <c r="HU40" s="210">
        <f t="shared" si="258"/>
        <v>0.25208837952796448</v>
      </c>
      <c r="HV40" s="210">
        <f t="shared" si="258"/>
        <v>0.2515136364329793</v>
      </c>
      <c r="HW40" s="210">
        <f t="shared" si="258"/>
        <v>0.25094280661424778</v>
      </c>
      <c r="HX40" s="210">
        <f t="shared" si="258"/>
        <v>0.25037584586492712</v>
      </c>
      <c r="HY40" s="210">
        <f t="shared" si="258"/>
        <v>0.24981271067417374</v>
      </c>
      <c r="HZ40" s="210">
        <f t="shared" si="258"/>
        <v>0.24925335821311792</v>
      </c>
      <c r="IA40" s="210">
        <f t="shared" si="258"/>
        <v>0.24869774632118211</v>
      </c>
      <c r="IB40" s="210">
        <f t="shared" ref="IB40:IP40" si="259">+$C$17/(1+$C$18*$C$19*IB36)^(1/$C$18)</f>
        <v>0.24814583349273256</v>
      </c>
      <c r="IC40" s="210">
        <f t="shared" si="259"/>
        <v>0.24759757886405676</v>
      </c>
      <c r="ID40" s="210">
        <f t="shared" si="259"/>
        <v>0.24705294220065463</v>
      </c>
      <c r="IE40" s="210">
        <f t="shared" si="259"/>
        <v>0.24651188388483655</v>
      </c>
      <c r="IF40" s="210">
        <f t="shared" si="259"/>
        <v>0.24597436490361882</v>
      </c>
      <c r="IG40" s="210">
        <f t="shared" si="259"/>
        <v>0.24544034683690799</v>
      </c>
      <c r="IH40" s="210">
        <f t="shared" si="259"/>
        <v>0.24490979184596631</v>
      </c>
      <c r="II40" s="210">
        <f t="shared" si="259"/>
        <v>0.24438266266215022</v>
      </c>
      <c r="IJ40" s="210">
        <f t="shared" si="259"/>
        <v>0.24385892257591443</v>
      </c>
      <c r="IK40" s="210">
        <f t="shared" si="259"/>
        <v>0.24333853542607364</v>
      </c>
      <c r="IL40" s="210">
        <f t="shared" si="259"/>
        <v>0.24282146558931603</v>
      </c>
      <c r="IM40" s="210">
        <f t="shared" si="259"/>
        <v>0.24230767796996031</v>
      </c>
      <c r="IN40" s="210">
        <f t="shared" si="259"/>
        <v>0.24179713798995009</v>
      </c>
      <c r="IO40" s="210">
        <f t="shared" si="259"/>
        <v>0.24128981157907958</v>
      </c>
      <c r="IP40" s="210">
        <f t="shared" si="259"/>
        <v>0.24078566516544361</v>
      </c>
    </row>
    <row r="41" spans="3:250">
      <c r="C41" s="143"/>
      <c r="G41" s="123">
        <f t="shared" ref="G41:G44" si="260">SUMPRODUCT(K41:IP41,$K$38:$IP$38)/1000</f>
        <v>3.3609330000268289</v>
      </c>
      <c r="H41" s="204" t="s">
        <v>46</v>
      </c>
      <c r="I41" s="205" t="s">
        <v>12</v>
      </c>
      <c r="J41" s="206" t="s">
        <v>120</v>
      </c>
      <c r="K41" s="207">
        <f t="shared" ref="K41:BV41" si="261">K$40*$C$3</f>
        <v>4.9000000000000004</v>
      </c>
      <c r="L41" s="208">
        <f t="shared" si="261"/>
        <v>2.9283100928692645</v>
      </c>
      <c r="M41" s="208">
        <f t="shared" si="261"/>
        <v>2.2846367801887686</v>
      </c>
      <c r="N41" s="208">
        <f t="shared" si="261"/>
        <v>1.9368950668531322</v>
      </c>
      <c r="O41" s="208">
        <f t="shared" si="261"/>
        <v>1.7111542246354667</v>
      </c>
      <c r="P41" s="208">
        <f t="shared" si="261"/>
        <v>1.5495160534825057</v>
      </c>
      <c r="Q41" s="208">
        <f t="shared" si="261"/>
        <v>1.4264451488619758</v>
      </c>
      <c r="R41" s="208">
        <f t="shared" si="261"/>
        <v>1.3286990541392691</v>
      </c>
      <c r="S41" s="208">
        <f t="shared" si="261"/>
        <v>1.2486356190221823</v>
      </c>
      <c r="T41" s="208">
        <f t="shared" si="261"/>
        <v>1.1814949143175097</v>
      </c>
      <c r="U41" s="208">
        <f t="shared" si="261"/>
        <v>1.1241370959657526</v>
      </c>
      <c r="V41" s="208">
        <f t="shared" si="261"/>
        <v>1.0743960736511107</v>
      </c>
      <c r="W41" s="208">
        <f t="shared" si="261"/>
        <v>1.0307227466835944</v>
      </c>
      <c r="X41" s="208">
        <f t="shared" si="261"/>
        <v>0.991976004469172</v>
      </c>
      <c r="Y41" s="208">
        <f t="shared" si="261"/>
        <v>0.95729421482659027</v>
      </c>
      <c r="Z41" s="208">
        <f t="shared" si="261"/>
        <v>0.92601295887260671</v>
      </c>
      <c r="AA41" s="208">
        <f t="shared" si="261"/>
        <v>0.8976105491729568</v>
      </c>
      <c r="AB41" s="208">
        <f t="shared" si="261"/>
        <v>0.87167088203190446</v>
      </c>
      <c r="AC41" s="208">
        <f t="shared" si="261"/>
        <v>0.8478574617523289</v>
      </c>
      <c r="AD41" s="208">
        <f t="shared" si="261"/>
        <v>0.82589483151747156</v>
      </c>
      <c r="AE41" s="208">
        <f t="shared" si="261"/>
        <v>0.80555503779625071</v>
      </c>
      <c r="AF41" s="208">
        <f t="shared" si="261"/>
        <v>0.78664759135822093</v>
      </c>
      <c r="AG41" s="208">
        <f t="shared" si="261"/>
        <v>0.76901190520357199</v>
      </c>
      <c r="AH41" s="208">
        <f t="shared" si="261"/>
        <v>0.75251151812159023</v>
      </c>
      <c r="AI41" s="208">
        <f t="shared" si="261"/>
        <v>0.73702962605532885</v>
      </c>
      <c r="AJ41" s="208">
        <f t="shared" si="261"/>
        <v>0.72246558515899595</v>
      </c>
      <c r="AK41" s="208">
        <f t="shared" si="261"/>
        <v>0.70873214632195536</v>
      </c>
      <c r="AL41" s="208">
        <f t="shared" si="261"/>
        <v>0.69575324695265439</v>
      </c>
      <c r="AM41" s="208">
        <f t="shared" si="261"/>
        <v>0.68346223199829659</v>
      </c>
      <c r="AN41" s="208">
        <f t="shared" si="261"/>
        <v>0.67180040895617521</v>
      </c>
      <c r="AO41" s="208">
        <f t="shared" si="261"/>
        <v>0.66071586521397718</v>
      </c>
      <c r="AP41" s="208">
        <f t="shared" si="261"/>
        <v>0.65016249323198716</v>
      </c>
      <c r="AQ41" s="208">
        <f t="shared" si="261"/>
        <v>0.64009918173462599</v>
      </c>
      <c r="AR41" s="208">
        <f t="shared" si="261"/>
        <v>0.63048914050234894</v>
      </c>
      <c r="AS41" s="208">
        <f t="shared" si="261"/>
        <v>0.62129933344269272</v>
      </c>
      <c r="AT41" s="208">
        <f t="shared" si="261"/>
        <v>0.61250000000000004</v>
      </c>
      <c r="AU41" s="208">
        <f t="shared" si="261"/>
        <v>0.6040642490838839</v>
      </c>
      <c r="AV41" s="208">
        <f t="shared" si="261"/>
        <v>0.59596771287788686</v>
      </c>
      <c r="AW41" s="208">
        <f t="shared" si="261"/>
        <v>0.588188250364996</v>
      </c>
      <c r="AX41" s="208">
        <f t="shared" si="261"/>
        <v>0.58070569234647207</v>
      </c>
      <c r="AY41" s="208">
        <f t="shared" si="261"/>
        <v>0.57350162126103976</v>
      </c>
      <c r="AZ41" s="208">
        <f t="shared" si="261"/>
        <v>0.56655918032702823</v>
      </c>
      <c r="BA41" s="208">
        <f t="shared" si="261"/>
        <v>0.55986290750131174</v>
      </c>
      <c r="BB41" s="208">
        <f t="shared" si="261"/>
        <v>0.55339859052946638</v>
      </c>
      <c r="BC41" s="208">
        <f t="shared" si="261"/>
        <v>0.54715313999235282</v>
      </c>
      <c r="BD41" s="208">
        <f t="shared" si="261"/>
        <v>0.54111447776674804</v>
      </c>
      <c r="BE41" s="208">
        <f t="shared" si="261"/>
        <v>0.53527143873598526</v>
      </c>
      <c r="BF41" s="208">
        <f t="shared" si="261"/>
        <v>0.52961368392971819</v>
      </c>
      <c r="BG41" s="208">
        <f t="shared" si="261"/>
        <v>0.52413162355468368</v>
      </c>
      <c r="BH41" s="208">
        <f t="shared" si="261"/>
        <v>0.51881634861234283</v>
      </c>
      <c r="BI41" s="208">
        <f t="shared" si="261"/>
        <v>0.51365956999373996</v>
      </c>
      <c r="BJ41" s="208">
        <f t="shared" si="261"/>
        <v>0.5086535641041573</v>
      </c>
      <c r="BK41" s="208">
        <f t="shared" si="261"/>
        <v>0.50379112420600725</v>
      </c>
      <c r="BL41" s="208">
        <f t="shared" si="261"/>
        <v>0.49906551678261019</v>
      </c>
      <c r="BM41" s="208">
        <f t="shared" si="261"/>
        <v>0.49447044232182269</v>
      </c>
      <c r="BN41" s="208">
        <f t="shared" si="261"/>
        <v>0.49</v>
      </c>
      <c r="BO41" s="208">
        <f t="shared" si="261"/>
        <v>0.48564865581598626</v>
      </c>
      <c r="BP41" s="208">
        <f t="shared" si="261"/>
        <v>0.48141121378376378</v>
      </c>
      <c r="BQ41" s="208">
        <f t="shared" si="261"/>
        <v>0.47728278984274708</v>
      </c>
      <c r="BR41" s="208">
        <f t="shared" si="261"/>
        <v>0.47325878818783162</v>
      </c>
      <c r="BS41" s="208">
        <f t="shared" si="261"/>
        <v>0.46933487975836413</v>
      </c>
      <c r="BT41" s="208">
        <f t="shared" si="261"/>
        <v>0.4655069826571101</v>
      </c>
      <c r="BU41" s="208">
        <f t="shared" si="261"/>
        <v>0.46177124429785654</v>
      </c>
      <c r="BV41" s="208">
        <f t="shared" si="261"/>
        <v>0.45812402510414402</v>
      </c>
      <c r="BW41" s="208">
        <f t="shared" ref="BW41:EH41" si="262">BW$40*$C$3</f>
        <v>0.45456188360232797</v>
      </c>
      <c r="BX41" s="208">
        <f t="shared" si="262"/>
        <v>0.45108156277017847</v>
      </c>
      <c r="BY41" s="208">
        <f t="shared" si="262"/>
        <v>0.44767997751792599</v>
      </c>
      <c r="BZ41" s="208">
        <f t="shared" si="262"/>
        <v>0.44435420319238206</v>
      </c>
      <c r="CA41" s="208">
        <f t="shared" si="262"/>
        <v>0.4411014650067695</v>
      </c>
      <c r="CB41" s="208">
        <f t="shared" si="262"/>
        <v>0.43791912830943697</v>
      </c>
      <c r="CC41" s="208">
        <f t="shared" si="262"/>
        <v>0.43480468961389579</v>
      </c>
      <c r="CD41" s="208">
        <f t="shared" si="262"/>
        <v>0.43175576832077284</v>
      </c>
      <c r="CE41" s="208">
        <f t="shared" si="262"/>
        <v>0.42877009906947688</v>
      </c>
      <c r="CF41" s="208">
        <f t="shared" si="262"/>
        <v>0.42584552466373637</v>
      </c>
      <c r="CG41" s="208">
        <f t="shared" si="262"/>
        <v>0.42297998952080734</v>
      </c>
      <c r="CH41" s="208">
        <f t="shared" si="262"/>
        <v>0.42017153359914661</v>
      </c>
      <c r="CI41" s="208">
        <f t="shared" si="262"/>
        <v>0.41741828676379111</v>
      </c>
      <c r="CJ41" s="208">
        <f t="shared" si="262"/>
        <v>0.41471846355263869</v>
      </c>
      <c r="CK41" s="208">
        <f t="shared" si="262"/>
        <v>0.41207035831034944</v>
      </c>
      <c r="CL41" s="208">
        <f t="shared" si="262"/>
        <v>0.40947234065973631</v>
      </c>
      <c r="CM41" s="208">
        <f t="shared" si="262"/>
        <v>0.40692285128332584</v>
      </c>
      <c r="CN41" s="208">
        <f t="shared" si="262"/>
        <v>0.40442039799029261</v>
      </c>
      <c r="CO41" s="208">
        <f t="shared" si="262"/>
        <v>0.4019635520462278</v>
      </c>
      <c r="CP41" s="208">
        <f t="shared" si="262"/>
        <v>0.39955094474523328</v>
      </c>
      <c r="CQ41" s="208">
        <f t="shared" si="262"/>
        <v>0.39718126420565869</v>
      </c>
      <c r="CR41" s="208">
        <f t="shared" si="262"/>
        <v>0.39485325237243629</v>
      </c>
      <c r="CS41" s="208">
        <f t="shared" si="262"/>
        <v>0.39256570221045767</v>
      </c>
      <c r="CT41" s="208">
        <f t="shared" si="262"/>
        <v>0.39031745507476429</v>
      </c>
      <c r="CU41" s="208">
        <f t="shared" si="262"/>
        <v>0.38810739824453944</v>
      </c>
      <c r="CV41" s="208">
        <f t="shared" si="262"/>
        <v>0.38593446260897768</v>
      </c>
      <c r="CW41" s="208">
        <f t="shared" si="262"/>
        <v>0.3837976204940991</v>
      </c>
      <c r="CX41" s="208">
        <f t="shared" si="262"/>
        <v>0.38169588362047546</v>
      </c>
      <c r="CY41" s="208">
        <f t="shared" si="262"/>
        <v>0.37962830118264834</v>
      </c>
      <c r="CZ41" s="208">
        <f t="shared" si="262"/>
        <v>0.37759395804176171</v>
      </c>
      <c r="DA41" s="208">
        <f t="shared" si="262"/>
        <v>0.37559197302360575</v>
      </c>
      <c r="DB41" s="208">
        <f t="shared" si="262"/>
        <v>0.37362149731488148</v>
      </c>
      <c r="DC41" s="208">
        <f t="shared" si="262"/>
        <v>0.37168171295105767</v>
      </c>
      <c r="DD41" s="208">
        <f t="shared" si="262"/>
        <v>0.36977183138970149</v>
      </c>
      <c r="DE41" s="208">
        <f t="shared" si="262"/>
        <v>0.36789109216362981</v>
      </c>
      <c r="DF41" s="208">
        <f t="shared" si="262"/>
        <v>0.36603876160865806</v>
      </c>
      <c r="DG41" s="208">
        <f t="shared" si="262"/>
        <v>0.36421413166111155</v>
      </c>
      <c r="DH41" s="208">
        <f t="shared" si="262"/>
        <v>0.36241651872062269</v>
      </c>
      <c r="DI41" s="208">
        <f t="shared" si="262"/>
        <v>0.36064526257406748</v>
      </c>
      <c r="DJ41" s="208">
        <f t="shared" si="262"/>
        <v>0.35889972537679166</v>
      </c>
      <c r="DK41" s="208">
        <f t="shared" si="262"/>
        <v>0.35717929068755938</v>
      </c>
      <c r="DL41" s="208">
        <f t="shared" si="262"/>
        <v>0.35548336255390572</v>
      </c>
      <c r="DM41" s="208">
        <f t="shared" si="262"/>
        <v>0.35381136464481294</v>
      </c>
      <c r="DN41" s="208">
        <f t="shared" si="262"/>
        <v>0.35216273942784226</v>
      </c>
      <c r="DO41" s="208">
        <f t="shared" si="262"/>
        <v>0.35053694738805363</v>
      </c>
      <c r="DP41" s="208">
        <f t="shared" si="262"/>
        <v>0.34893346628622957</v>
      </c>
      <c r="DQ41" s="208">
        <f t="shared" si="262"/>
        <v>0.34735179045408454</v>
      </c>
      <c r="DR41" s="208">
        <f t="shared" si="262"/>
        <v>0.34579143012430247</v>
      </c>
      <c r="DS41" s="208">
        <f t="shared" si="262"/>
        <v>0.34425191079338452</v>
      </c>
      <c r="DT41" s="208">
        <f t="shared" si="262"/>
        <v>0.34273277261542634</v>
      </c>
      <c r="DU41" s="208">
        <f t="shared" si="262"/>
        <v>0.34123356982506531</v>
      </c>
      <c r="DV41" s="208">
        <f t="shared" si="262"/>
        <v>0.33975387018795289</v>
      </c>
      <c r="DW41" s="208">
        <f t="shared" si="262"/>
        <v>0.33829325447721464</v>
      </c>
      <c r="DX41" s="208">
        <f t="shared" si="262"/>
        <v>0.33685131597445783</v>
      </c>
      <c r="DY41" s="208">
        <f t="shared" si="262"/>
        <v>0.33542765999397645</v>
      </c>
      <c r="DZ41" s="208">
        <f t="shared" si="262"/>
        <v>0.33402190342889221</v>
      </c>
      <c r="EA41" s="208">
        <f t="shared" si="262"/>
        <v>0.33263367431804403</v>
      </c>
      <c r="EB41" s="208">
        <f t="shared" si="262"/>
        <v>0.33126261143251517</v>
      </c>
      <c r="EC41" s="208">
        <f t="shared" si="262"/>
        <v>0.32990836388075534</v>
      </c>
      <c r="ED41" s="208">
        <f t="shared" si="262"/>
        <v>0.32857059073131484</v>
      </c>
      <c r="EE41" s="208">
        <f t="shared" si="262"/>
        <v>0.32724896065227294</v>
      </c>
      <c r="EF41" s="208">
        <f t="shared" si="262"/>
        <v>0.32594315156649228</v>
      </c>
      <c r="EG41" s="208">
        <f t="shared" si="262"/>
        <v>0.32465285032188562</v>
      </c>
      <c r="EH41" s="208">
        <f t="shared" si="262"/>
        <v>0.32337775237592847</v>
      </c>
      <c r="EI41" s="208">
        <f t="shared" ref="EI41:GT41" si="263">EI$40*$C$3</f>
        <v>0.32211756149369564</v>
      </c>
      <c r="EJ41" s="208">
        <f t="shared" si="263"/>
        <v>0.3208719894587419</v>
      </c>
      <c r="EK41" s="208">
        <f t="shared" si="263"/>
        <v>0.31964075579618667</v>
      </c>
      <c r="EL41" s="208">
        <f t="shared" si="263"/>
        <v>0.31842358750739724</v>
      </c>
      <c r="EM41" s="208">
        <f t="shared" si="263"/>
        <v>0.31722021881570217</v>
      </c>
      <c r="EN41" s="208">
        <f t="shared" si="263"/>
        <v>0.31603039092259599</v>
      </c>
      <c r="EO41" s="208">
        <f t="shared" si="263"/>
        <v>0.31485385177392794</v>
      </c>
      <c r="EP41" s="208">
        <f t="shared" si="263"/>
        <v>0.31369035583559518</v>
      </c>
      <c r="EQ41" s="208">
        <f t="shared" si="263"/>
        <v>0.31253966387828624</v>
      </c>
      <c r="ER41" s="208">
        <f t="shared" si="263"/>
        <v>0.31140154277084853</v>
      </c>
      <c r="ES41" s="208">
        <f t="shared" si="263"/>
        <v>0.31027576528187145</v>
      </c>
      <c r="ET41" s="208">
        <f t="shared" si="263"/>
        <v>0.30916210988910459</v>
      </c>
      <c r="EU41" s="208">
        <f t="shared" si="263"/>
        <v>0.30806036059634639</v>
      </c>
      <c r="EV41" s="208">
        <f t="shared" si="263"/>
        <v>0.30697030675746018</v>
      </c>
      <c r="EW41" s="208">
        <f t="shared" si="263"/>
        <v>0.30589174290719201</v>
      </c>
      <c r="EX41" s="208">
        <f t="shared" si="263"/>
        <v>0.30482446859848167</v>
      </c>
      <c r="EY41" s="208">
        <f t="shared" si="263"/>
        <v>0.30376828824597424</v>
      </c>
      <c r="EZ41" s="208">
        <f t="shared" si="263"/>
        <v>0.30272301097545556</v>
      </c>
      <c r="FA41" s="208">
        <f t="shared" si="263"/>
        <v>0.30168845047894721</v>
      </c>
      <c r="FB41" s="208">
        <f t="shared" si="263"/>
        <v>0.30066442487521228</v>
      </c>
      <c r="FC41" s="208">
        <f t="shared" si="263"/>
        <v>0.29965075657543461</v>
      </c>
      <c r="FD41" s="208">
        <f t="shared" si="263"/>
        <v>0.29864727215384568</v>
      </c>
      <c r="FE41" s="208">
        <f t="shared" si="263"/>
        <v>0.29765380222308557</v>
      </c>
      <c r="FF41" s="208">
        <f t="shared" si="263"/>
        <v>0.29667018131409567</v>
      </c>
      <c r="FG41" s="208">
        <f t="shared" si="263"/>
        <v>0.29569624776034686</v>
      </c>
      <c r="FH41" s="208">
        <f t="shared" si="263"/>
        <v>0.29473184358622279</v>
      </c>
      <c r="FI41" s="208">
        <f t="shared" si="263"/>
        <v>0.29377681439938119</v>
      </c>
      <c r="FJ41" s="208">
        <f t="shared" si="263"/>
        <v>0.2928310092869264</v>
      </c>
      <c r="FK41" s="208">
        <f t="shared" si="263"/>
        <v>0.29189428071523676</v>
      </c>
      <c r="FL41" s="208">
        <f t="shared" si="263"/>
        <v>0.29096648443329287</v>
      </c>
      <c r="FM41" s="208">
        <f t="shared" si="263"/>
        <v>0.29004747937936598</v>
      </c>
      <c r="FN41" s="208">
        <f t="shared" si="263"/>
        <v>0.28913712759092708</v>
      </c>
      <c r="FO41" s="208">
        <f t="shared" si="263"/>
        <v>0.28823529411764709</v>
      </c>
      <c r="FP41" s="208">
        <f t="shared" si="263"/>
        <v>0.28734184693736398</v>
      </c>
      <c r="FQ41" s="208">
        <f t="shared" si="263"/>
        <v>0.28645665687489719</v>
      </c>
      <c r="FR41" s="208">
        <f t="shared" si="263"/>
        <v>0.28557959752359607</v>
      </c>
      <c r="FS41" s="208">
        <f t="shared" si="263"/>
        <v>0.28471054516951505</v>
      </c>
      <c r="FT41" s="208">
        <f t="shared" si="263"/>
        <v>0.28384937871811122</v>
      </c>
      <c r="FU41" s="208">
        <f t="shared" si="263"/>
        <v>0.28299597962336609</v>
      </c>
      <c r="FV41" s="208">
        <f t="shared" si="263"/>
        <v>0.28215023181923815</v>
      </c>
      <c r="FW41" s="208">
        <f t="shared" si="263"/>
        <v>0.28131202165335456</v>
      </c>
      <c r="FX41" s="208">
        <f t="shared" si="263"/>
        <v>0.28048123782285722</v>
      </c>
      <c r="FY41" s="208">
        <f t="shared" si="263"/>
        <v>0.27965777131232133</v>
      </c>
      <c r="FZ41" s="208">
        <f t="shared" si="263"/>
        <v>0.27884151533366602</v>
      </c>
      <c r="GA41" s="208">
        <f t="shared" si="263"/>
        <v>0.27803236526798458</v>
      </c>
      <c r="GB41" s="208">
        <f t="shared" si="263"/>
        <v>0.27723021860921876</v>
      </c>
      <c r="GC41" s="208">
        <f t="shared" si="263"/>
        <v>0.27643497490961266</v>
      </c>
      <c r="GD41" s="208">
        <f t="shared" si="263"/>
        <v>0.27564653572687586</v>
      </c>
      <c r="GE41" s="208">
        <f t="shared" si="263"/>
        <v>0.27486480457299645</v>
      </c>
      <c r="GF41" s="208">
        <f t="shared" si="263"/>
        <v>0.27408968686464097</v>
      </c>
      <c r="GG41" s="208">
        <f t="shared" si="263"/>
        <v>0.27332108987508452</v>
      </c>
      <c r="GH41" s="208">
        <f t="shared" si="263"/>
        <v>0.27255892268761567</v>
      </c>
      <c r="GI41" s="208">
        <f t="shared" si="263"/>
        <v>0.2718030961503623</v>
      </c>
      <c r="GJ41" s="208">
        <f t="shared" si="263"/>
        <v>0.27105352283248796</v>
      </c>
      <c r="GK41" s="208">
        <f t="shared" si="263"/>
        <v>0.2703101169817102</v>
      </c>
      <c r="GL41" s="208">
        <f t="shared" si="263"/>
        <v>0.26957279448309268</v>
      </c>
      <c r="GM41" s="208">
        <f t="shared" si="263"/>
        <v>0.26884147281906784</v>
      </c>
      <c r="GN41" s="208">
        <f t="shared" si="263"/>
        <v>0.26811607103064555</v>
      </c>
      <c r="GO41" s="208">
        <f t="shared" si="263"/>
        <v>0.26739650967976752</v>
      </c>
      <c r="GP41" s="208">
        <f t="shared" si="263"/>
        <v>0.26668271081276623</v>
      </c>
      <c r="GQ41" s="208">
        <f t="shared" si="263"/>
        <v>0.26597459792489248</v>
      </c>
      <c r="GR41" s="208">
        <f t="shared" si="263"/>
        <v>0.26527209592587198</v>
      </c>
      <c r="GS41" s="208">
        <f t="shared" si="263"/>
        <v>0.26457513110645903</v>
      </c>
      <c r="GT41" s="208">
        <f t="shared" si="263"/>
        <v>0.26388363110595031</v>
      </c>
      <c r="GU41" s="208">
        <f t="shared" ref="GU41:IP41" si="264">GU$40*$C$3</f>
        <v>0.26319752488062853</v>
      </c>
      <c r="GV41" s="208">
        <f t="shared" si="264"/>
        <v>0.26251674267310438</v>
      </c>
      <c r="GW41" s="208">
        <f t="shared" si="264"/>
        <v>0.26184121598252502</v>
      </c>
      <c r="GX41" s="208">
        <f t="shared" si="264"/>
        <v>0.26117087753562279</v>
      </c>
      <c r="GY41" s="208">
        <f t="shared" si="264"/>
        <v>0.26050566125857438</v>
      </c>
      <c r="GZ41" s="208">
        <f t="shared" si="264"/>
        <v>0.25984550224964464</v>
      </c>
      <c r="HA41" s="208">
        <f t="shared" si="264"/>
        <v>0.25919033675258912</v>
      </c>
      <c r="HB41" s="208">
        <f t="shared" si="264"/>
        <v>0.25854010213079043</v>
      </c>
      <c r="HC41" s="208">
        <f t="shared" si="264"/>
        <v>0.25789473684210523</v>
      </c>
      <c r="HD41" s="208">
        <f t="shared" si="264"/>
        <v>0.2572541804143979</v>
      </c>
      <c r="HE41" s="208">
        <f t="shared" si="264"/>
        <v>0.25661837342173938</v>
      </c>
      <c r="HF41" s="208">
        <f t="shared" si="264"/>
        <v>0.25598725746125084</v>
      </c>
      <c r="HG41" s="208">
        <f t="shared" si="264"/>
        <v>0.25536077513056932</v>
      </c>
      <c r="HH41" s="208">
        <f t="shared" si="264"/>
        <v>0.25473887000591783</v>
      </c>
      <c r="HI41" s="208">
        <f t="shared" si="264"/>
        <v>0.25412148662076051</v>
      </c>
      <c r="HJ41" s="208">
        <f t="shared" si="264"/>
        <v>0.25350857044502306</v>
      </c>
      <c r="HK41" s="208">
        <f t="shared" si="264"/>
        <v>0.2529000678648628</v>
      </c>
      <c r="HL41" s="208">
        <f t="shared" si="264"/>
        <v>0.25229592616296947</v>
      </c>
      <c r="HM41" s="208">
        <f t="shared" si="264"/>
        <v>0.25169609349938188</v>
      </c>
      <c r="HN41" s="208">
        <f t="shared" si="264"/>
        <v>0.25110051889280371</v>
      </c>
      <c r="HO41" s="208">
        <f t="shared" si="264"/>
        <v>0.25050915220240311</v>
      </c>
      <c r="HP41" s="208">
        <f t="shared" si="264"/>
        <v>0.24992194411008159</v>
      </c>
      <c r="HQ41" s="208">
        <f t="shared" si="264"/>
        <v>0.24933884610319867</v>
      </c>
      <c r="HR41" s="208">
        <f t="shared" si="264"/>
        <v>0.24875981045773668</v>
      </c>
      <c r="HS41" s="208">
        <f t="shared" si="264"/>
        <v>0.24818479022189471</v>
      </c>
      <c r="HT41" s="208">
        <f t="shared" si="264"/>
        <v>0.24761373920009719</v>
      </c>
      <c r="HU41" s="208">
        <f t="shared" si="264"/>
        <v>0.24704661193740518</v>
      </c>
      <c r="HV41" s="208">
        <f t="shared" si="264"/>
        <v>0.24648336370431972</v>
      </c>
      <c r="HW41" s="208">
        <f t="shared" si="264"/>
        <v>0.24592395048196283</v>
      </c>
      <c r="HX41" s="208">
        <f t="shared" si="264"/>
        <v>0.24536832894762856</v>
      </c>
      <c r="HY41" s="208">
        <f t="shared" si="264"/>
        <v>0.24481645646069025</v>
      </c>
      <c r="HZ41" s="208">
        <f t="shared" si="264"/>
        <v>0.24426829104885556</v>
      </c>
      <c r="IA41" s="208">
        <f t="shared" si="264"/>
        <v>0.24372379139475847</v>
      </c>
      <c r="IB41" s="208">
        <f t="shared" si="264"/>
        <v>0.2431829168228779</v>
      </c>
      <c r="IC41" s="208">
        <f t="shared" si="264"/>
        <v>0.24264562728677561</v>
      </c>
      <c r="ID41" s="208">
        <f t="shared" si="264"/>
        <v>0.24211188335664152</v>
      </c>
      <c r="IE41" s="208">
        <f t="shared" si="264"/>
        <v>0.24158164620713982</v>
      </c>
      <c r="IF41" s="208">
        <f t="shared" si="264"/>
        <v>0.24105487760554645</v>
      </c>
      <c r="IG41" s="208">
        <f t="shared" si="264"/>
        <v>0.24053153990016982</v>
      </c>
      <c r="IH41" s="208">
        <f t="shared" si="264"/>
        <v>0.24001159600904698</v>
      </c>
      <c r="II41" s="208">
        <f t="shared" si="264"/>
        <v>0.23949500940890722</v>
      </c>
      <c r="IJ41" s="208">
        <f t="shared" si="264"/>
        <v>0.23898174412439613</v>
      </c>
      <c r="IK41" s="208">
        <f t="shared" si="264"/>
        <v>0.23847176471755216</v>
      </c>
      <c r="IL41" s="208">
        <f t="shared" si="264"/>
        <v>0.23796503627752971</v>
      </c>
      <c r="IM41" s="208">
        <f t="shared" si="264"/>
        <v>0.23746152441056109</v>
      </c>
      <c r="IN41" s="208">
        <f t="shared" si="264"/>
        <v>0.23696119523015108</v>
      </c>
      <c r="IO41" s="208">
        <f t="shared" si="264"/>
        <v>0.23646401534749797</v>
      </c>
      <c r="IP41" s="208">
        <f t="shared" si="264"/>
        <v>0.23596995186213474</v>
      </c>
    </row>
    <row r="42" spans="3:250">
      <c r="C42" s="143"/>
      <c r="G42" s="124">
        <f t="shared" si="260"/>
        <v>57.212100152609771</v>
      </c>
      <c r="H42" s="202" t="s">
        <v>65</v>
      </c>
      <c r="I42" s="47" t="s">
        <v>15</v>
      </c>
      <c r="J42" s="48" t="s">
        <v>63</v>
      </c>
      <c r="K42" s="37">
        <f>$C$4*K$40</f>
        <v>125</v>
      </c>
      <c r="L42" s="38">
        <f t="shared" ref="L42:BW42" si="265">L$40*((K$42/K$40)*($C$5/$C$4)^(1/239))</f>
        <v>74.257058012382743</v>
      </c>
      <c r="M42" s="38">
        <f t="shared" si="265"/>
        <v>57.589668729145259</v>
      </c>
      <c r="N42" s="38">
        <f t="shared" si="265"/>
        <v>48.533347922589037</v>
      </c>
      <c r="O42" s="38">
        <f t="shared" si="265"/>
        <v>42.621629859758258</v>
      </c>
      <c r="P42" s="38">
        <f t="shared" si="265"/>
        <v>38.365752516593794</v>
      </c>
      <c r="Q42" s="38">
        <f t="shared" si="265"/>
        <v>35.108272368643085</v>
      </c>
      <c r="R42" s="38">
        <f t="shared" si="265"/>
        <v>32.507812788757064</v>
      </c>
      <c r="S42" s="38">
        <f t="shared" si="265"/>
        <v>30.367118582774804</v>
      </c>
      <c r="T42" s="38">
        <f t="shared" si="265"/>
        <v>28.563173896476325</v>
      </c>
      <c r="U42" s="38">
        <f t="shared" si="265"/>
        <v>27.014729824755126</v>
      </c>
      <c r="V42" s="38">
        <f t="shared" si="265"/>
        <v>25.665663920768004</v>
      </c>
      <c r="W42" s="38">
        <f t="shared" si="265"/>
        <v>24.47578854966152</v>
      </c>
      <c r="X42" s="38">
        <f t="shared" si="265"/>
        <v>23.41546251374384</v>
      </c>
      <c r="Y42" s="38">
        <f t="shared" si="265"/>
        <v>22.462275507270132</v>
      </c>
      <c r="Z42" s="38">
        <f t="shared" si="265"/>
        <v>21.598924247715622</v>
      </c>
      <c r="AA42" s="38">
        <f t="shared" si="265"/>
        <v>20.81180492725991</v>
      </c>
      <c r="AB42" s="38">
        <f t="shared" si="265"/>
        <v>20.090052832474441</v>
      </c>
      <c r="AC42" s="38">
        <f t="shared" si="265"/>
        <v>19.42487032930558</v>
      </c>
      <c r="AD42" s="38">
        <f t="shared" si="265"/>
        <v>18.809046131711291</v>
      </c>
      <c r="AE42" s="38">
        <f t="shared" si="265"/>
        <v>18.23660463944622</v>
      </c>
      <c r="AF42" s="38">
        <f t="shared" si="265"/>
        <v>17.70254568114893</v>
      </c>
      <c r="AG42" s="38">
        <f t="shared" si="265"/>
        <v>17.202648334483431</v>
      </c>
      <c r="AH42" s="38">
        <f t="shared" si="265"/>
        <v>16.733320966006243</v>
      </c>
      <c r="AI42" s="38">
        <f t="shared" si="265"/>
        <v>16.291485141773009</v>
      </c>
      <c r="AJ42" s="38">
        <f t="shared" si="265"/>
        <v>15.87448471793032</v>
      </c>
      <c r="AK42" s="38">
        <f t="shared" si="265"/>
        <v>15.480013896904049</v>
      </c>
      <c r="AL42" s="38">
        <f t="shared" si="265"/>
        <v>15.106059740499907</v>
      </c>
      <c r="AM42" s="38">
        <f t="shared" si="265"/>
        <v>14.750855824913289</v>
      </c>
      <c r="AN42" s="38">
        <f t="shared" si="265"/>
        <v>14.412844570263118</v>
      </c>
      <c r="AO42" s="38">
        <f t="shared" si="265"/>
        <v>14.090646387276097</v>
      </c>
      <c r="AP42" s="38">
        <f t="shared" si="265"/>
        <v>13.783034228235824</v>
      </c>
      <c r="AQ42" s="38">
        <f t="shared" si="265"/>
        <v>13.488912456932447</v>
      </c>
      <c r="AR42" s="38">
        <f t="shared" si="265"/>
        <v>13.207299196422825</v>
      </c>
      <c r="AS42" s="38">
        <f t="shared" si="265"/>
        <v>12.93731149706286</v>
      </c>
      <c r="AT42" s="38">
        <f t="shared" si="265"/>
        <v>12.678152806751701</v>
      </c>
      <c r="AU42" s="38">
        <f t="shared" si="265"/>
        <v>12.429102332183465</v>
      </c>
      <c r="AV42" s="38">
        <f t="shared" si="265"/>
        <v>12.189505962437323</v>
      </c>
      <c r="AW42" s="38">
        <f t="shared" si="265"/>
        <v>11.958768490478539</v>
      </c>
      <c r="AX42" s="38">
        <f t="shared" si="265"/>
        <v>11.736346918508987</v>
      </c>
      <c r="AY42" s="38">
        <f t="shared" si="265"/>
        <v>11.521744672863669</v>
      </c>
      <c r="AZ42" s="38">
        <f t="shared" si="265"/>
        <v>11.314506585737009</v>
      </c>
      <c r="BA42" s="38">
        <f t="shared" si="265"/>
        <v>11.114214526272644</v>
      </c>
      <c r="BB42" s="38">
        <f t="shared" si="265"/>
        <v>10.920483583851295</v>
      </c>
      <c r="BC42" s="38">
        <f t="shared" si="265"/>
        <v>10.732958722823687</v>
      </c>
      <c r="BD42" s="38">
        <f t="shared" si="265"/>
        <v>10.551311841273375</v>
      </c>
      <c r="BE42" s="38">
        <f t="shared" si="265"/>
        <v>10.375239177287895</v>
      </c>
      <c r="BF42" s="38">
        <f t="shared" si="265"/>
        <v>10.204459015156454</v>
      </c>
      <c r="BG42" s="38">
        <f t="shared" si="265"/>
        <v>10.03870965128141</v>
      </c>
      <c r="BH42" s="38">
        <f t="shared" si="265"/>
        <v>9.8777475856922976</v>
      </c>
      <c r="BI42" s="38">
        <f t="shared" si="265"/>
        <v>9.7213459101231408</v>
      </c>
      <c r="BJ42" s="38">
        <f t="shared" si="265"/>
        <v>9.5692928678475901</v>
      </c>
      <c r="BK42" s="38">
        <f t="shared" si="265"/>
        <v>9.421390564013155</v>
      </c>
      <c r="BL42" s="38">
        <f t="shared" si="265"/>
        <v>9.277453808198473</v>
      </c>
      <c r="BM42" s="38">
        <f t="shared" si="265"/>
        <v>9.1373090734341336</v>
      </c>
      <c r="BN42" s="38">
        <f t="shared" si="265"/>
        <v>9.0007935580583904</v>
      </c>
      <c r="BO42" s="38">
        <f t="shared" si="265"/>
        <v>8.8677543385888065</v>
      </c>
      <c r="BP42" s="38">
        <f t="shared" si="265"/>
        <v>8.738047603332868</v>
      </c>
      <c r="BQ42" s="38">
        <f t="shared" si="265"/>
        <v>8.6115379577783191</v>
      </c>
      <c r="BR42" s="38">
        <f t="shared" si="265"/>
        <v>8.4880977939332016</v>
      </c>
      <c r="BS42" s="38">
        <f t="shared" si="265"/>
        <v>8.3676067167561623</v>
      </c>
      <c r="BT42" s="38">
        <f t="shared" si="265"/>
        <v>8.2499510216537804</v>
      </c>
      <c r="BU42" s="38">
        <f t="shared" si="265"/>
        <v>8.1350232177442816</v>
      </c>
      <c r="BV42" s="38">
        <f t="shared" si="265"/>
        <v>8.0227215922125943</v>
      </c>
      <c r="BW42" s="38">
        <f t="shared" si="265"/>
        <v>7.9129498116250829</v>
      </c>
      <c r="BX42" s="38">
        <f t="shared" ref="BX42:EI42" si="266">BX$40*((BW$42/BW$40)*($C$5/$C$4)^(1/239))</f>
        <v>7.8056165565449502</v>
      </c>
      <c r="BY42" s="38">
        <f t="shared" si="266"/>
        <v>7.7006351862015956</v>
      </c>
      <c r="BZ42" s="38">
        <f t="shared" si="266"/>
        <v>7.5979234303276515</v>
      </c>
      <c r="CA42" s="38">
        <f t="shared" si="266"/>
        <v>7.4974031055930261</v>
      </c>
      <c r="CB42" s="38">
        <f t="shared" si="266"/>
        <v>7.3989998543423772</v>
      </c>
      <c r="CC42" s="38">
        <f t="shared" si="266"/>
        <v>7.302642903586098</v>
      </c>
      <c r="CD42" s="38">
        <f t="shared" si="266"/>
        <v>7.2082648424096103</v>
      </c>
      <c r="CE42" s="38">
        <f t="shared" si="266"/>
        <v>7.1158014161553007</v>
      </c>
      <c r="CF42" s="38">
        <f t="shared" si="266"/>
        <v>7.0251913358990867</v>
      </c>
      <c r="CG42" s="38">
        <f t="shared" si="266"/>
        <v>6.9363761018921197</v>
      </c>
      <c r="CH42" s="38">
        <f t="shared" si="266"/>
        <v>6.8492998397699481</v>
      </c>
      <c r="CI42" s="38">
        <f t="shared" si="266"/>
        <v>6.7639091484486311</v>
      </c>
      <c r="CJ42" s="38">
        <f t="shared" si="266"/>
        <v>6.6801529587316821</v>
      </c>
      <c r="CK42" s="38">
        <f t="shared" si="266"/>
        <v>6.597982401744706</v>
      </c>
      <c r="CL42" s="38">
        <f t="shared" si="266"/>
        <v>6.517350686397771</v>
      </c>
      <c r="CM42" s="38">
        <f t="shared" si="266"/>
        <v>6.438212985149864</v>
      </c>
      <c r="CN42" s="38">
        <f t="shared" si="266"/>
        <v>6.360526327416423</v>
      </c>
      <c r="CO42" s="38">
        <f t="shared" si="266"/>
        <v>6.2842495000206471</v>
      </c>
      <c r="CP42" s="38">
        <f t="shared" si="266"/>
        <v>6.2093429541429908</v>
      </c>
      <c r="CQ42" s="38">
        <f t="shared" si="266"/>
        <v>6.1357687182715575</v>
      </c>
      <c r="CR42" s="38">
        <f t="shared" si="266"/>
        <v>6.0634903166995251</v>
      </c>
      <c r="CS42" s="38">
        <f t="shared" si="266"/>
        <v>5.9924726931550669</v>
      </c>
      <c r="CT42" s="38">
        <f t="shared" si="266"/>
        <v>5.9226821391845634</v>
      </c>
      <c r="CU42" s="38">
        <f t="shared" si="266"/>
        <v>5.8540862269419769</v>
      </c>
      <c r="CV42" s="38">
        <f t="shared" si="266"/>
        <v>5.7866537460662579</v>
      </c>
      <c r="CW42" s="38">
        <f t="shared" si="266"/>
        <v>5.7203546443548685</v>
      </c>
      <c r="CX42" s="38">
        <f t="shared" si="266"/>
        <v>5.6551599719654337</v>
      </c>
      <c r="CY42" s="38">
        <f t="shared" si="266"/>
        <v>5.5910418288991046</v>
      </c>
      <c r="CZ42" s="38">
        <f t="shared" si="266"/>
        <v>5.5279733155389472</v>
      </c>
      <c r="DA42" s="38">
        <f t="shared" si="266"/>
        <v>5.4659284860345947</v>
      </c>
      <c r="DB42" s="38">
        <f t="shared" si="266"/>
        <v>5.4048823043406999</v>
      </c>
      <c r="DC42" s="38">
        <f t="shared" si="266"/>
        <v>5.3448106027316564</v>
      </c>
      <c r="DD42" s="38">
        <f t="shared" si="266"/>
        <v>5.2856900426286391</v>
      </c>
      <c r="DE42" s="38">
        <f t="shared" si="266"/>
        <v>5.227498077587434</v>
      </c>
      <c r="DF42" s="38">
        <f t="shared" si="266"/>
        <v>5.1702129183069285</v>
      </c>
      <c r="DG42" s="38">
        <f t="shared" si="266"/>
        <v>5.1138134995285176</v>
      </c>
      <c r="DH42" s="38">
        <f t="shared" si="266"/>
        <v>5.0582794487062266</v>
      </c>
      <c r="DI42" s="38">
        <f t="shared" si="266"/>
        <v>5.003591056336135</v>
      </c>
      <c r="DJ42" s="38">
        <f t="shared" si="266"/>
        <v>4.9497292478416615</v>
      </c>
      <c r="DK42" s="38">
        <f t="shared" si="266"/>
        <v>4.896675556918737</v>
      </c>
      <c r="DL42" s="38">
        <f t="shared" si="266"/>
        <v>4.8444121002515956</v>
      </c>
      <c r="DM42" s="38">
        <f t="shared" si="266"/>
        <v>4.7929215535162459</v>
      </c>
      <c r="DN42" s="38">
        <f t="shared" si="266"/>
        <v>4.7421871285943897</v>
      </c>
      <c r="DO42" s="38">
        <f t="shared" si="266"/>
        <v>4.6921925519258716</v>
      </c>
      <c r="DP42" s="38">
        <f t="shared" si="266"/>
        <v>4.6429220439326864</v>
      </c>
      <c r="DQ42" s="38">
        <f t="shared" si="266"/>
        <v>4.5943602994520205</v>
      </c>
      <c r="DR42" s="38">
        <f t="shared" si="266"/>
        <v>4.5464924691200501</v>
      </c>
      <c r="DS42" s="38">
        <f t="shared" si="266"/>
        <v>4.4993041416520461</v>
      </c>
      <c r="DT42" s="38">
        <f t="shared" si="266"/>
        <v>4.4527813269679202</v>
      </c>
      <c r="DU42" s="38">
        <f t="shared" si="266"/>
        <v>4.4069104401156727</v>
      </c>
      <c r="DV42" s="38">
        <f t="shared" si="266"/>
        <v>4.3616782859482388</v>
      </c>
      <c r="DW42" s="38">
        <f t="shared" si="266"/>
        <v>4.3170720445121225</v>
      </c>
      <c r="DX42" s="38">
        <f t="shared" si="266"/>
        <v>4.2730792571088116</v>
      </c>
      <c r="DY42" s="38">
        <f t="shared" si="266"/>
        <v>4.2296878129924229</v>
      </c>
      <c r="DZ42" s="38">
        <f t="shared" si="266"/>
        <v>4.1868859366693423</v>
      </c>
      <c r="EA42" s="38">
        <f t="shared" si="266"/>
        <v>4.1446621757676789</v>
      </c>
      <c r="EB42" s="38">
        <f t="shared" si="266"/>
        <v>4.1030053894463894</v>
      </c>
      <c r="EC42" s="38">
        <f t="shared" si="266"/>
        <v>4.0619047373157295</v>
      </c>
      <c r="ED42" s="38">
        <f t="shared" si="266"/>
        <v>4.0213496688423884</v>
      </c>
      <c r="EE42" s="38">
        <f t="shared" si="266"/>
        <v>3.9813299132142879</v>
      </c>
      <c r="EF42" s="38">
        <f t="shared" si="266"/>
        <v>3.9418354696414881</v>
      </c>
      <c r="EG42" s="38">
        <f t="shared" si="266"/>
        <v>3.9028565980710419</v>
      </c>
      <c r="EH42" s="38">
        <f t="shared" si="266"/>
        <v>3.8643838102949202</v>
      </c>
      <c r="EI42" s="38">
        <f t="shared" si="266"/>
        <v>3.8264078614313579</v>
      </c>
      <c r="EJ42" s="38">
        <f t="shared" ref="EJ42:GU42" si="267">EJ$40*((EI$42/EI$40)*($C$5/$C$4)^(1/239))</f>
        <v>3.7889197417610849</v>
      </c>
      <c r="EK42" s="38">
        <f t="shared" si="267"/>
        <v>3.7519106689009751</v>
      </c>
      <c r="EL42" s="38">
        <f t="shared" si="267"/>
        <v>3.7153720802986228</v>
      </c>
      <c r="EM42" s="38">
        <f t="shared" si="267"/>
        <v>3.6792956260322938</v>
      </c>
      <c r="EN42" s="38">
        <f t="shared" si="267"/>
        <v>3.6436731619015608</v>
      </c>
      <c r="EO42" s="38">
        <f t="shared" si="267"/>
        <v>3.6084967427947454</v>
      </c>
      <c r="EP42" s="38">
        <f t="shared" si="267"/>
        <v>3.5737586163200468</v>
      </c>
      <c r="EQ42" s="38">
        <f t="shared" si="267"/>
        <v>3.5394512166879637</v>
      </c>
      <c r="ER42" s="38">
        <f t="shared" si="267"/>
        <v>3.5055671588332742</v>
      </c>
      <c r="ES42" s="38">
        <f t="shared" si="267"/>
        <v>3.4720992327654754</v>
      </c>
      <c r="ET42" s="38">
        <f t="shared" si="267"/>
        <v>3.4390403981371747</v>
      </c>
      <c r="EU42" s="38">
        <f t="shared" si="267"/>
        <v>3.406383779020481</v>
      </c>
      <c r="EV42" s="38">
        <f t="shared" si="267"/>
        <v>3.3741226588819662</v>
      </c>
      <c r="EW42" s="38">
        <f t="shared" si="267"/>
        <v>3.3422504757472655</v>
      </c>
      <c r="EX42" s="38">
        <f t="shared" si="267"/>
        <v>3.3107608175468273</v>
      </c>
      <c r="EY42" s="38">
        <f t="shared" si="267"/>
        <v>3.2796474176347967</v>
      </c>
      <c r="EZ42" s="38">
        <f t="shared" si="267"/>
        <v>3.2489041504733875</v>
      </c>
      <c r="FA42" s="38">
        <f t="shared" si="267"/>
        <v>3.218525027475506</v>
      </c>
      <c r="FB42" s="38">
        <f t="shared" si="267"/>
        <v>3.1885041929987614</v>
      </c>
      <c r="FC42" s="38">
        <f t="shared" si="267"/>
        <v>3.1588359204843171</v>
      </c>
      <c r="FD42" s="38">
        <f t="shared" si="267"/>
        <v>3.1295146087343828</v>
      </c>
      <c r="FE42" s="38">
        <f t="shared" si="267"/>
        <v>3.100534778322444</v>
      </c>
      <c r="FF42" s="38">
        <f t="shared" si="267"/>
        <v>3.0718910681306308</v>
      </c>
      <c r="FG42" s="38">
        <f t="shared" si="267"/>
        <v>3.0435782320088589</v>
      </c>
      <c r="FH42" s="38">
        <f t="shared" si="267"/>
        <v>3.0155911355506935</v>
      </c>
      <c r="FI42" s="38">
        <f t="shared" si="267"/>
        <v>2.9879247529810877</v>
      </c>
      <c r="FJ42" s="38">
        <f t="shared" si="267"/>
        <v>2.9605741641513825</v>
      </c>
      <c r="FK42" s="38">
        <f t="shared" si="267"/>
        <v>2.9335345516372024</v>
      </c>
      <c r="FL42" s="38">
        <f t="shared" si="267"/>
        <v>2.9068011979350432</v>
      </c>
      <c r="FM42" s="38">
        <f t="shared" si="267"/>
        <v>2.8803694827535917</v>
      </c>
      <c r="FN42" s="38">
        <f t="shared" si="267"/>
        <v>2.8542348803959592</v>
      </c>
      <c r="FO42" s="38">
        <f t="shared" si="267"/>
        <v>2.8283929572292164</v>
      </c>
      <c r="FP42" s="38">
        <f t="shared" si="267"/>
        <v>2.8028393692377764</v>
      </c>
      <c r="FQ42" s="38">
        <f t="shared" si="267"/>
        <v>2.7775698596573184</v>
      </c>
      <c r="FR42" s="38">
        <f t="shared" si="267"/>
        <v>2.7525802566861053</v>
      </c>
      <c r="FS42" s="38">
        <f t="shared" si="267"/>
        <v>2.7278664712706928</v>
      </c>
      <c r="FT42" s="38">
        <f t="shared" si="267"/>
        <v>2.703424494963159</v>
      </c>
      <c r="FU42" s="38">
        <f t="shared" si="267"/>
        <v>2.6792503978470985</v>
      </c>
      <c r="FV42" s="38">
        <f t="shared" si="267"/>
        <v>2.6553403265297773</v>
      </c>
      <c r="FW42" s="38">
        <f t="shared" si="267"/>
        <v>2.63169050219792</v>
      </c>
      <c r="FX42" s="38">
        <f t="shared" si="267"/>
        <v>2.6082972187347493</v>
      </c>
      <c r="FY42" s="38">
        <f t="shared" si="267"/>
        <v>2.5851568408959782</v>
      </c>
      <c r="FZ42" s="38">
        <f t="shared" si="267"/>
        <v>2.5622658025425529</v>
      </c>
      <c r="GA42" s="38">
        <f t="shared" si="267"/>
        <v>2.5396206049280647</v>
      </c>
      <c r="GB42" s="38">
        <f t="shared" si="267"/>
        <v>2.5172178150387978</v>
      </c>
      <c r="GC42" s="38">
        <f t="shared" si="267"/>
        <v>2.495054063984512</v>
      </c>
      <c r="GD42" s="38">
        <f t="shared" si="267"/>
        <v>2.4731260454380903</v>
      </c>
      <c r="GE42" s="38">
        <f t="shared" si="267"/>
        <v>2.4514305141223156</v>
      </c>
      <c r="GF42" s="38">
        <f t="shared" si="267"/>
        <v>2.4299642843420584</v>
      </c>
      <c r="GG42" s="38">
        <f t="shared" si="267"/>
        <v>2.4087242285602604</v>
      </c>
      <c r="GH42" s="38">
        <f t="shared" si="267"/>
        <v>2.3877072760161715</v>
      </c>
      <c r="GI42" s="38">
        <f t="shared" si="267"/>
        <v>2.3669104113843265</v>
      </c>
      <c r="GJ42" s="38">
        <f t="shared" si="267"/>
        <v>2.34633067347285</v>
      </c>
      <c r="GK42" s="38">
        <f t="shared" si="267"/>
        <v>2.3259651539597099</v>
      </c>
      <c r="GL42" s="38">
        <f t="shared" si="267"/>
        <v>2.305810996165595</v>
      </c>
      <c r="GM42" s="38">
        <f t="shared" si="267"/>
        <v>2.2858653938621645</v>
      </c>
      <c r="GN42" s="38">
        <f t="shared" si="267"/>
        <v>2.2661255901144486</v>
      </c>
      <c r="GO42" s="38">
        <f t="shared" si="267"/>
        <v>2.246588876156236</v>
      </c>
      <c r="GP42" s="38">
        <f t="shared" si="267"/>
        <v>2.2272525902973235</v>
      </c>
      <c r="GQ42" s="38">
        <f t="shared" si="267"/>
        <v>2.2081141168615659</v>
      </c>
      <c r="GR42" s="38">
        <f t="shared" si="267"/>
        <v>2.1891708851546725</v>
      </c>
      <c r="GS42" s="38">
        <f t="shared" si="267"/>
        <v>2.1704203684607735</v>
      </c>
      <c r="GT42" s="38">
        <f t="shared" si="267"/>
        <v>2.1518600830667913</v>
      </c>
      <c r="GU42" s="38">
        <f t="shared" si="267"/>
        <v>2.1334875873137014</v>
      </c>
      <c r="GV42" s="38">
        <f t="shared" ref="GV42:IP42" si="268">GV$40*((GU$42/GU$40)*($C$5/$C$4)^(1/239))</f>
        <v>2.1153004806738021</v>
      </c>
      <c r="GW42" s="38">
        <f t="shared" si="268"/>
        <v>2.0972964028531313</v>
      </c>
      <c r="GX42" s="38">
        <f t="shared" si="268"/>
        <v>2.079473032918234</v>
      </c>
      <c r="GY42" s="38">
        <f t="shared" si="268"/>
        <v>2.0618280884464681</v>
      </c>
      <c r="GZ42" s="38">
        <f t="shared" si="268"/>
        <v>2.0443593246991112</v>
      </c>
      <c r="HA42" s="38">
        <f t="shared" si="268"/>
        <v>2.0270645338165276</v>
      </c>
      <c r="HB42" s="38">
        <f t="shared" si="268"/>
        <v>2.0099415440346973</v>
      </c>
      <c r="HC42" s="38">
        <f t="shared" si="268"/>
        <v>1.9929882189224315</v>
      </c>
      <c r="HD42" s="38">
        <f t="shared" si="268"/>
        <v>1.9762024566386203</v>
      </c>
      <c r="HE42" s="38">
        <f t="shared" si="268"/>
        <v>1.9595821892088814</v>
      </c>
      <c r="HF42" s="38">
        <f t="shared" si="268"/>
        <v>1.9431253818210181</v>
      </c>
      <c r="HG42" s="38">
        <f t="shared" si="268"/>
        <v>1.9268300321386833</v>
      </c>
      <c r="HH42" s="38">
        <f t="shared" si="268"/>
        <v>1.9106941696327047</v>
      </c>
      <c r="HI42" s="38">
        <f t="shared" si="268"/>
        <v>1.8947158549295224</v>
      </c>
      <c r="HJ42" s="38">
        <f t="shared" si="268"/>
        <v>1.8788931791762096</v>
      </c>
      <c r="HK42" s="38">
        <f t="shared" si="268"/>
        <v>1.8632242634215859</v>
      </c>
      <c r="HL42" s="38">
        <f t="shared" si="268"/>
        <v>1.8477072580129212</v>
      </c>
      <c r="HM42" s="38">
        <f t="shared" si="268"/>
        <v>1.8323403420077735</v>
      </c>
      <c r="HN42" s="38">
        <f t="shared" si="268"/>
        <v>1.8171217226004994</v>
      </c>
      <c r="HO42" s="38">
        <f t="shared" si="268"/>
        <v>1.8020496345630022</v>
      </c>
      <c r="HP42" s="38">
        <f t="shared" si="268"/>
        <v>1.7871223396992941</v>
      </c>
      <c r="HQ42" s="38">
        <f t="shared" si="268"/>
        <v>1.7723381263134723</v>
      </c>
      <c r="HR42" s="38">
        <f t="shared" si="268"/>
        <v>1.7576953086906966</v>
      </c>
      <c r="HS42" s="38">
        <f t="shared" si="268"/>
        <v>1.7431922265908135</v>
      </c>
      <c r="HT42" s="38">
        <f t="shared" si="268"/>
        <v>1.7288272447542357</v>
      </c>
      <c r="HU42" s="38">
        <f t="shared" si="268"/>
        <v>1.7145987524197346</v>
      </c>
      <c r="HV42" s="38">
        <f t="shared" si="268"/>
        <v>1.7005051628538044</v>
      </c>
      <c r="HW42" s="38">
        <f t="shared" si="268"/>
        <v>1.686544912891252</v>
      </c>
      <c r="HX42" s="38">
        <f t="shared" si="268"/>
        <v>1.6727164624867117</v>
      </c>
      <c r="HY42" s="38">
        <f t="shared" si="268"/>
        <v>1.6590182942767551</v>
      </c>
      <c r="HZ42" s="38">
        <f t="shared" si="268"/>
        <v>1.6454489131523111</v>
      </c>
      <c r="IA42" s="38">
        <f t="shared" si="268"/>
        <v>1.6320068458410992</v>
      </c>
      <c r="IB42" s="38">
        <f t="shared" si="268"/>
        <v>1.6186906404997921</v>
      </c>
      <c r="IC42" s="38">
        <f t="shared" si="268"/>
        <v>1.6054988663156473</v>
      </c>
      <c r="ID42" s="38">
        <f t="shared" si="268"/>
        <v>1.5924301131173337</v>
      </c>
      <c r="IE42" s="38">
        <f t="shared" si="268"/>
        <v>1.5794829909947024</v>
      </c>
      <c r="IF42" s="38">
        <f t="shared" si="268"/>
        <v>1.5666561299272612</v>
      </c>
      <c r="IG42" s="38">
        <f t="shared" si="268"/>
        <v>1.5539481794211061</v>
      </c>
      <c r="IH42" s="38">
        <f t="shared" si="268"/>
        <v>1.541357808154084</v>
      </c>
      <c r="II42" s="38">
        <f t="shared" si="268"/>
        <v>1.5288837036289633</v>
      </c>
      <c r="IJ42" s="38">
        <f t="shared" si="268"/>
        <v>1.5165245718343952</v>
      </c>
      <c r="IK42" s="38">
        <f t="shared" si="268"/>
        <v>1.5042791369134525</v>
      </c>
      <c r="IL42" s="38">
        <f t="shared" si="268"/>
        <v>1.4921461408395522</v>
      </c>
      <c r="IM42" s="38">
        <f t="shared" si="268"/>
        <v>1.4801243430995561</v>
      </c>
      <c r="IN42" s="38">
        <f t="shared" si="268"/>
        <v>1.4682125203838599</v>
      </c>
      <c r="IO42" s="38">
        <f t="shared" si="268"/>
        <v>1.4564094662832945</v>
      </c>
      <c r="IP42" s="38">
        <f t="shared" si="268"/>
        <v>1.4447139909926487</v>
      </c>
    </row>
    <row r="43" spans="3:250">
      <c r="C43" s="143"/>
      <c r="G43" s="124">
        <f t="shared" si="260"/>
        <v>13.718093877660522</v>
      </c>
      <c r="H43" s="202" t="s">
        <v>65</v>
      </c>
      <c r="I43" s="49" t="s">
        <v>13</v>
      </c>
      <c r="J43" s="50" t="s">
        <v>63</v>
      </c>
      <c r="K43" s="37">
        <f t="shared" ref="K43:BV43" si="269">K$40*$C$6</f>
        <v>20</v>
      </c>
      <c r="L43" s="38">
        <f t="shared" si="269"/>
        <v>11.952286093343936</v>
      </c>
      <c r="M43" s="38">
        <f t="shared" si="269"/>
        <v>9.3250480824031374</v>
      </c>
      <c r="N43" s="38">
        <f t="shared" si="269"/>
        <v>7.9056941504209481</v>
      </c>
      <c r="O43" s="38">
        <f t="shared" si="269"/>
        <v>6.9843029576957827</v>
      </c>
      <c r="P43" s="38">
        <f t="shared" si="269"/>
        <v>6.3245553203367582</v>
      </c>
      <c r="Q43" s="38">
        <f t="shared" si="269"/>
        <v>5.8222250973958198</v>
      </c>
      <c r="R43" s="38">
        <f t="shared" si="269"/>
        <v>5.4232614454664043</v>
      </c>
      <c r="S43" s="38">
        <f t="shared" si="269"/>
        <v>5.0964719143762549</v>
      </c>
      <c r="T43" s="38">
        <f t="shared" si="269"/>
        <v>4.8224282217041212</v>
      </c>
      <c r="U43" s="38">
        <f t="shared" si="269"/>
        <v>4.5883146774112351</v>
      </c>
      <c r="V43" s="38">
        <f t="shared" si="269"/>
        <v>4.3852900965351456</v>
      </c>
      <c r="W43" s="38">
        <f t="shared" si="269"/>
        <v>4.2070316191167123</v>
      </c>
      <c r="X43" s="38">
        <f t="shared" si="269"/>
        <v>4.0488816508945797</v>
      </c>
      <c r="Y43" s="38">
        <f t="shared" si="269"/>
        <v>3.9073233258228175</v>
      </c>
      <c r="Z43" s="38">
        <f t="shared" si="269"/>
        <v>3.7796447300922722</v>
      </c>
      <c r="AA43" s="38">
        <f t="shared" si="269"/>
        <v>3.6637165272365584</v>
      </c>
      <c r="AB43" s="38">
        <f t="shared" si="269"/>
        <v>3.5578403348241001</v>
      </c>
      <c r="AC43" s="38">
        <f t="shared" si="269"/>
        <v>3.4606427010299141</v>
      </c>
      <c r="AD43" s="38">
        <f t="shared" si="269"/>
        <v>3.3709993123162105</v>
      </c>
      <c r="AE43" s="38">
        <f t="shared" si="269"/>
        <v>3.2879797461071458</v>
      </c>
      <c r="AF43" s="38">
        <f t="shared" si="269"/>
        <v>3.2108064953396775</v>
      </c>
      <c r="AG43" s="38">
        <f t="shared" si="269"/>
        <v>3.1388241028717223</v>
      </c>
      <c r="AH43" s="38">
        <f t="shared" si="269"/>
        <v>3.0714755841697561</v>
      </c>
      <c r="AI43" s="38">
        <f t="shared" si="269"/>
        <v>3.0082841879809341</v>
      </c>
      <c r="AJ43" s="38">
        <f t="shared" si="269"/>
        <v>2.9488391230979425</v>
      </c>
      <c r="AK43" s="38">
        <f t="shared" si="269"/>
        <v>2.8927842707018585</v>
      </c>
      <c r="AL43" s="38">
        <f t="shared" si="269"/>
        <v>2.8398091712353239</v>
      </c>
      <c r="AM43" s="38">
        <f t="shared" si="269"/>
        <v>2.7896417632583534</v>
      </c>
      <c r="AN43" s="38">
        <f t="shared" si="269"/>
        <v>2.7420424855354089</v>
      </c>
      <c r="AO43" s="38">
        <f t="shared" si="269"/>
        <v>2.6967994498529682</v>
      </c>
      <c r="AP43" s="38">
        <f t="shared" si="269"/>
        <v>2.6537244621713763</v>
      </c>
      <c r="AQ43" s="38">
        <f t="shared" si="269"/>
        <v>2.6126497213658206</v>
      </c>
      <c r="AR43" s="38">
        <f t="shared" si="269"/>
        <v>2.5734250632748936</v>
      </c>
      <c r="AS43" s="38">
        <f t="shared" si="269"/>
        <v>2.5359156467048685</v>
      </c>
      <c r="AT43" s="38">
        <f t="shared" si="269"/>
        <v>2.5</v>
      </c>
      <c r="AU43" s="38">
        <f t="shared" si="269"/>
        <v>2.4655683636076895</v>
      </c>
      <c r="AV43" s="38">
        <f t="shared" si="269"/>
        <v>2.4325212770525995</v>
      </c>
      <c r="AW43" s="38">
        <f t="shared" si="269"/>
        <v>2.4007683688367183</v>
      </c>
      <c r="AX43" s="38">
        <f t="shared" si="269"/>
        <v>2.3702273156998861</v>
      </c>
      <c r="AY43" s="38">
        <f t="shared" si="269"/>
        <v>2.3408229439226114</v>
      </c>
      <c r="AZ43" s="38">
        <f t="shared" si="269"/>
        <v>2.3124864503144011</v>
      </c>
      <c r="BA43" s="38">
        <f t="shared" si="269"/>
        <v>2.28515472449515</v>
      </c>
      <c r="BB43" s="38">
        <f t="shared" si="269"/>
        <v>2.2587697572631282</v>
      </c>
      <c r="BC43" s="38">
        <f t="shared" si="269"/>
        <v>2.2332781224177665</v>
      </c>
      <c r="BD43" s="38">
        <f t="shared" si="269"/>
        <v>2.2086305214969308</v>
      </c>
      <c r="BE43" s="38">
        <f t="shared" si="269"/>
        <v>2.1847813825958582</v>
      </c>
      <c r="BF43" s="38">
        <f t="shared" si="269"/>
        <v>2.1616885058355844</v>
      </c>
      <c r="BG43" s="38">
        <f t="shared" si="269"/>
        <v>2.1393127492027904</v>
      </c>
      <c r="BH43" s="38">
        <f t="shared" si="269"/>
        <v>2.1176177494381339</v>
      </c>
      <c r="BI43" s="38">
        <f t="shared" si="269"/>
        <v>2.0965696734438368</v>
      </c>
      <c r="BJ43" s="38">
        <f t="shared" si="269"/>
        <v>2.0761369963434992</v>
      </c>
      <c r="BK43" s="38">
        <f t="shared" si="269"/>
        <v>2.0562903028816621</v>
      </c>
      <c r="BL43" s="38">
        <f t="shared" si="269"/>
        <v>2.0370021093167763</v>
      </c>
      <c r="BM43" s="38">
        <f t="shared" si="269"/>
        <v>2.0182467033543783</v>
      </c>
      <c r="BN43" s="38">
        <f t="shared" si="269"/>
        <v>2</v>
      </c>
      <c r="BO43" s="38">
        <f t="shared" si="269"/>
        <v>1.9822394114938215</v>
      </c>
      <c r="BP43" s="38">
        <f t="shared" si="269"/>
        <v>1.9649437297296481</v>
      </c>
      <c r="BQ43" s="38">
        <f t="shared" si="269"/>
        <v>1.9480930197663147</v>
      </c>
      <c r="BR43" s="38">
        <f t="shared" si="269"/>
        <v>1.9316685232156394</v>
      </c>
      <c r="BS43" s="38">
        <f t="shared" si="269"/>
        <v>1.9156525704423026</v>
      </c>
      <c r="BT43" s="38">
        <f t="shared" si="269"/>
        <v>1.9000285006412658</v>
      </c>
      <c r="BU43" s="38">
        <f t="shared" si="269"/>
        <v>1.8847805889708431</v>
      </c>
      <c r="BV43" s="38">
        <f t="shared" si="269"/>
        <v>1.8698939800169143</v>
      </c>
      <c r="BW43" s="38">
        <f t="shared" ref="BW43:EH43" si="270">BW$40*$C$6</f>
        <v>1.8553546269482775</v>
      </c>
      <c r="BX43" s="38">
        <f t="shared" si="270"/>
        <v>1.8411492357966468</v>
      </c>
      <c r="BY43" s="38">
        <f t="shared" si="270"/>
        <v>1.8272652143588817</v>
      </c>
      <c r="BZ43" s="38">
        <f t="shared" si="270"/>
        <v>1.8136906252750289</v>
      </c>
      <c r="CA43" s="38">
        <f t="shared" si="270"/>
        <v>1.8004141428847735</v>
      </c>
      <c r="CB43" s="38">
        <f t="shared" si="270"/>
        <v>1.7874250135079059</v>
      </c>
      <c r="CC43" s="38">
        <f t="shared" si="270"/>
        <v>1.7747130188322278</v>
      </c>
      <c r="CD43" s="38">
        <f t="shared" si="270"/>
        <v>1.7622684421256034</v>
      </c>
      <c r="CE43" s="38">
        <f t="shared" si="270"/>
        <v>1.750082037018273</v>
      </c>
      <c r="CF43" s="38">
        <f t="shared" si="270"/>
        <v>1.7381449986274955</v>
      </c>
      <c r="CG43" s="38">
        <f t="shared" si="270"/>
        <v>1.7264489368196219</v>
      </c>
      <c r="CH43" s="38">
        <f t="shared" si="270"/>
        <v>1.7149858514250882</v>
      </c>
      <c r="CI43" s="38">
        <f t="shared" si="270"/>
        <v>1.7037481092399638</v>
      </c>
      <c r="CJ43" s="38">
        <f t="shared" si="270"/>
        <v>1.6927284226638315</v>
      </c>
      <c r="CK43" s="38">
        <f t="shared" si="270"/>
        <v>1.681919829838161</v>
      </c>
      <c r="CL43" s="38">
        <f t="shared" si="270"/>
        <v>1.671315676162189</v>
      </c>
      <c r="CM43" s="38">
        <f t="shared" si="270"/>
        <v>1.6609095970747993</v>
      </c>
      <c r="CN43" s="38">
        <f t="shared" si="270"/>
        <v>1.6506955020011944</v>
      </c>
      <c r="CO43" s="38">
        <f t="shared" si="270"/>
        <v>1.6406675593723583</v>
      </c>
      <c r="CP43" s="38">
        <f t="shared" si="270"/>
        <v>1.6308201826336053</v>
      </c>
      <c r="CQ43" s="38">
        <f t="shared" si="270"/>
        <v>1.6211480171659538</v>
      </c>
      <c r="CR43" s="38">
        <f t="shared" si="270"/>
        <v>1.6116459280507605</v>
      </c>
      <c r="CS43" s="38">
        <f t="shared" si="270"/>
        <v>1.6023089886141129</v>
      </c>
      <c r="CT43" s="38">
        <f t="shared" si="270"/>
        <v>1.5931324696929154</v>
      </c>
      <c r="CU43" s="38">
        <f t="shared" si="270"/>
        <v>1.5841118295695487</v>
      </c>
      <c r="CV43" s="38">
        <f t="shared" si="270"/>
        <v>1.5752427045264394</v>
      </c>
      <c r="CW43" s="38">
        <f t="shared" si="270"/>
        <v>1.5665208999759148</v>
      </c>
      <c r="CX43" s="38">
        <f t="shared" si="270"/>
        <v>1.5579423821243896</v>
      </c>
      <c r="CY43" s="38">
        <f t="shared" si="270"/>
        <v>1.5495032701332585</v>
      </c>
      <c r="CZ43" s="38">
        <f t="shared" si="270"/>
        <v>1.5411998287418847</v>
      </c>
      <c r="DA43" s="38">
        <f t="shared" si="270"/>
        <v>1.5330284613208398</v>
      </c>
      <c r="DB43" s="38">
        <f t="shared" si="270"/>
        <v>1.5249857033260468</v>
      </c>
      <c r="DC43" s="38">
        <f t="shared" si="270"/>
        <v>1.5170682161267661</v>
      </c>
      <c r="DD43" s="38">
        <f t="shared" si="270"/>
        <v>1.5092727811824551</v>
      </c>
      <c r="DE43" s="38">
        <f t="shared" si="270"/>
        <v>1.5015962945454278</v>
      </c>
      <c r="DF43" s="38">
        <f t="shared" si="270"/>
        <v>1.494035761667992</v>
      </c>
      <c r="DG43" s="38">
        <f t="shared" si="270"/>
        <v>1.4865882924943328</v>
      </c>
      <c r="DH43" s="38">
        <f t="shared" si="270"/>
        <v>1.4792510968188681</v>
      </c>
      <c r="DI43" s="38">
        <f t="shared" si="270"/>
        <v>1.4720214798941531</v>
      </c>
      <c r="DJ43" s="38">
        <f t="shared" si="270"/>
        <v>1.4648968382726191</v>
      </c>
      <c r="DK43" s="38">
        <f t="shared" si="270"/>
        <v>1.4578746558675892</v>
      </c>
      <c r="DL43" s="38">
        <f t="shared" si="270"/>
        <v>1.4509525002200234</v>
      </c>
      <c r="DM43" s="38">
        <f t="shared" si="270"/>
        <v>1.4441280189584202</v>
      </c>
      <c r="DN43" s="38">
        <f t="shared" si="270"/>
        <v>1.4373989364401725</v>
      </c>
      <c r="DO43" s="38">
        <f t="shared" si="270"/>
        <v>1.4307630505634843</v>
      </c>
      <c r="DP43" s="38">
        <f t="shared" si="270"/>
        <v>1.4242182297397126</v>
      </c>
      <c r="DQ43" s="38">
        <f t="shared" si="270"/>
        <v>1.4177624100166717</v>
      </c>
      <c r="DR43" s="38">
        <f t="shared" si="270"/>
        <v>1.4113935923440917</v>
      </c>
      <c r="DS43" s="38">
        <f t="shared" si="270"/>
        <v>1.405109839972998</v>
      </c>
      <c r="DT43" s="38">
        <f t="shared" si="270"/>
        <v>1.398909275981332</v>
      </c>
      <c r="DU43" s="38">
        <f t="shared" si="270"/>
        <v>1.392790080918634</v>
      </c>
      <c r="DV43" s="38">
        <f t="shared" si="270"/>
        <v>1.386750490563073</v>
      </c>
      <c r="DW43" s="38">
        <f t="shared" si="270"/>
        <v>1.3807887937845496</v>
      </c>
      <c r="DX43" s="38">
        <f t="shared" si="270"/>
        <v>1.3749033305079912</v>
      </c>
      <c r="DY43" s="38">
        <f t="shared" si="270"/>
        <v>1.3690924897713324</v>
      </c>
      <c r="DZ43" s="38">
        <f t="shared" si="270"/>
        <v>1.3633547078730295</v>
      </c>
      <c r="EA43" s="38">
        <f t="shared" si="270"/>
        <v>1.3576884666042615</v>
      </c>
      <c r="EB43" s="38">
        <f t="shared" si="270"/>
        <v>1.3520922915612865</v>
      </c>
      <c r="EC43" s="38">
        <f t="shared" si="270"/>
        <v>1.3465647505336953</v>
      </c>
      <c r="ED43" s="38">
        <f t="shared" si="270"/>
        <v>1.3411044519645503</v>
      </c>
      <c r="EE43" s="38">
        <f t="shared" si="270"/>
        <v>1.3357100434786651</v>
      </c>
      <c r="EF43" s="38">
        <f t="shared" si="270"/>
        <v>1.3303802104754787</v>
      </c>
      <c r="EG43" s="38">
        <f t="shared" si="270"/>
        <v>1.3251136747832066</v>
      </c>
      <c r="EH43" s="38">
        <f t="shared" si="270"/>
        <v>1.3199091933711367</v>
      </c>
      <c r="EI43" s="38">
        <f t="shared" ref="EI43:GT43" si="271">EI$40*$C$6</f>
        <v>1.3147655571171251</v>
      </c>
      <c r="EJ43" s="38">
        <f t="shared" si="271"/>
        <v>1.309681589627518</v>
      </c>
      <c r="EK43" s="38">
        <f t="shared" si="271"/>
        <v>1.3046561461068844</v>
      </c>
      <c r="EL43" s="38">
        <f t="shared" si="271"/>
        <v>1.2996881122750907</v>
      </c>
      <c r="EM43" s="38">
        <f t="shared" si="271"/>
        <v>1.2947764033293967</v>
      </c>
      <c r="EN43" s="38">
        <f t="shared" si="271"/>
        <v>1.2899199629493714</v>
      </c>
      <c r="EO43" s="38">
        <f t="shared" si="271"/>
        <v>1.2851177623425631</v>
      </c>
      <c r="EP43" s="38">
        <f t="shared" si="271"/>
        <v>1.2803687993289599</v>
      </c>
      <c r="EQ43" s="38">
        <f t="shared" si="271"/>
        <v>1.275672097462393</v>
      </c>
      <c r="ER43" s="38">
        <f t="shared" si="271"/>
        <v>1.2710267051871369</v>
      </c>
      <c r="ES43" s="38">
        <f t="shared" si="271"/>
        <v>1.2664316950280468</v>
      </c>
      <c r="ET43" s="38">
        <f t="shared" si="271"/>
        <v>1.2618861628126719</v>
      </c>
      <c r="EU43" s="38">
        <f t="shared" si="271"/>
        <v>1.2573892269238629</v>
      </c>
      <c r="EV43" s="38">
        <f t="shared" si="271"/>
        <v>1.2529400275814702</v>
      </c>
      <c r="EW43" s="38">
        <f t="shared" si="271"/>
        <v>1.2485377261518043</v>
      </c>
      <c r="EX43" s="38">
        <f t="shared" si="271"/>
        <v>1.2441815044835987</v>
      </c>
      <c r="EY43" s="38">
        <f t="shared" si="271"/>
        <v>1.2398705642692827</v>
      </c>
      <c r="EZ43" s="38">
        <f t="shared" si="271"/>
        <v>1.2356041264304309</v>
      </c>
      <c r="FA43" s="38">
        <f t="shared" si="271"/>
        <v>1.2313814305263151</v>
      </c>
      <c r="FB43" s="38">
        <f t="shared" si="271"/>
        <v>1.2272017341845398</v>
      </c>
      <c r="FC43" s="38">
        <f t="shared" si="271"/>
        <v>1.2230643125527942</v>
      </c>
      <c r="FD43" s="38">
        <f t="shared" si="271"/>
        <v>1.2189684577707987</v>
      </c>
      <c r="FE43" s="38">
        <f t="shared" si="271"/>
        <v>1.2149134784615738</v>
      </c>
      <c r="FF43" s="38">
        <f t="shared" si="271"/>
        <v>1.2108986992412067</v>
      </c>
      <c r="FG43" s="38">
        <f t="shared" si="271"/>
        <v>1.2069234602463137</v>
      </c>
      <c r="FH43" s="38">
        <f t="shared" si="271"/>
        <v>1.2029871166784605</v>
      </c>
      <c r="FI43" s="38">
        <f t="shared" si="271"/>
        <v>1.1990890383648212</v>
      </c>
      <c r="FJ43" s="38">
        <f t="shared" si="271"/>
        <v>1.1952286093343936</v>
      </c>
      <c r="FK43" s="38">
        <f t="shared" si="271"/>
        <v>1.1914052274091296</v>
      </c>
      <c r="FL43" s="38">
        <f t="shared" si="271"/>
        <v>1.1876183038093586</v>
      </c>
      <c r="FM43" s="38">
        <f t="shared" si="271"/>
        <v>1.1838672627729223</v>
      </c>
      <c r="FN43" s="38">
        <f t="shared" si="271"/>
        <v>1.1801515411874575</v>
      </c>
      <c r="FO43" s="38">
        <f t="shared" si="271"/>
        <v>1.1764705882352942</v>
      </c>
      <c r="FP43" s="38">
        <f t="shared" si="271"/>
        <v>1.1728238650504652</v>
      </c>
      <c r="FQ43" s="38">
        <f t="shared" si="271"/>
        <v>1.1692108443873355</v>
      </c>
      <c r="FR43" s="38">
        <f t="shared" si="271"/>
        <v>1.1656310103003922</v>
      </c>
      <c r="FS43" s="38">
        <f t="shared" si="271"/>
        <v>1.1620838578347554</v>
      </c>
      <c r="FT43" s="38">
        <f t="shared" si="271"/>
        <v>1.1585688927269846</v>
      </c>
      <c r="FU43" s="38">
        <f t="shared" si="271"/>
        <v>1.15508563111578</v>
      </c>
      <c r="FV43" s="38">
        <f t="shared" si="271"/>
        <v>1.1516335992621967</v>
      </c>
      <c r="FW43" s="38">
        <f t="shared" si="271"/>
        <v>1.1482123332789982</v>
      </c>
      <c r="FX43" s="38">
        <f t="shared" si="271"/>
        <v>1.1448213788688051</v>
      </c>
      <c r="FY43" s="38">
        <f t="shared" si="271"/>
        <v>1.1414602910706992</v>
      </c>
      <c r="FZ43" s="38">
        <f t="shared" si="271"/>
        <v>1.1381286340149634</v>
      </c>
      <c r="GA43" s="38">
        <f t="shared" si="271"/>
        <v>1.1348259806856513</v>
      </c>
      <c r="GB43" s="38">
        <f t="shared" si="271"/>
        <v>1.1315519126906888</v>
      </c>
      <c r="GC43" s="38">
        <f t="shared" si="271"/>
        <v>1.1283060200392354</v>
      </c>
      <c r="GD43" s="38">
        <f t="shared" si="271"/>
        <v>1.125087900926024</v>
      </c>
      <c r="GE43" s="38">
        <f t="shared" si="271"/>
        <v>1.1218971615224345</v>
      </c>
      <c r="GF43" s="38">
        <f t="shared" si="271"/>
        <v>1.1187334157740447</v>
      </c>
      <c r="GG43" s="38">
        <f t="shared" si="271"/>
        <v>1.1155962852044266</v>
      </c>
      <c r="GH43" s="38">
        <f t="shared" si="271"/>
        <v>1.1124853987249619</v>
      </c>
      <c r="GI43" s="38">
        <f t="shared" si="271"/>
        <v>1.1094003924504583</v>
      </c>
      <c r="GJ43" s="38">
        <f t="shared" si="271"/>
        <v>1.1063409095203591</v>
      </c>
      <c r="GK43" s="38">
        <f t="shared" si="271"/>
        <v>1.1033065999253477</v>
      </c>
      <c r="GL43" s="38">
        <f t="shared" si="271"/>
        <v>1.1002971203391538</v>
      </c>
      <c r="GM43" s="38">
        <f t="shared" si="271"/>
        <v>1.0973121339553789</v>
      </c>
      <c r="GN43" s="38">
        <f t="shared" si="271"/>
        <v>1.0943513103291655</v>
      </c>
      <c r="GO43" s="38">
        <f t="shared" si="271"/>
        <v>1.0914143252235409</v>
      </c>
      <c r="GP43" s="38">
        <f t="shared" si="271"/>
        <v>1.0885008604602704</v>
      </c>
      <c r="GQ43" s="38">
        <f t="shared" si="271"/>
        <v>1.0856106037750712</v>
      </c>
      <c r="GR43" s="38">
        <f t="shared" si="271"/>
        <v>1.0827432486770285</v>
      </c>
      <c r="GS43" s="38">
        <f t="shared" si="271"/>
        <v>1.0798984943120777</v>
      </c>
      <c r="GT43" s="38">
        <f t="shared" si="271"/>
        <v>1.0770760453304093</v>
      </c>
      <c r="GU43" s="38">
        <f t="shared" ref="GU43:IP43" si="272">GU$40*$C$6</f>
        <v>1.0742756117576675</v>
      </c>
      <c r="GV43" s="38">
        <f t="shared" si="272"/>
        <v>1.0714969088698139</v>
      </c>
      <c r="GW43" s="38">
        <f t="shared" si="272"/>
        <v>1.0687396570715306</v>
      </c>
      <c r="GX43" s="38">
        <f t="shared" si="272"/>
        <v>1.0660035817780522</v>
      </c>
      <c r="GY43" s="38">
        <f t="shared" si="272"/>
        <v>1.0632884133003035</v>
      </c>
      <c r="GZ43" s="38">
        <f t="shared" si="272"/>
        <v>1.0605938867332434</v>
      </c>
      <c r="HA43" s="38">
        <f t="shared" si="272"/>
        <v>1.0579197418473025</v>
      </c>
      <c r="HB43" s="38">
        <f t="shared" si="272"/>
        <v>1.0552657229828182</v>
      </c>
      <c r="HC43" s="38">
        <f t="shared" si="272"/>
        <v>1.0526315789473684</v>
      </c>
      <c r="HD43" s="38">
        <f t="shared" si="272"/>
        <v>1.0500170629159098</v>
      </c>
      <c r="HE43" s="38">
        <f t="shared" si="272"/>
        <v>1.0474219323336302</v>
      </c>
      <c r="HF43" s="38">
        <f t="shared" si="272"/>
        <v>1.0448459488214321</v>
      </c>
      <c r="HG43" s="38">
        <f t="shared" si="272"/>
        <v>1.0422888780839563</v>
      </c>
      <c r="HH43" s="38">
        <f t="shared" si="272"/>
        <v>1.0397504898200727</v>
      </c>
      <c r="HI43" s="38">
        <f t="shared" si="272"/>
        <v>1.0372305576357572</v>
      </c>
      <c r="HJ43" s="38">
        <f t="shared" si="272"/>
        <v>1.0347288589592778</v>
      </c>
      <c r="HK43" s="38">
        <f t="shared" si="272"/>
        <v>1.0322451749586237</v>
      </c>
      <c r="HL43" s="38">
        <f t="shared" si="272"/>
        <v>1.0297792904610998</v>
      </c>
      <c r="HM43" s="38">
        <f t="shared" si="272"/>
        <v>1.0273309938750281</v>
      </c>
      <c r="HN43" s="38">
        <f t="shared" si="272"/>
        <v>1.0249000771134846</v>
      </c>
      <c r="HO43" s="38">
        <f t="shared" si="272"/>
        <v>1.0224863355200127</v>
      </c>
      <c r="HP43" s="38">
        <f t="shared" si="272"/>
        <v>1.0200895677962514</v>
      </c>
      <c r="HQ43" s="38">
        <f t="shared" si="272"/>
        <v>1.0177095759314232</v>
      </c>
      <c r="HR43" s="38">
        <f t="shared" si="272"/>
        <v>1.0153461651336191</v>
      </c>
      <c r="HS43" s="38">
        <f t="shared" si="272"/>
        <v>1.0129991437628356</v>
      </c>
      <c r="HT43" s="38">
        <f t="shared" si="272"/>
        <v>1.0106683232657028</v>
      </c>
      <c r="HU43" s="38">
        <f t="shared" si="272"/>
        <v>1.0083535181118579</v>
      </c>
      <c r="HV43" s="38">
        <f t="shared" si="272"/>
        <v>1.0060545457319172</v>
      </c>
      <c r="HW43" s="38">
        <f t="shared" si="272"/>
        <v>1.0037712264569911</v>
      </c>
      <c r="HX43" s="38">
        <f t="shared" si="272"/>
        <v>1.0015033834597085</v>
      </c>
      <c r="HY43" s="38">
        <f t="shared" si="272"/>
        <v>0.99925084269669495</v>
      </c>
      <c r="HZ43" s="38">
        <f t="shared" si="272"/>
        <v>0.99701343285247168</v>
      </c>
      <c r="IA43" s="38">
        <f t="shared" si="272"/>
        <v>0.99479098528472842</v>
      </c>
      <c r="IB43" s="38">
        <f t="shared" si="272"/>
        <v>0.99258333397093024</v>
      </c>
      <c r="IC43" s="38">
        <f t="shared" si="272"/>
        <v>0.99039031545622702</v>
      </c>
      <c r="ID43" s="38">
        <f t="shared" si="272"/>
        <v>0.98821176880261852</v>
      </c>
      <c r="IE43" s="38">
        <f t="shared" si="272"/>
        <v>0.98604753553934621</v>
      </c>
      <c r="IF43" s="38">
        <f t="shared" si="272"/>
        <v>0.98389745961447528</v>
      </c>
      <c r="IG43" s="38">
        <f t="shared" si="272"/>
        <v>0.98176138734763196</v>
      </c>
      <c r="IH43" s="38">
        <f t="shared" si="272"/>
        <v>0.97963916738386525</v>
      </c>
      <c r="II43" s="38">
        <f t="shared" si="272"/>
        <v>0.9775306506486009</v>
      </c>
      <c r="IJ43" s="38">
        <f t="shared" si="272"/>
        <v>0.97543569030365773</v>
      </c>
      <c r="IK43" s="38">
        <f t="shared" si="272"/>
        <v>0.97335414170429457</v>
      </c>
      <c r="IL43" s="38">
        <f t="shared" si="272"/>
        <v>0.97128586235726411</v>
      </c>
      <c r="IM43" s="38">
        <f t="shared" si="272"/>
        <v>0.96923071187984122</v>
      </c>
      <c r="IN43" s="38">
        <f t="shared" si="272"/>
        <v>0.96718855195980036</v>
      </c>
      <c r="IO43" s="38">
        <f t="shared" si="272"/>
        <v>0.96515924631631833</v>
      </c>
      <c r="IP43" s="38">
        <f t="shared" si="272"/>
        <v>0.96314266066177445</v>
      </c>
    </row>
    <row r="44" spans="3:250">
      <c r="C44" s="143"/>
      <c r="G44" s="125">
        <f t="shared" si="260"/>
        <v>0</v>
      </c>
      <c r="H44" s="203" t="s">
        <v>65</v>
      </c>
      <c r="I44" s="49" t="s">
        <v>3</v>
      </c>
      <c r="J44" s="50" t="s">
        <v>63</v>
      </c>
      <c r="K44" s="37"/>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8"/>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8"/>
      <c r="HO44" s="38"/>
      <c r="HP44" s="38"/>
      <c r="HQ44" s="38"/>
      <c r="HR44" s="38"/>
      <c r="HS44" s="38"/>
      <c r="HT44" s="38"/>
      <c r="HU44" s="38"/>
      <c r="HV44" s="38"/>
      <c r="HW44" s="38"/>
      <c r="HX44" s="38"/>
      <c r="HY44" s="38"/>
      <c r="HZ44" s="38"/>
      <c r="IA44" s="38"/>
      <c r="IB44" s="38"/>
      <c r="IC44" s="38"/>
      <c r="ID44" s="38"/>
      <c r="IE44" s="38"/>
      <c r="IF44" s="38"/>
      <c r="IG44" s="38"/>
      <c r="IH44" s="38"/>
      <c r="II44" s="38"/>
      <c r="IJ44" s="38"/>
      <c r="IK44" s="38"/>
      <c r="IL44" s="38"/>
      <c r="IM44" s="38"/>
      <c r="IN44" s="38"/>
      <c r="IO44" s="38"/>
      <c r="IP44" s="38"/>
    </row>
    <row r="45" spans="3:250">
      <c r="C45" s="143"/>
      <c r="G45" s="148"/>
      <c r="H45" s="187"/>
      <c r="I45" s="81" t="s">
        <v>115</v>
      </c>
      <c r="J45" s="149" t="s">
        <v>100</v>
      </c>
      <c r="K45" s="145">
        <f t="shared" ref="K45:BV45" si="273">K$41/K$40*100</f>
        <v>98.000000000000014</v>
      </c>
      <c r="L45" s="146">
        <f t="shared" si="273"/>
        <v>98.000000000000014</v>
      </c>
      <c r="M45" s="146">
        <f t="shared" si="273"/>
        <v>98</v>
      </c>
      <c r="N45" s="146">
        <f t="shared" si="273"/>
        <v>98</v>
      </c>
      <c r="O45" s="146">
        <f t="shared" si="273"/>
        <v>98</v>
      </c>
      <c r="P45" s="146">
        <f t="shared" si="273"/>
        <v>98</v>
      </c>
      <c r="Q45" s="146">
        <f t="shared" si="273"/>
        <v>98</v>
      </c>
      <c r="R45" s="146">
        <f t="shared" si="273"/>
        <v>98.000000000000014</v>
      </c>
      <c r="S45" s="146">
        <f t="shared" si="273"/>
        <v>97.999999999999986</v>
      </c>
      <c r="T45" s="146">
        <f t="shared" si="273"/>
        <v>98.000000000000014</v>
      </c>
      <c r="U45" s="146">
        <f t="shared" si="273"/>
        <v>98</v>
      </c>
      <c r="V45" s="146">
        <f t="shared" si="273"/>
        <v>98</v>
      </c>
      <c r="W45" s="146">
        <f t="shared" si="273"/>
        <v>97.999999999999986</v>
      </c>
      <c r="X45" s="146">
        <f t="shared" si="273"/>
        <v>98</v>
      </c>
      <c r="Y45" s="146">
        <f t="shared" si="273"/>
        <v>98</v>
      </c>
      <c r="Z45" s="146">
        <f t="shared" si="273"/>
        <v>98</v>
      </c>
      <c r="AA45" s="146">
        <f t="shared" si="273"/>
        <v>98</v>
      </c>
      <c r="AB45" s="146">
        <f t="shared" si="273"/>
        <v>97.999999999999986</v>
      </c>
      <c r="AC45" s="146">
        <f t="shared" si="273"/>
        <v>98</v>
      </c>
      <c r="AD45" s="146">
        <f t="shared" si="273"/>
        <v>98</v>
      </c>
      <c r="AE45" s="146">
        <f t="shared" si="273"/>
        <v>98</v>
      </c>
      <c r="AF45" s="146">
        <f t="shared" si="273"/>
        <v>97.999999999999986</v>
      </c>
      <c r="AG45" s="146">
        <f t="shared" si="273"/>
        <v>98</v>
      </c>
      <c r="AH45" s="146">
        <f t="shared" si="273"/>
        <v>98</v>
      </c>
      <c r="AI45" s="146">
        <f t="shared" si="273"/>
        <v>98</v>
      </c>
      <c r="AJ45" s="146">
        <f t="shared" si="273"/>
        <v>98.000000000000014</v>
      </c>
      <c r="AK45" s="146">
        <f t="shared" si="273"/>
        <v>98</v>
      </c>
      <c r="AL45" s="146">
        <f t="shared" si="273"/>
        <v>98</v>
      </c>
      <c r="AM45" s="146">
        <f t="shared" si="273"/>
        <v>98</v>
      </c>
      <c r="AN45" s="146">
        <f t="shared" si="273"/>
        <v>98.000000000000014</v>
      </c>
      <c r="AO45" s="146">
        <f t="shared" si="273"/>
        <v>98</v>
      </c>
      <c r="AP45" s="146">
        <f t="shared" si="273"/>
        <v>98</v>
      </c>
      <c r="AQ45" s="146">
        <f t="shared" si="273"/>
        <v>97.999999999999986</v>
      </c>
      <c r="AR45" s="146">
        <f t="shared" si="273"/>
        <v>98</v>
      </c>
      <c r="AS45" s="146">
        <f t="shared" si="273"/>
        <v>97.999999999999986</v>
      </c>
      <c r="AT45" s="146">
        <f t="shared" si="273"/>
        <v>98.000000000000014</v>
      </c>
      <c r="AU45" s="146">
        <f t="shared" si="273"/>
        <v>98</v>
      </c>
      <c r="AV45" s="146">
        <f t="shared" si="273"/>
        <v>98</v>
      </c>
      <c r="AW45" s="146">
        <f t="shared" si="273"/>
        <v>98</v>
      </c>
      <c r="AX45" s="146">
        <f t="shared" si="273"/>
        <v>98</v>
      </c>
      <c r="AY45" s="146">
        <f t="shared" si="273"/>
        <v>98</v>
      </c>
      <c r="AZ45" s="146">
        <f t="shared" si="273"/>
        <v>97.999999999999986</v>
      </c>
      <c r="BA45" s="146">
        <f t="shared" si="273"/>
        <v>98</v>
      </c>
      <c r="BB45" s="146">
        <f t="shared" si="273"/>
        <v>98</v>
      </c>
      <c r="BC45" s="146">
        <f t="shared" si="273"/>
        <v>98.000000000000014</v>
      </c>
      <c r="BD45" s="146">
        <f t="shared" si="273"/>
        <v>98</v>
      </c>
      <c r="BE45" s="146">
        <f t="shared" si="273"/>
        <v>98</v>
      </c>
      <c r="BF45" s="146">
        <f t="shared" si="273"/>
        <v>98.000000000000014</v>
      </c>
      <c r="BG45" s="146">
        <f t="shared" si="273"/>
        <v>98.000000000000014</v>
      </c>
      <c r="BH45" s="146">
        <f t="shared" si="273"/>
        <v>98.000000000000014</v>
      </c>
      <c r="BI45" s="146">
        <f t="shared" si="273"/>
        <v>97.999999999999986</v>
      </c>
      <c r="BJ45" s="146">
        <f t="shared" si="273"/>
        <v>98</v>
      </c>
      <c r="BK45" s="146">
        <f t="shared" si="273"/>
        <v>98.000000000000014</v>
      </c>
      <c r="BL45" s="146">
        <f t="shared" si="273"/>
        <v>98</v>
      </c>
      <c r="BM45" s="146">
        <f t="shared" si="273"/>
        <v>98</v>
      </c>
      <c r="BN45" s="146">
        <f t="shared" si="273"/>
        <v>98</v>
      </c>
      <c r="BO45" s="146">
        <f t="shared" si="273"/>
        <v>98</v>
      </c>
      <c r="BP45" s="146">
        <f t="shared" si="273"/>
        <v>98</v>
      </c>
      <c r="BQ45" s="146">
        <f t="shared" si="273"/>
        <v>98</v>
      </c>
      <c r="BR45" s="146">
        <f t="shared" si="273"/>
        <v>98</v>
      </c>
      <c r="BS45" s="146">
        <f t="shared" si="273"/>
        <v>98</v>
      </c>
      <c r="BT45" s="146">
        <f t="shared" si="273"/>
        <v>98</v>
      </c>
      <c r="BU45" s="146">
        <f t="shared" si="273"/>
        <v>98</v>
      </c>
      <c r="BV45" s="146">
        <f t="shared" si="273"/>
        <v>98</v>
      </c>
      <c r="BW45" s="146">
        <f t="shared" ref="BW45:EH45" si="274">BW$41/BW$40*100</f>
        <v>98</v>
      </c>
      <c r="BX45" s="146">
        <f t="shared" si="274"/>
        <v>98</v>
      </c>
      <c r="BY45" s="146">
        <f t="shared" si="274"/>
        <v>98</v>
      </c>
      <c r="BZ45" s="146">
        <f t="shared" si="274"/>
        <v>98</v>
      </c>
      <c r="CA45" s="146">
        <f t="shared" si="274"/>
        <v>98</v>
      </c>
      <c r="CB45" s="146">
        <f t="shared" si="274"/>
        <v>98</v>
      </c>
      <c r="CC45" s="146">
        <f t="shared" si="274"/>
        <v>98</v>
      </c>
      <c r="CD45" s="146">
        <f t="shared" si="274"/>
        <v>98</v>
      </c>
      <c r="CE45" s="146">
        <f t="shared" si="274"/>
        <v>98</v>
      </c>
      <c r="CF45" s="146">
        <f t="shared" si="274"/>
        <v>98</v>
      </c>
      <c r="CG45" s="146">
        <f t="shared" si="274"/>
        <v>98</v>
      </c>
      <c r="CH45" s="146">
        <f t="shared" si="274"/>
        <v>98</v>
      </c>
      <c r="CI45" s="146">
        <f t="shared" si="274"/>
        <v>98</v>
      </c>
      <c r="CJ45" s="146">
        <f t="shared" si="274"/>
        <v>98</v>
      </c>
      <c r="CK45" s="146">
        <f t="shared" si="274"/>
        <v>98</v>
      </c>
      <c r="CL45" s="146">
        <f t="shared" si="274"/>
        <v>98</v>
      </c>
      <c r="CM45" s="146">
        <f t="shared" si="274"/>
        <v>98</v>
      </c>
      <c r="CN45" s="146">
        <f t="shared" si="274"/>
        <v>98</v>
      </c>
      <c r="CO45" s="146">
        <f t="shared" si="274"/>
        <v>98.000000000000014</v>
      </c>
      <c r="CP45" s="146">
        <f t="shared" si="274"/>
        <v>98</v>
      </c>
      <c r="CQ45" s="146">
        <f t="shared" si="274"/>
        <v>98</v>
      </c>
      <c r="CR45" s="146">
        <f t="shared" si="274"/>
        <v>98</v>
      </c>
      <c r="CS45" s="146">
        <f t="shared" si="274"/>
        <v>98.000000000000014</v>
      </c>
      <c r="CT45" s="146">
        <f t="shared" si="274"/>
        <v>98</v>
      </c>
      <c r="CU45" s="146">
        <f t="shared" si="274"/>
        <v>98.000000000000014</v>
      </c>
      <c r="CV45" s="146">
        <f t="shared" si="274"/>
        <v>98.000000000000014</v>
      </c>
      <c r="CW45" s="146">
        <f t="shared" si="274"/>
        <v>97.999999999999986</v>
      </c>
      <c r="CX45" s="146">
        <f t="shared" si="274"/>
        <v>98</v>
      </c>
      <c r="CY45" s="146">
        <f t="shared" si="274"/>
        <v>98</v>
      </c>
      <c r="CZ45" s="146">
        <f t="shared" si="274"/>
        <v>97.999999999999986</v>
      </c>
      <c r="DA45" s="146">
        <f t="shared" si="274"/>
        <v>98</v>
      </c>
      <c r="DB45" s="146">
        <f t="shared" si="274"/>
        <v>98.000000000000014</v>
      </c>
      <c r="DC45" s="146">
        <f t="shared" si="274"/>
        <v>98</v>
      </c>
      <c r="DD45" s="146">
        <f t="shared" si="274"/>
        <v>98</v>
      </c>
      <c r="DE45" s="146">
        <f t="shared" si="274"/>
        <v>98</v>
      </c>
      <c r="DF45" s="146">
        <f t="shared" si="274"/>
        <v>98.000000000000014</v>
      </c>
      <c r="DG45" s="146">
        <f t="shared" si="274"/>
        <v>98.000000000000014</v>
      </c>
      <c r="DH45" s="146">
        <f t="shared" si="274"/>
        <v>98</v>
      </c>
      <c r="DI45" s="146">
        <f t="shared" si="274"/>
        <v>97.999999999999986</v>
      </c>
      <c r="DJ45" s="146">
        <f t="shared" si="274"/>
        <v>98</v>
      </c>
      <c r="DK45" s="146">
        <f t="shared" si="274"/>
        <v>98.000000000000014</v>
      </c>
      <c r="DL45" s="146">
        <f t="shared" si="274"/>
        <v>98</v>
      </c>
      <c r="DM45" s="146">
        <f t="shared" si="274"/>
        <v>98</v>
      </c>
      <c r="DN45" s="146">
        <f t="shared" si="274"/>
        <v>98</v>
      </c>
      <c r="DO45" s="146">
        <f t="shared" si="274"/>
        <v>98</v>
      </c>
      <c r="DP45" s="146">
        <f t="shared" si="274"/>
        <v>98</v>
      </c>
      <c r="DQ45" s="146">
        <f t="shared" si="274"/>
        <v>98</v>
      </c>
      <c r="DR45" s="146">
        <f t="shared" si="274"/>
        <v>98</v>
      </c>
      <c r="DS45" s="146">
        <f t="shared" si="274"/>
        <v>98</v>
      </c>
      <c r="DT45" s="146">
        <f t="shared" si="274"/>
        <v>98</v>
      </c>
      <c r="DU45" s="146">
        <f t="shared" si="274"/>
        <v>98</v>
      </c>
      <c r="DV45" s="146">
        <f t="shared" si="274"/>
        <v>98</v>
      </c>
      <c r="DW45" s="146">
        <f t="shared" si="274"/>
        <v>98</v>
      </c>
      <c r="DX45" s="146">
        <f t="shared" si="274"/>
        <v>98</v>
      </c>
      <c r="DY45" s="146">
        <f t="shared" si="274"/>
        <v>98.000000000000014</v>
      </c>
      <c r="DZ45" s="146">
        <f t="shared" si="274"/>
        <v>98</v>
      </c>
      <c r="EA45" s="146">
        <f t="shared" si="274"/>
        <v>97.999999999999986</v>
      </c>
      <c r="EB45" s="146">
        <f t="shared" si="274"/>
        <v>98</v>
      </c>
      <c r="EC45" s="146">
        <f t="shared" si="274"/>
        <v>98</v>
      </c>
      <c r="ED45" s="146">
        <f t="shared" si="274"/>
        <v>98.000000000000014</v>
      </c>
      <c r="EE45" s="146">
        <f t="shared" si="274"/>
        <v>98</v>
      </c>
      <c r="EF45" s="146">
        <f t="shared" si="274"/>
        <v>98</v>
      </c>
      <c r="EG45" s="146">
        <f t="shared" si="274"/>
        <v>98</v>
      </c>
      <c r="EH45" s="146">
        <f t="shared" si="274"/>
        <v>98</v>
      </c>
      <c r="EI45" s="146">
        <f t="shared" ref="EI45:GT45" si="275">EI$41/EI$40*100</f>
        <v>98</v>
      </c>
      <c r="EJ45" s="146">
        <f t="shared" si="275"/>
        <v>98</v>
      </c>
      <c r="EK45" s="146">
        <f t="shared" si="275"/>
        <v>98</v>
      </c>
      <c r="EL45" s="146">
        <f t="shared" si="275"/>
        <v>98.000000000000014</v>
      </c>
      <c r="EM45" s="146">
        <f t="shared" si="275"/>
        <v>98</v>
      </c>
      <c r="EN45" s="146">
        <f t="shared" si="275"/>
        <v>98</v>
      </c>
      <c r="EO45" s="146">
        <f t="shared" si="275"/>
        <v>97.999999999999986</v>
      </c>
      <c r="EP45" s="146">
        <f t="shared" si="275"/>
        <v>98.000000000000014</v>
      </c>
      <c r="EQ45" s="146">
        <f t="shared" si="275"/>
        <v>97.999999999999986</v>
      </c>
      <c r="ER45" s="146">
        <f t="shared" si="275"/>
        <v>98</v>
      </c>
      <c r="ES45" s="146">
        <f t="shared" si="275"/>
        <v>98</v>
      </c>
      <c r="ET45" s="146">
        <f t="shared" si="275"/>
        <v>98</v>
      </c>
      <c r="EU45" s="146">
        <f t="shared" si="275"/>
        <v>98</v>
      </c>
      <c r="EV45" s="146">
        <f t="shared" si="275"/>
        <v>98</v>
      </c>
      <c r="EW45" s="146">
        <f t="shared" si="275"/>
        <v>97.999999999999986</v>
      </c>
      <c r="EX45" s="146">
        <f t="shared" si="275"/>
        <v>98</v>
      </c>
      <c r="EY45" s="146">
        <f t="shared" si="275"/>
        <v>98</v>
      </c>
      <c r="EZ45" s="146">
        <f t="shared" si="275"/>
        <v>98</v>
      </c>
      <c r="FA45" s="146">
        <f t="shared" si="275"/>
        <v>98.000000000000014</v>
      </c>
      <c r="FB45" s="146">
        <f t="shared" si="275"/>
        <v>98.000000000000014</v>
      </c>
      <c r="FC45" s="146">
        <f t="shared" si="275"/>
        <v>98.000000000000014</v>
      </c>
      <c r="FD45" s="146">
        <f t="shared" si="275"/>
        <v>98</v>
      </c>
      <c r="FE45" s="146">
        <f t="shared" si="275"/>
        <v>98</v>
      </c>
      <c r="FF45" s="146">
        <f t="shared" si="275"/>
        <v>98.000000000000014</v>
      </c>
      <c r="FG45" s="146">
        <f t="shared" si="275"/>
        <v>98</v>
      </c>
      <c r="FH45" s="146">
        <f t="shared" si="275"/>
        <v>97.999999999999986</v>
      </c>
      <c r="FI45" s="146">
        <f t="shared" si="275"/>
        <v>98</v>
      </c>
      <c r="FJ45" s="146">
        <f t="shared" si="275"/>
        <v>98</v>
      </c>
      <c r="FK45" s="146">
        <f t="shared" si="275"/>
        <v>98.000000000000014</v>
      </c>
      <c r="FL45" s="146">
        <f t="shared" si="275"/>
        <v>98</v>
      </c>
      <c r="FM45" s="146">
        <f t="shared" si="275"/>
        <v>98.000000000000014</v>
      </c>
      <c r="FN45" s="146">
        <f t="shared" si="275"/>
        <v>98</v>
      </c>
      <c r="FO45" s="146">
        <f t="shared" si="275"/>
        <v>98.000000000000014</v>
      </c>
      <c r="FP45" s="146">
        <f t="shared" si="275"/>
        <v>98</v>
      </c>
      <c r="FQ45" s="146">
        <f t="shared" si="275"/>
        <v>98</v>
      </c>
      <c r="FR45" s="146">
        <f t="shared" si="275"/>
        <v>98</v>
      </c>
      <c r="FS45" s="146">
        <f t="shared" si="275"/>
        <v>97.999999999999986</v>
      </c>
      <c r="FT45" s="146">
        <f t="shared" si="275"/>
        <v>98</v>
      </c>
      <c r="FU45" s="146">
        <f t="shared" si="275"/>
        <v>98</v>
      </c>
      <c r="FV45" s="146">
        <f t="shared" si="275"/>
        <v>97.999999999999986</v>
      </c>
      <c r="FW45" s="146">
        <f t="shared" si="275"/>
        <v>98</v>
      </c>
      <c r="FX45" s="146">
        <f t="shared" si="275"/>
        <v>97.999999999999986</v>
      </c>
      <c r="FY45" s="146">
        <f t="shared" si="275"/>
        <v>98.000000000000014</v>
      </c>
      <c r="FZ45" s="146">
        <f t="shared" si="275"/>
        <v>97.999999999999986</v>
      </c>
      <c r="GA45" s="146">
        <f t="shared" si="275"/>
        <v>98</v>
      </c>
      <c r="GB45" s="146">
        <f t="shared" si="275"/>
        <v>98</v>
      </c>
      <c r="GC45" s="146">
        <f t="shared" si="275"/>
        <v>98</v>
      </c>
      <c r="GD45" s="146">
        <f t="shared" si="275"/>
        <v>98</v>
      </c>
      <c r="GE45" s="146">
        <f t="shared" si="275"/>
        <v>98</v>
      </c>
      <c r="GF45" s="146">
        <f t="shared" si="275"/>
        <v>98.000000000000014</v>
      </c>
      <c r="GG45" s="146">
        <f t="shared" si="275"/>
        <v>98.000000000000014</v>
      </c>
      <c r="GH45" s="146">
        <f t="shared" si="275"/>
        <v>98</v>
      </c>
      <c r="GI45" s="146">
        <f t="shared" si="275"/>
        <v>98.000000000000014</v>
      </c>
      <c r="GJ45" s="146">
        <f t="shared" si="275"/>
        <v>97.999999999999986</v>
      </c>
      <c r="GK45" s="146">
        <f t="shared" si="275"/>
        <v>98</v>
      </c>
      <c r="GL45" s="146">
        <f t="shared" si="275"/>
        <v>98</v>
      </c>
      <c r="GM45" s="146">
        <f t="shared" si="275"/>
        <v>98.000000000000014</v>
      </c>
      <c r="GN45" s="146">
        <f t="shared" si="275"/>
        <v>98</v>
      </c>
      <c r="GO45" s="146">
        <f t="shared" si="275"/>
        <v>98.000000000000014</v>
      </c>
      <c r="GP45" s="146">
        <f t="shared" si="275"/>
        <v>98</v>
      </c>
      <c r="GQ45" s="146">
        <f t="shared" si="275"/>
        <v>98.000000000000014</v>
      </c>
      <c r="GR45" s="146">
        <f t="shared" si="275"/>
        <v>98</v>
      </c>
      <c r="GS45" s="146">
        <f t="shared" si="275"/>
        <v>98</v>
      </c>
      <c r="GT45" s="146">
        <f t="shared" si="275"/>
        <v>98.000000000000014</v>
      </c>
      <c r="GU45" s="146">
        <f t="shared" ref="GU45:IP45" si="276">GU$41/GU$40*100</f>
        <v>98</v>
      </c>
      <c r="GV45" s="146">
        <f t="shared" si="276"/>
        <v>97.999999999999986</v>
      </c>
      <c r="GW45" s="146">
        <f t="shared" si="276"/>
        <v>98.000000000000014</v>
      </c>
      <c r="GX45" s="146">
        <f t="shared" si="276"/>
        <v>98</v>
      </c>
      <c r="GY45" s="146">
        <f t="shared" si="276"/>
        <v>98.000000000000014</v>
      </c>
      <c r="GZ45" s="146">
        <f t="shared" si="276"/>
        <v>98.000000000000014</v>
      </c>
      <c r="HA45" s="146">
        <f t="shared" si="276"/>
        <v>98</v>
      </c>
      <c r="HB45" s="146">
        <f t="shared" si="276"/>
        <v>97.999999999999986</v>
      </c>
      <c r="HC45" s="146">
        <f t="shared" si="276"/>
        <v>98</v>
      </c>
      <c r="HD45" s="146">
        <f t="shared" si="276"/>
        <v>98</v>
      </c>
      <c r="HE45" s="146">
        <f t="shared" si="276"/>
        <v>97.999999999999986</v>
      </c>
      <c r="HF45" s="146">
        <f t="shared" si="276"/>
        <v>97.999999999999986</v>
      </c>
      <c r="HG45" s="146">
        <f t="shared" si="276"/>
        <v>98.000000000000014</v>
      </c>
      <c r="HH45" s="146">
        <f t="shared" si="276"/>
        <v>98.000000000000014</v>
      </c>
      <c r="HI45" s="146">
        <f t="shared" si="276"/>
        <v>98</v>
      </c>
      <c r="HJ45" s="146">
        <f t="shared" si="276"/>
        <v>98</v>
      </c>
      <c r="HK45" s="146">
        <f t="shared" si="276"/>
        <v>98</v>
      </c>
      <c r="HL45" s="146">
        <f t="shared" si="276"/>
        <v>98.000000000000014</v>
      </c>
      <c r="HM45" s="146">
        <f t="shared" si="276"/>
        <v>98</v>
      </c>
      <c r="HN45" s="146">
        <f t="shared" si="276"/>
        <v>97.999999999999986</v>
      </c>
      <c r="HO45" s="146">
        <f t="shared" si="276"/>
        <v>98</v>
      </c>
      <c r="HP45" s="146">
        <f t="shared" si="276"/>
        <v>98</v>
      </c>
      <c r="HQ45" s="146">
        <f t="shared" si="276"/>
        <v>98</v>
      </c>
      <c r="HR45" s="146">
        <f t="shared" si="276"/>
        <v>98</v>
      </c>
      <c r="HS45" s="146">
        <f t="shared" si="276"/>
        <v>98</v>
      </c>
      <c r="HT45" s="146">
        <f t="shared" si="276"/>
        <v>98</v>
      </c>
      <c r="HU45" s="146">
        <f t="shared" si="276"/>
        <v>98</v>
      </c>
      <c r="HV45" s="146">
        <f t="shared" si="276"/>
        <v>98</v>
      </c>
      <c r="HW45" s="146">
        <f t="shared" si="276"/>
        <v>98</v>
      </c>
      <c r="HX45" s="146">
        <f t="shared" si="276"/>
        <v>98</v>
      </c>
      <c r="HY45" s="146">
        <f t="shared" si="276"/>
        <v>98</v>
      </c>
      <c r="HZ45" s="146">
        <f t="shared" si="276"/>
        <v>98</v>
      </c>
      <c r="IA45" s="146">
        <f t="shared" si="276"/>
        <v>98</v>
      </c>
      <c r="IB45" s="146">
        <f t="shared" si="276"/>
        <v>98</v>
      </c>
      <c r="IC45" s="146">
        <f t="shared" si="276"/>
        <v>98</v>
      </c>
      <c r="ID45" s="146">
        <f t="shared" si="276"/>
        <v>98</v>
      </c>
      <c r="IE45" s="146">
        <f t="shared" si="276"/>
        <v>98</v>
      </c>
      <c r="IF45" s="146">
        <f t="shared" si="276"/>
        <v>98</v>
      </c>
      <c r="IG45" s="146">
        <f t="shared" si="276"/>
        <v>98</v>
      </c>
      <c r="IH45" s="146">
        <f t="shared" si="276"/>
        <v>98</v>
      </c>
      <c r="II45" s="146">
        <f t="shared" si="276"/>
        <v>98</v>
      </c>
      <c r="IJ45" s="146">
        <f t="shared" si="276"/>
        <v>98</v>
      </c>
      <c r="IK45" s="146">
        <f t="shared" si="276"/>
        <v>98</v>
      </c>
      <c r="IL45" s="146">
        <f t="shared" si="276"/>
        <v>98</v>
      </c>
      <c r="IM45" s="146">
        <f t="shared" si="276"/>
        <v>98</v>
      </c>
      <c r="IN45" s="146">
        <f t="shared" si="276"/>
        <v>98</v>
      </c>
      <c r="IO45" s="146">
        <f t="shared" si="276"/>
        <v>98</v>
      </c>
      <c r="IP45" s="146">
        <f t="shared" si="276"/>
        <v>98</v>
      </c>
    </row>
    <row r="46" spans="3:250">
      <c r="G46" s="150"/>
      <c r="H46" s="15"/>
      <c r="I46" s="16" t="s">
        <v>118</v>
      </c>
      <c r="J46" s="151" t="s">
        <v>101</v>
      </c>
      <c r="K46" s="37">
        <f t="shared" ref="K46:BV46" si="277">K$42/K$40</f>
        <v>25</v>
      </c>
      <c r="L46" s="38">
        <f t="shared" si="277"/>
        <v>24.851164850793015</v>
      </c>
      <c r="M46" s="38">
        <f t="shared" si="277"/>
        <v>24.703215777651607</v>
      </c>
      <c r="N46" s="38">
        <f t="shared" si="277"/>
        <v>24.556147505405239</v>
      </c>
      <c r="O46" s="38">
        <f t="shared" si="277"/>
        <v>24.409954790288605</v>
      </c>
      <c r="P46" s="38">
        <f t="shared" si="277"/>
        <v>24.264632419754669</v>
      </c>
      <c r="Q46" s="38">
        <f t="shared" si="277"/>
        <v>24.120175212288789</v>
      </c>
      <c r="R46" s="38">
        <f t="shared" si="277"/>
        <v>23.976578017224004</v>
      </c>
      <c r="S46" s="38">
        <f t="shared" si="277"/>
        <v>23.833835714557342</v>
      </c>
      <c r="T46" s="38">
        <f t="shared" si="277"/>
        <v>23.691943214767303</v>
      </c>
      <c r="U46" s="38">
        <f t="shared" si="277"/>
        <v>23.550895458632368</v>
      </c>
      <c r="V46" s="38">
        <f t="shared" si="277"/>
        <v>23.410687417050617</v>
      </c>
      <c r="W46" s="38">
        <f t="shared" si="277"/>
        <v>23.271314090860422</v>
      </c>
      <c r="X46" s="38">
        <f t="shared" si="277"/>
        <v>23.132770510662187</v>
      </c>
      <c r="Y46" s="38">
        <f t="shared" si="277"/>
        <v>22.99505173664117</v>
      </c>
      <c r="Z46" s="38">
        <f t="shared" si="277"/>
        <v>22.858152858391353</v>
      </c>
      <c r="AA46" s="38">
        <f t="shared" si="277"/>
        <v>22.722068994740365</v>
      </c>
      <c r="AB46" s="38">
        <f t="shared" si="277"/>
        <v>22.586795293575417</v>
      </c>
      <c r="AC46" s="38">
        <f t="shared" si="277"/>
        <v>22.452326931670338</v>
      </c>
      <c r="AD46" s="38">
        <f t="shared" si="277"/>
        <v>22.318659114513569</v>
      </c>
      <c r="AE46" s="38">
        <f t="shared" si="277"/>
        <v>22.185787076137228</v>
      </c>
      <c r="AF46" s="38">
        <f t="shared" si="277"/>
        <v>22.053706078947176</v>
      </c>
      <c r="AG46" s="38">
        <f t="shared" si="277"/>
        <v>21.922411413554091</v>
      </c>
      <c r="AH46" s="38">
        <f t="shared" si="277"/>
        <v>21.791898398605557</v>
      </c>
      <c r="AI46" s="38">
        <f t="shared" si="277"/>
        <v>21.662162380619154</v>
      </c>
      <c r="AJ46" s="38">
        <f t="shared" si="277"/>
        <v>21.533198733816537</v>
      </c>
      <c r="AK46" s="38">
        <f t="shared" si="277"/>
        <v>21.405002859958483</v>
      </c>
      <c r="AL46" s="38">
        <f t="shared" si="277"/>
        <v>21.277570188180967</v>
      </c>
      <c r="AM46" s="38">
        <f t="shared" si="277"/>
        <v>21.150896174832162</v>
      </c>
      <c r="AN46" s="38">
        <f t="shared" si="277"/>
        <v>21.024976303310456</v>
      </c>
      <c r="AO46" s="38">
        <f t="shared" si="277"/>
        <v>20.899806083903393</v>
      </c>
      <c r="AP46" s="38">
        <f t="shared" si="277"/>
        <v>20.775381053627598</v>
      </c>
      <c r="AQ46" s="38">
        <f t="shared" si="277"/>
        <v>20.651696776069649</v>
      </c>
      <c r="AR46" s="38">
        <f t="shared" si="277"/>
        <v>20.528748841227898</v>
      </c>
      <c r="AS46" s="38">
        <f t="shared" si="277"/>
        <v>20.406532865355221</v>
      </c>
      <c r="AT46" s="38">
        <f t="shared" si="277"/>
        <v>20.285044490802722</v>
      </c>
      <c r="AU46" s="38">
        <f t="shared" si="277"/>
        <v>20.164279385864361</v>
      </c>
      <c r="AV46" s="38">
        <f t="shared" si="277"/>
        <v>20.0442332446225</v>
      </c>
      <c r="AW46" s="38">
        <f t="shared" si="277"/>
        <v>19.924901786794379</v>
      </c>
      <c r="AX46" s="38">
        <f t="shared" si="277"/>
        <v>19.806280757579493</v>
      </c>
      <c r="AY46" s="38">
        <f t="shared" si="277"/>
        <v>19.688365927507899</v>
      </c>
      <c r="AZ46" s="38">
        <f t="shared" si="277"/>
        <v>19.571153092289403</v>
      </c>
      <c r="BA46" s="38">
        <f t="shared" si="277"/>
        <v>19.454638072663656</v>
      </c>
      <c r="BB46" s="38">
        <f t="shared" si="277"/>
        <v>19.338816714251141</v>
      </c>
      <c r="BC46" s="38">
        <f t="shared" si="277"/>
        <v>19.223684887405053</v>
      </c>
      <c r="BD46" s="38">
        <f t="shared" si="277"/>
        <v>19.109238487064051</v>
      </c>
      <c r="BE46" s="38">
        <f t="shared" si="277"/>
        <v>18.995473432605888</v>
      </c>
      <c r="BF46" s="38">
        <f t="shared" si="277"/>
        <v>18.882385667701918</v>
      </c>
      <c r="BG46" s="38">
        <f t="shared" si="277"/>
        <v>18.769971160172464</v>
      </c>
      <c r="BH46" s="38">
        <f t="shared" si="277"/>
        <v>18.658225901843057</v>
      </c>
      <c r="BI46" s="38">
        <f t="shared" si="277"/>
        <v>18.547145908401518</v>
      </c>
      <c r="BJ46" s="38">
        <f t="shared" si="277"/>
        <v>18.436727219255889</v>
      </c>
      <c r="BK46" s="38">
        <f t="shared" si="277"/>
        <v>18.326965897393229</v>
      </c>
      <c r="BL46" s="38">
        <f t="shared" si="277"/>
        <v>18.217858029239235</v>
      </c>
      <c r="BM46" s="38">
        <f t="shared" si="277"/>
        <v>18.109399724518692</v>
      </c>
      <c r="BN46" s="38">
        <f t="shared" si="277"/>
        <v>18.001587116116781</v>
      </c>
      <c r="BO46" s="38">
        <f t="shared" si="277"/>
        <v>17.894416359941186</v>
      </c>
      <c r="BP46" s="38">
        <f t="shared" si="277"/>
        <v>17.787883634785032</v>
      </c>
      <c r="BQ46" s="38">
        <f t="shared" si="277"/>
        <v>17.681985142190641</v>
      </c>
      <c r="BR46" s="38">
        <f t="shared" si="277"/>
        <v>17.576717106314092</v>
      </c>
      <c r="BS46" s="38">
        <f t="shared" si="277"/>
        <v>17.4720757737906</v>
      </c>
      <c r="BT46" s="38">
        <f t="shared" si="277"/>
        <v>17.368057413600681</v>
      </c>
      <c r="BU46" s="38">
        <f t="shared" si="277"/>
        <v>17.26465831693713</v>
      </c>
      <c r="BV46" s="38">
        <f t="shared" si="277"/>
        <v>17.16187479707277</v>
      </c>
      <c r="BW46" s="38">
        <f t="shared" ref="BW46:EH46" si="278">BW$42/BW$40</f>
        <v>17.059703189229012</v>
      </c>
      <c r="BX46" s="38">
        <f t="shared" si="278"/>
        <v>16.958139850445178</v>
      </c>
      <c r="BY46" s="38">
        <f t="shared" si="278"/>
        <v>16.857181159448619</v>
      </c>
      <c r="BZ46" s="38">
        <f t="shared" si="278"/>
        <v>16.756823516525589</v>
      </c>
      <c r="CA46" s="38">
        <f t="shared" si="278"/>
        <v>16.657063343392899</v>
      </c>
      <c r="CB46" s="38">
        <f t="shared" si="278"/>
        <v>16.557897083070333</v>
      </c>
      <c r="CC46" s="38">
        <f t="shared" si="278"/>
        <v>16.459321199753823</v>
      </c>
      <c r="CD46" s="38">
        <f t="shared" si="278"/>
        <v>16.361332178689381</v>
      </c>
      <c r="CE46" s="38">
        <f t="shared" si="278"/>
        <v>16.263926526047769</v>
      </c>
      <c r="CF46" s="38">
        <f t="shared" si="278"/>
        <v>16.167100768799937</v>
      </c>
      <c r="CG46" s="38">
        <f t="shared" si="278"/>
        <v>16.070851454593186</v>
      </c>
      <c r="CH46" s="38">
        <f t="shared" si="278"/>
        <v>15.975175151628079</v>
      </c>
      <c r="CI46" s="38">
        <f t="shared" si="278"/>
        <v>15.880068448536065</v>
      </c>
      <c r="CJ46" s="38">
        <f t="shared" si="278"/>
        <v>15.785527954257862</v>
      </c>
      <c r="CK46" s="38">
        <f t="shared" si="278"/>
        <v>15.691550297922541</v>
      </c>
      <c r="CL46" s="38">
        <f t="shared" si="278"/>
        <v>15.598132128727331</v>
      </c>
      <c r="CM46" s="38">
        <f t="shared" si="278"/>
        <v>15.505270115818153</v>
      </c>
      <c r="CN46" s="38">
        <f t="shared" si="278"/>
        <v>15.412960948170854</v>
      </c>
      <c r="CO46" s="38">
        <f t="shared" si="278"/>
        <v>15.321201334473153</v>
      </c>
      <c r="CP46" s="38">
        <f t="shared" si="278"/>
        <v>15.229988003007287</v>
      </c>
      <c r="CQ46" s="38">
        <f t="shared" si="278"/>
        <v>15.13931770153336</v>
      </c>
      <c r="CR46" s="38">
        <f t="shared" si="278"/>
        <v>15.049187197173371</v>
      </c>
      <c r="CS46" s="38">
        <f t="shared" si="278"/>
        <v>14.959593276295964</v>
      </c>
      <c r="CT46" s="38">
        <f t="shared" si="278"/>
        <v>14.87053274440183</v>
      </c>
      <c r="CU46" s="38">
        <f t="shared" si="278"/>
        <v>14.782002426009811</v>
      </c>
      <c r="CV46" s="38">
        <f t="shared" si="278"/>
        <v>14.693999164543682</v>
      </c>
      <c r="CW46" s="38">
        <f t="shared" si="278"/>
        <v>14.606519822219592</v>
      </c>
      <c r="CX46" s="38">
        <f t="shared" si="278"/>
        <v>14.519561279934198</v>
      </c>
      <c r="CY46" s="38">
        <f t="shared" si="278"/>
        <v>14.433120437153438</v>
      </c>
      <c r="CZ46" s="38">
        <f t="shared" si="278"/>
        <v>14.347194211801993</v>
      </c>
      <c r="DA46" s="38">
        <f t="shared" si="278"/>
        <v>14.261779540153386</v>
      </c>
      <c r="DB46" s="38">
        <f t="shared" si="278"/>
        <v>14.176873376720749</v>
      </c>
      <c r="DC46" s="38">
        <f t="shared" si="278"/>
        <v>14.092472694148237</v>
      </c>
      <c r="DD46" s="38">
        <f t="shared" si="278"/>
        <v>14.008574483103079</v>
      </c>
      <c r="DE46" s="38">
        <f t="shared" si="278"/>
        <v>13.925175752168284</v>
      </c>
      <c r="DF46" s="38">
        <f t="shared" si="278"/>
        <v>13.842273527735985</v>
      </c>
      <c r="DG46" s="38">
        <f t="shared" si="278"/>
        <v>13.759864853901405</v>
      </c>
      <c r="DH46" s="38">
        <f t="shared" si="278"/>
        <v>13.677946792357471</v>
      </c>
      <c r="DI46" s="38">
        <f t="shared" si="278"/>
        <v>13.596516422290039</v>
      </c>
      <c r="DJ46" s="38">
        <f t="shared" si="278"/>
        <v>13.515570840273766</v>
      </c>
      <c r="DK46" s="38">
        <f t="shared" si="278"/>
        <v>13.435107160168577</v>
      </c>
      <c r="DL46" s="38">
        <f t="shared" si="278"/>
        <v>13.355122513016754</v>
      </c>
      <c r="DM46" s="38">
        <f t="shared" si="278"/>
        <v>13.275614046940655</v>
      </c>
      <c r="DN46" s="38">
        <f t="shared" si="278"/>
        <v>13.196578927041022</v>
      </c>
      <c r="DO46" s="38">
        <f t="shared" si="278"/>
        <v>13.118014335295905</v>
      </c>
      <c r="DP46" s="38">
        <f t="shared" si="278"/>
        <v>13.039917470460178</v>
      </c>
      <c r="DQ46" s="38">
        <f t="shared" si="278"/>
        <v>12.962285547965671</v>
      </c>
      <c r="DR46" s="38">
        <f t="shared" si="278"/>
        <v>12.885115799821868</v>
      </c>
      <c r="DS46" s="38">
        <f t="shared" si="278"/>
        <v>12.808405474517235</v>
      </c>
      <c r="DT46" s="38">
        <f t="shared" si="278"/>
        <v>12.7321518369211</v>
      </c>
      <c r="DU46" s="38">
        <f t="shared" si="278"/>
        <v>12.656352168186132</v>
      </c>
      <c r="DV46" s="38">
        <f t="shared" si="278"/>
        <v>12.581003765651406</v>
      </c>
      <c r="DW46" s="38">
        <f t="shared" si="278"/>
        <v>12.50610394274603</v>
      </c>
      <c r="DX46" s="38">
        <f t="shared" si="278"/>
        <v>12.43165002889336</v>
      </c>
      <c r="DY46" s="38">
        <f t="shared" si="278"/>
        <v>12.357639369415782</v>
      </c>
      <c r="DZ46" s="38">
        <f t="shared" si="278"/>
        <v>12.284069325440056</v>
      </c>
      <c r="EA46" s="38">
        <f t="shared" si="278"/>
        <v>12.210937273803221</v>
      </c>
      <c r="EB46" s="38">
        <f t="shared" si="278"/>
        <v>12.138240606959075</v>
      </c>
      <c r="EC46" s="38">
        <f t="shared" si="278"/>
        <v>12.06597673288519</v>
      </c>
      <c r="ED46" s="38">
        <f t="shared" si="278"/>
        <v>11.994143074990509</v>
      </c>
      <c r="EE46" s="38">
        <f t="shared" si="278"/>
        <v>11.922737072023462</v>
      </c>
      <c r="EF46" s="38">
        <f t="shared" si="278"/>
        <v>11.851756177980651</v>
      </c>
      <c r="EG46" s="38">
        <f t="shared" si="278"/>
        <v>11.781197862016066</v>
      </c>
      <c r="EH46" s="38">
        <f t="shared" si="278"/>
        <v>11.711059608350858</v>
      </c>
      <c r="EI46" s="38">
        <f t="shared" ref="EI46:GT46" si="279">EI$42/EI$40</f>
        <v>11.641338916183624</v>
      </c>
      <c r="EJ46" s="38">
        <f t="shared" si="279"/>
        <v>11.572033299601252</v>
      </c>
      <c r="EK46" s="38">
        <f t="shared" si="279"/>
        <v>11.503140287490275</v>
      </c>
      <c r="EL46" s="38">
        <f t="shared" si="279"/>
        <v>11.434657423448774</v>
      </c>
      <c r="EM46" s="38">
        <f t="shared" si="279"/>
        <v>11.366582265698783</v>
      </c>
      <c r="EN46" s="38">
        <f t="shared" si="279"/>
        <v>11.298912386999232</v>
      </c>
      <c r="EO46" s="38">
        <f t="shared" si="279"/>
        <v>11.231645374559404</v>
      </c>
      <c r="EP46" s="38">
        <f t="shared" si="279"/>
        <v>11.164778829952903</v>
      </c>
      <c r="EQ46" s="38">
        <f t="shared" si="279"/>
        <v>11.09831036903214</v>
      </c>
      <c r="ER46" s="38">
        <f t="shared" si="279"/>
        <v>11.032237621843326</v>
      </c>
      <c r="ES46" s="38">
        <f t="shared" si="279"/>
        <v>10.966558232541965</v>
      </c>
      <c r="ET46" s="38">
        <f t="shared" si="279"/>
        <v>10.901269859308865</v>
      </c>
      <c r="EU46" s="38">
        <f t="shared" si="279"/>
        <v>10.83637017426663</v>
      </c>
      <c r="EV46" s="38">
        <f t="shared" si="279"/>
        <v>10.771856863396664</v>
      </c>
      <c r="EW46" s="38">
        <f t="shared" si="279"/>
        <v>10.707727626456666</v>
      </c>
      <c r="EX46" s="38">
        <f t="shared" si="279"/>
        <v>10.643980176898607</v>
      </c>
      <c r="EY46" s="38">
        <f t="shared" si="279"/>
        <v>10.580612241787209</v>
      </c>
      <c r="EZ46" s="38">
        <f t="shared" si="279"/>
        <v>10.517621561718903</v>
      </c>
      <c r="FA46" s="38">
        <f t="shared" si="279"/>
        <v>10.45500589074126</v>
      </c>
      <c r="FB46" s="38">
        <f t="shared" si="279"/>
        <v>10.392762996272923</v>
      </c>
      <c r="FC46" s="38">
        <f t="shared" si="279"/>
        <v>10.330890659023996</v>
      </c>
      <c r="FD46" s="38">
        <f t="shared" si="279"/>
        <v>10.269386672916919</v>
      </c>
      <c r="FE46" s="38">
        <f t="shared" si="279"/>
        <v>10.208248845007805</v>
      </c>
      <c r="FF46" s="38">
        <f t="shared" si="279"/>
        <v>10.147474995408253</v>
      </c>
      <c r="FG46" s="38">
        <f t="shared" si="279"/>
        <v>10.087062957207621</v>
      </c>
      <c r="FH46" s="38">
        <f t="shared" si="279"/>
        <v>10.027010576395769</v>
      </c>
      <c r="FI46" s="38">
        <f t="shared" si="279"/>
        <v>9.9673157117862523</v>
      </c>
      <c r="FJ46" s="38">
        <f t="shared" si="279"/>
        <v>9.9079762349399783</v>
      </c>
      <c r="FK46" s="38">
        <f t="shared" si="279"/>
        <v>9.8489900300893147</v>
      </c>
      <c r="FL46" s="38">
        <f t="shared" si="279"/>
        <v>9.7903549940626551</v>
      </c>
      <c r="FM46" s="38">
        <f t="shared" si="279"/>
        <v>9.7320690362094275</v>
      </c>
      <c r="FN46" s="38">
        <f t="shared" si="279"/>
        <v>9.6741300783255504</v>
      </c>
      <c r="FO46" s="38">
        <f t="shared" si="279"/>
        <v>9.6165360545793348</v>
      </c>
      <c r="FP46" s="38">
        <f t="shared" si="279"/>
        <v>9.5592849114378264</v>
      </c>
      <c r="FQ46" s="38">
        <f t="shared" si="279"/>
        <v>9.5023746075935875</v>
      </c>
      <c r="FR46" s="38">
        <f t="shared" si="279"/>
        <v>9.4458031138919125</v>
      </c>
      <c r="FS46" s="38">
        <f t="shared" si="279"/>
        <v>9.3895684132584751</v>
      </c>
      <c r="FT46" s="38">
        <f t="shared" si="279"/>
        <v>9.3336685006274127</v>
      </c>
      <c r="FU46" s="38">
        <f t="shared" si="279"/>
        <v>9.2781013828698349</v>
      </c>
      <c r="FV46" s="38">
        <f t="shared" si="279"/>
        <v>9.2228650787227551</v>
      </c>
      <c r="FW46" s="38">
        <f t="shared" si="279"/>
        <v>9.1679576187184502</v>
      </c>
      <c r="FX46" s="38">
        <f t="shared" si="279"/>
        <v>9.1133770451142375</v>
      </c>
      <c r="FY46" s="38">
        <f t="shared" si="279"/>
        <v>9.0591214118226731</v>
      </c>
      <c r="FZ46" s="38">
        <f t="shared" si="279"/>
        <v>9.0051887843421596</v>
      </c>
      <c r="GA46" s="38">
        <f t="shared" si="279"/>
        <v>8.9515772396879729</v>
      </c>
      <c r="GB46" s="38">
        <f t="shared" si="279"/>
        <v>8.8982848663236993</v>
      </c>
      <c r="GC46" s="38">
        <f t="shared" si="279"/>
        <v>8.8453097640930771</v>
      </c>
      <c r="GD46" s="38">
        <f t="shared" si="279"/>
        <v>8.7926500441522446</v>
      </c>
      <c r="GE46" s="38">
        <f t="shared" si="279"/>
        <v>8.7403038289023947</v>
      </c>
      <c r="GF46" s="38">
        <f t="shared" si="279"/>
        <v>8.6882692519228311</v>
      </c>
      <c r="GG46" s="38">
        <f t="shared" si="279"/>
        <v>8.6365444579044137</v>
      </c>
      <c r="GH46" s="38">
        <f t="shared" si="279"/>
        <v>8.5851276025834142</v>
      </c>
      <c r="GI46" s="38">
        <f t="shared" si="279"/>
        <v>8.5340168526757534</v>
      </c>
      <c r="GJ46" s="38">
        <f t="shared" si="279"/>
        <v>8.4832103858116348</v>
      </c>
      <c r="GK46" s="38">
        <f t="shared" si="279"/>
        <v>8.4327063904705728</v>
      </c>
      <c r="GL46" s="38">
        <f t="shared" si="279"/>
        <v>8.3825030659167972</v>
      </c>
      <c r="GM46" s="38">
        <f t="shared" si="279"/>
        <v>8.3325986221350465</v>
      </c>
      <c r="GN46" s="38">
        <f t="shared" si="279"/>
        <v>8.2829912797667493</v>
      </c>
      <c r="GO46" s="38">
        <f t="shared" si="279"/>
        <v>8.2336792700465793</v>
      </c>
      <c r="GP46" s="38">
        <f t="shared" si="279"/>
        <v>8.1846608347393843</v>
      </c>
      <c r="GQ46" s="38">
        <f t="shared" si="279"/>
        <v>8.1359342260775023</v>
      </c>
      <c r="GR46" s="38">
        <f t="shared" si="279"/>
        <v>8.0874977066984428</v>
      </c>
      <c r="GS46" s="38">
        <f t="shared" si="279"/>
        <v>8.039349549582937</v>
      </c>
      <c r="GT46" s="38">
        <f t="shared" si="279"/>
        <v>7.9914880379933644</v>
      </c>
      <c r="GU46" s="38">
        <f t="shared" ref="GU46:IP46" si="280">GU$42/GU$40</f>
        <v>7.9439114654125405</v>
      </c>
      <c r="GV46" s="38">
        <f t="shared" si="280"/>
        <v>7.8966181354828704</v>
      </c>
      <c r="GW46" s="38">
        <f t="shared" si="280"/>
        <v>7.8496063619458614</v>
      </c>
      <c r="GX46" s="38">
        <f t="shared" si="280"/>
        <v>7.8028744685820079</v>
      </c>
      <c r="GY46" s="38">
        <f t="shared" si="280"/>
        <v>7.7564207891510168</v>
      </c>
      <c r="GZ46" s="38">
        <f t="shared" si="280"/>
        <v>7.7102436673323984</v>
      </c>
      <c r="HA46" s="38">
        <f t="shared" si="280"/>
        <v>7.6643414566664134</v>
      </c>
      <c r="HB46" s="38">
        <f t="shared" si="280"/>
        <v>7.6187125204953636</v>
      </c>
      <c r="HC46" s="38">
        <f t="shared" si="280"/>
        <v>7.5733552319052402</v>
      </c>
      <c r="HD46" s="38">
        <f t="shared" si="280"/>
        <v>7.5282679736677141</v>
      </c>
      <c r="HE46" s="38">
        <f t="shared" si="280"/>
        <v>7.4834491381824728</v>
      </c>
      <c r="HF46" s="38">
        <f t="shared" si="280"/>
        <v>7.4388971274199012</v>
      </c>
      <c r="HG46" s="38">
        <f t="shared" si="280"/>
        <v>7.3946103528641016</v>
      </c>
      <c r="HH46" s="38">
        <f t="shared" si="280"/>
        <v>7.3505872354562589</v>
      </c>
      <c r="HI46" s="38">
        <f t="shared" si="280"/>
        <v>7.306826205538334</v>
      </c>
      <c r="HJ46" s="38">
        <f t="shared" si="280"/>
        <v>7.2633257027971005</v>
      </c>
      <c r="HK46" s="38">
        <f t="shared" si="280"/>
        <v>7.22008417620851</v>
      </c>
      <c r="HL46" s="38">
        <f t="shared" si="280"/>
        <v>7.1771000839823893</v>
      </c>
      <c r="HM46" s="38">
        <f t="shared" si="280"/>
        <v>7.1343718935074687</v>
      </c>
      <c r="HN46" s="38">
        <f t="shared" si="280"/>
        <v>7.0918980812967352</v>
      </c>
      <c r="HO46" s="38">
        <f t="shared" si="280"/>
        <v>7.0496771329331134</v>
      </c>
      <c r="HP46" s="38">
        <f t="shared" si="280"/>
        <v>7.0077075430154654</v>
      </c>
      <c r="HQ46" s="38">
        <f t="shared" si="280"/>
        <v>6.9659878151049197</v>
      </c>
      <c r="HR46" s="38">
        <f t="shared" si="280"/>
        <v>6.9245164616715114</v>
      </c>
      <c r="HS46" s="38">
        <f t="shared" si="280"/>
        <v>6.8832920040411461</v>
      </c>
      <c r="HT46" s="38">
        <f t="shared" si="280"/>
        <v>6.8423129723428771</v>
      </c>
      <c r="HU46" s="38">
        <f t="shared" si="280"/>
        <v>6.8015779054564947</v>
      </c>
      <c r="HV46" s="38">
        <f t="shared" si="280"/>
        <v>6.7610853509604318</v>
      </c>
      <c r="HW46" s="38">
        <f t="shared" si="280"/>
        <v>6.7208338650799764</v>
      </c>
      <c r="HX46" s="38">
        <f t="shared" si="280"/>
        <v>6.6808220126357938</v>
      </c>
      <c r="HY46" s="38">
        <f t="shared" si="280"/>
        <v>6.6410483669927549</v>
      </c>
      <c r="HZ46" s="38">
        <f t="shared" si="280"/>
        <v>6.6015115100090673</v>
      </c>
      <c r="IA46" s="38">
        <f t="shared" si="280"/>
        <v>6.5622100319857131</v>
      </c>
      <c r="IB46" s="38">
        <f t="shared" si="280"/>
        <v>6.5231425316161857</v>
      </c>
      <c r="IC46" s="38">
        <f t="shared" si="280"/>
        <v>6.4843076159365243</v>
      </c>
      <c r="ID46" s="38">
        <f t="shared" si="280"/>
        <v>6.4457039002756478</v>
      </c>
      <c r="IE46" s="38">
        <f t="shared" si="280"/>
        <v>6.4073300082059843</v>
      </c>
      <c r="IF46" s="38">
        <f t="shared" si="280"/>
        <v>6.3691845714943947</v>
      </c>
      <c r="IG46" s="38">
        <f t="shared" si="280"/>
        <v>6.3312662300533864</v>
      </c>
      <c r="IH46" s="38">
        <f t="shared" si="280"/>
        <v>6.2935736318926212</v>
      </c>
      <c r="II46" s="38">
        <f t="shared" si="280"/>
        <v>6.2561054330707053</v>
      </c>
      <c r="IJ46" s="38">
        <f t="shared" si="280"/>
        <v>6.2188602976472751</v>
      </c>
      <c r="IK46" s="38">
        <f t="shared" si="280"/>
        <v>6.1818368976353648</v>
      </c>
      <c r="IL46" s="38">
        <f t="shared" si="280"/>
        <v>6.1450339129540517</v>
      </c>
      <c r="IM46" s="38">
        <f t="shared" si="280"/>
        <v>6.1084500313813912</v>
      </c>
      <c r="IN46" s="38">
        <f t="shared" si="280"/>
        <v>6.0720839485076281</v>
      </c>
      <c r="IO46" s="38">
        <f t="shared" si="280"/>
        <v>6.0359343676886885</v>
      </c>
      <c r="IP46" s="38">
        <f t="shared" si="280"/>
        <v>5.9999999999999467</v>
      </c>
    </row>
    <row r="47" spans="3:250">
      <c r="G47" s="150"/>
      <c r="H47" s="15"/>
      <c r="I47" s="16" t="s">
        <v>119</v>
      </c>
      <c r="J47" s="151" t="s">
        <v>101</v>
      </c>
      <c r="K47" s="37">
        <f t="shared" ref="K47:BV47" si="281">K$43/K$40</f>
        <v>4</v>
      </c>
      <c r="L47" s="38">
        <f t="shared" si="281"/>
        <v>4</v>
      </c>
      <c r="M47" s="38">
        <f t="shared" si="281"/>
        <v>4</v>
      </c>
      <c r="N47" s="38">
        <f t="shared" si="281"/>
        <v>4</v>
      </c>
      <c r="O47" s="38">
        <f t="shared" si="281"/>
        <v>4</v>
      </c>
      <c r="P47" s="38">
        <f t="shared" si="281"/>
        <v>4</v>
      </c>
      <c r="Q47" s="38">
        <f t="shared" si="281"/>
        <v>4</v>
      </c>
      <c r="R47" s="38">
        <f t="shared" si="281"/>
        <v>4</v>
      </c>
      <c r="S47" s="38">
        <f t="shared" si="281"/>
        <v>4</v>
      </c>
      <c r="T47" s="38">
        <f t="shared" si="281"/>
        <v>4</v>
      </c>
      <c r="U47" s="38">
        <f t="shared" si="281"/>
        <v>4</v>
      </c>
      <c r="V47" s="38">
        <f t="shared" si="281"/>
        <v>4</v>
      </c>
      <c r="W47" s="38">
        <f t="shared" si="281"/>
        <v>4</v>
      </c>
      <c r="X47" s="38">
        <f t="shared" si="281"/>
        <v>4</v>
      </c>
      <c r="Y47" s="38">
        <f t="shared" si="281"/>
        <v>4</v>
      </c>
      <c r="Z47" s="38">
        <f t="shared" si="281"/>
        <v>4</v>
      </c>
      <c r="AA47" s="38">
        <f t="shared" si="281"/>
        <v>4</v>
      </c>
      <c r="AB47" s="38">
        <f t="shared" si="281"/>
        <v>4</v>
      </c>
      <c r="AC47" s="38">
        <f t="shared" si="281"/>
        <v>4</v>
      </c>
      <c r="AD47" s="38">
        <f t="shared" si="281"/>
        <v>4</v>
      </c>
      <c r="AE47" s="38">
        <f t="shared" si="281"/>
        <v>4</v>
      </c>
      <c r="AF47" s="38">
        <f t="shared" si="281"/>
        <v>4</v>
      </c>
      <c r="AG47" s="38">
        <f t="shared" si="281"/>
        <v>4</v>
      </c>
      <c r="AH47" s="38">
        <f t="shared" si="281"/>
        <v>4</v>
      </c>
      <c r="AI47" s="38">
        <f t="shared" si="281"/>
        <v>4</v>
      </c>
      <c r="AJ47" s="38">
        <f t="shared" si="281"/>
        <v>4</v>
      </c>
      <c r="AK47" s="38">
        <f t="shared" si="281"/>
        <v>4</v>
      </c>
      <c r="AL47" s="38">
        <f t="shared" si="281"/>
        <v>4</v>
      </c>
      <c r="AM47" s="38">
        <f t="shared" si="281"/>
        <v>4</v>
      </c>
      <c r="AN47" s="38">
        <f t="shared" si="281"/>
        <v>4</v>
      </c>
      <c r="AO47" s="38">
        <f t="shared" si="281"/>
        <v>4</v>
      </c>
      <c r="AP47" s="38">
        <f t="shared" si="281"/>
        <v>4</v>
      </c>
      <c r="AQ47" s="38">
        <f t="shared" si="281"/>
        <v>4</v>
      </c>
      <c r="AR47" s="38">
        <f t="shared" si="281"/>
        <v>4</v>
      </c>
      <c r="AS47" s="38">
        <f t="shared" si="281"/>
        <v>4</v>
      </c>
      <c r="AT47" s="38">
        <f t="shared" si="281"/>
        <v>4</v>
      </c>
      <c r="AU47" s="38">
        <f t="shared" si="281"/>
        <v>4</v>
      </c>
      <c r="AV47" s="38">
        <f t="shared" si="281"/>
        <v>4</v>
      </c>
      <c r="AW47" s="38">
        <f t="shared" si="281"/>
        <v>4</v>
      </c>
      <c r="AX47" s="38">
        <f t="shared" si="281"/>
        <v>4</v>
      </c>
      <c r="AY47" s="38">
        <f t="shared" si="281"/>
        <v>4</v>
      </c>
      <c r="AZ47" s="38">
        <f t="shared" si="281"/>
        <v>4</v>
      </c>
      <c r="BA47" s="38">
        <f t="shared" si="281"/>
        <v>4</v>
      </c>
      <c r="BB47" s="38">
        <f t="shared" si="281"/>
        <v>4</v>
      </c>
      <c r="BC47" s="38">
        <f t="shared" si="281"/>
        <v>4</v>
      </c>
      <c r="BD47" s="38">
        <f t="shared" si="281"/>
        <v>4</v>
      </c>
      <c r="BE47" s="38">
        <f t="shared" si="281"/>
        <v>4</v>
      </c>
      <c r="BF47" s="38">
        <f t="shared" si="281"/>
        <v>4</v>
      </c>
      <c r="BG47" s="38">
        <f t="shared" si="281"/>
        <v>4</v>
      </c>
      <c r="BH47" s="38">
        <f t="shared" si="281"/>
        <v>4</v>
      </c>
      <c r="BI47" s="38">
        <f t="shared" si="281"/>
        <v>4</v>
      </c>
      <c r="BJ47" s="38">
        <f t="shared" si="281"/>
        <v>4</v>
      </c>
      <c r="BK47" s="38">
        <f t="shared" si="281"/>
        <v>4</v>
      </c>
      <c r="BL47" s="38">
        <f t="shared" si="281"/>
        <v>4</v>
      </c>
      <c r="BM47" s="38">
        <f t="shared" si="281"/>
        <v>4</v>
      </c>
      <c r="BN47" s="38">
        <f t="shared" si="281"/>
        <v>4</v>
      </c>
      <c r="BO47" s="38">
        <f t="shared" si="281"/>
        <v>4</v>
      </c>
      <c r="BP47" s="38">
        <f t="shared" si="281"/>
        <v>4</v>
      </c>
      <c r="BQ47" s="38">
        <f t="shared" si="281"/>
        <v>4</v>
      </c>
      <c r="BR47" s="38">
        <f t="shared" si="281"/>
        <v>4</v>
      </c>
      <c r="BS47" s="38">
        <f t="shared" si="281"/>
        <v>4</v>
      </c>
      <c r="BT47" s="38">
        <f t="shared" si="281"/>
        <v>4</v>
      </c>
      <c r="BU47" s="38">
        <f t="shared" si="281"/>
        <v>4</v>
      </c>
      <c r="BV47" s="38">
        <f t="shared" si="281"/>
        <v>4</v>
      </c>
      <c r="BW47" s="38">
        <f t="shared" ref="BW47:EH47" si="282">BW$43/BW$40</f>
        <v>4</v>
      </c>
      <c r="BX47" s="38">
        <f t="shared" si="282"/>
        <v>4</v>
      </c>
      <c r="BY47" s="38">
        <f t="shared" si="282"/>
        <v>4</v>
      </c>
      <c r="BZ47" s="38">
        <f t="shared" si="282"/>
        <v>4</v>
      </c>
      <c r="CA47" s="38">
        <f t="shared" si="282"/>
        <v>4</v>
      </c>
      <c r="CB47" s="38">
        <f t="shared" si="282"/>
        <v>4</v>
      </c>
      <c r="CC47" s="38">
        <f t="shared" si="282"/>
        <v>4</v>
      </c>
      <c r="CD47" s="38">
        <f t="shared" si="282"/>
        <v>4</v>
      </c>
      <c r="CE47" s="38">
        <f t="shared" si="282"/>
        <v>4</v>
      </c>
      <c r="CF47" s="38">
        <f t="shared" si="282"/>
        <v>4</v>
      </c>
      <c r="CG47" s="38">
        <f t="shared" si="282"/>
        <v>4</v>
      </c>
      <c r="CH47" s="38">
        <f t="shared" si="282"/>
        <v>4</v>
      </c>
      <c r="CI47" s="38">
        <f t="shared" si="282"/>
        <v>4</v>
      </c>
      <c r="CJ47" s="38">
        <f t="shared" si="282"/>
        <v>4</v>
      </c>
      <c r="CK47" s="38">
        <f t="shared" si="282"/>
        <v>4</v>
      </c>
      <c r="CL47" s="38">
        <f t="shared" si="282"/>
        <v>4</v>
      </c>
      <c r="CM47" s="38">
        <f t="shared" si="282"/>
        <v>4</v>
      </c>
      <c r="CN47" s="38">
        <f t="shared" si="282"/>
        <v>4</v>
      </c>
      <c r="CO47" s="38">
        <f t="shared" si="282"/>
        <v>4</v>
      </c>
      <c r="CP47" s="38">
        <f t="shared" si="282"/>
        <v>4</v>
      </c>
      <c r="CQ47" s="38">
        <f t="shared" si="282"/>
        <v>4</v>
      </c>
      <c r="CR47" s="38">
        <f t="shared" si="282"/>
        <v>4</v>
      </c>
      <c r="CS47" s="38">
        <f t="shared" si="282"/>
        <v>4</v>
      </c>
      <c r="CT47" s="38">
        <f t="shared" si="282"/>
        <v>4</v>
      </c>
      <c r="CU47" s="38">
        <f t="shared" si="282"/>
        <v>4</v>
      </c>
      <c r="CV47" s="38">
        <f t="shared" si="282"/>
        <v>4</v>
      </c>
      <c r="CW47" s="38">
        <f t="shared" si="282"/>
        <v>4</v>
      </c>
      <c r="CX47" s="38">
        <f t="shared" si="282"/>
        <v>4</v>
      </c>
      <c r="CY47" s="38">
        <f t="shared" si="282"/>
        <v>4</v>
      </c>
      <c r="CZ47" s="38">
        <f t="shared" si="282"/>
        <v>4</v>
      </c>
      <c r="DA47" s="38">
        <f t="shared" si="282"/>
        <v>4</v>
      </c>
      <c r="DB47" s="38">
        <f t="shared" si="282"/>
        <v>4</v>
      </c>
      <c r="DC47" s="38">
        <f t="shared" si="282"/>
        <v>4</v>
      </c>
      <c r="DD47" s="38">
        <f t="shared" si="282"/>
        <v>4</v>
      </c>
      <c r="DE47" s="38">
        <f t="shared" si="282"/>
        <v>4</v>
      </c>
      <c r="DF47" s="38">
        <f t="shared" si="282"/>
        <v>4</v>
      </c>
      <c r="DG47" s="38">
        <f t="shared" si="282"/>
        <v>4</v>
      </c>
      <c r="DH47" s="38">
        <f t="shared" si="282"/>
        <v>4</v>
      </c>
      <c r="DI47" s="38">
        <f t="shared" si="282"/>
        <v>4</v>
      </c>
      <c r="DJ47" s="38">
        <f t="shared" si="282"/>
        <v>4</v>
      </c>
      <c r="DK47" s="38">
        <f t="shared" si="282"/>
        <v>4</v>
      </c>
      <c r="DL47" s="38">
        <f t="shared" si="282"/>
        <v>4</v>
      </c>
      <c r="DM47" s="38">
        <f t="shared" si="282"/>
        <v>4</v>
      </c>
      <c r="DN47" s="38">
        <f t="shared" si="282"/>
        <v>4</v>
      </c>
      <c r="DO47" s="38">
        <f t="shared" si="282"/>
        <v>4</v>
      </c>
      <c r="DP47" s="38">
        <f t="shared" si="282"/>
        <v>4</v>
      </c>
      <c r="DQ47" s="38">
        <f t="shared" si="282"/>
        <v>4</v>
      </c>
      <c r="DR47" s="38">
        <f t="shared" si="282"/>
        <v>4</v>
      </c>
      <c r="DS47" s="38">
        <f t="shared" si="282"/>
        <v>4</v>
      </c>
      <c r="DT47" s="38">
        <f t="shared" si="282"/>
        <v>4</v>
      </c>
      <c r="DU47" s="38">
        <f t="shared" si="282"/>
        <v>4</v>
      </c>
      <c r="DV47" s="38">
        <f t="shared" si="282"/>
        <v>4</v>
      </c>
      <c r="DW47" s="38">
        <f t="shared" si="282"/>
        <v>4</v>
      </c>
      <c r="DX47" s="38">
        <f t="shared" si="282"/>
        <v>4</v>
      </c>
      <c r="DY47" s="38">
        <f t="shared" si="282"/>
        <v>4</v>
      </c>
      <c r="DZ47" s="38">
        <f t="shared" si="282"/>
        <v>4</v>
      </c>
      <c r="EA47" s="38">
        <f t="shared" si="282"/>
        <v>4</v>
      </c>
      <c r="EB47" s="38">
        <f t="shared" si="282"/>
        <v>4</v>
      </c>
      <c r="EC47" s="38">
        <f t="shared" si="282"/>
        <v>4</v>
      </c>
      <c r="ED47" s="38">
        <f t="shared" si="282"/>
        <v>4</v>
      </c>
      <c r="EE47" s="38">
        <f t="shared" si="282"/>
        <v>4</v>
      </c>
      <c r="EF47" s="38">
        <f t="shared" si="282"/>
        <v>4</v>
      </c>
      <c r="EG47" s="38">
        <f t="shared" si="282"/>
        <v>4</v>
      </c>
      <c r="EH47" s="38">
        <f t="shared" si="282"/>
        <v>4</v>
      </c>
      <c r="EI47" s="38">
        <f t="shared" ref="EI47:GT47" si="283">EI$43/EI$40</f>
        <v>4</v>
      </c>
      <c r="EJ47" s="38">
        <f t="shared" si="283"/>
        <v>4</v>
      </c>
      <c r="EK47" s="38">
        <f t="shared" si="283"/>
        <v>4</v>
      </c>
      <c r="EL47" s="38">
        <f t="shared" si="283"/>
        <v>4</v>
      </c>
      <c r="EM47" s="38">
        <f t="shared" si="283"/>
        <v>4</v>
      </c>
      <c r="EN47" s="38">
        <f t="shared" si="283"/>
        <v>4</v>
      </c>
      <c r="EO47" s="38">
        <f t="shared" si="283"/>
        <v>4</v>
      </c>
      <c r="EP47" s="38">
        <f t="shared" si="283"/>
        <v>4</v>
      </c>
      <c r="EQ47" s="38">
        <f t="shared" si="283"/>
        <v>4</v>
      </c>
      <c r="ER47" s="38">
        <f t="shared" si="283"/>
        <v>4</v>
      </c>
      <c r="ES47" s="38">
        <f t="shared" si="283"/>
        <v>4</v>
      </c>
      <c r="ET47" s="38">
        <f t="shared" si="283"/>
        <v>4</v>
      </c>
      <c r="EU47" s="38">
        <f t="shared" si="283"/>
        <v>4</v>
      </c>
      <c r="EV47" s="38">
        <f t="shared" si="283"/>
        <v>4</v>
      </c>
      <c r="EW47" s="38">
        <f t="shared" si="283"/>
        <v>4</v>
      </c>
      <c r="EX47" s="38">
        <f t="shared" si="283"/>
        <v>4</v>
      </c>
      <c r="EY47" s="38">
        <f t="shared" si="283"/>
        <v>4</v>
      </c>
      <c r="EZ47" s="38">
        <f t="shared" si="283"/>
        <v>4</v>
      </c>
      <c r="FA47" s="38">
        <f t="shared" si="283"/>
        <v>4</v>
      </c>
      <c r="FB47" s="38">
        <f t="shared" si="283"/>
        <v>4</v>
      </c>
      <c r="FC47" s="38">
        <f t="shared" si="283"/>
        <v>4</v>
      </c>
      <c r="FD47" s="38">
        <f t="shared" si="283"/>
        <v>4</v>
      </c>
      <c r="FE47" s="38">
        <f t="shared" si="283"/>
        <v>4</v>
      </c>
      <c r="FF47" s="38">
        <f t="shared" si="283"/>
        <v>4</v>
      </c>
      <c r="FG47" s="38">
        <f t="shared" si="283"/>
        <v>4</v>
      </c>
      <c r="FH47" s="38">
        <f t="shared" si="283"/>
        <v>4</v>
      </c>
      <c r="FI47" s="38">
        <f t="shared" si="283"/>
        <v>4</v>
      </c>
      <c r="FJ47" s="38">
        <f t="shared" si="283"/>
        <v>4</v>
      </c>
      <c r="FK47" s="38">
        <f t="shared" si="283"/>
        <v>4</v>
      </c>
      <c r="FL47" s="38">
        <f t="shared" si="283"/>
        <v>4</v>
      </c>
      <c r="FM47" s="38">
        <f t="shared" si="283"/>
        <v>4</v>
      </c>
      <c r="FN47" s="38">
        <f t="shared" si="283"/>
        <v>4</v>
      </c>
      <c r="FO47" s="38">
        <f t="shared" si="283"/>
        <v>4</v>
      </c>
      <c r="FP47" s="38">
        <f t="shared" si="283"/>
        <v>4</v>
      </c>
      <c r="FQ47" s="38">
        <f t="shared" si="283"/>
        <v>4</v>
      </c>
      <c r="FR47" s="38">
        <f t="shared" si="283"/>
        <v>4</v>
      </c>
      <c r="FS47" s="38">
        <f t="shared" si="283"/>
        <v>4</v>
      </c>
      <c r="FT47" s="38">
        <f t="shared" si="283"/>
        <v>4</v>
      </c>
      <c r="FU47" s="38">
        <f t="shared" si="283"/>
        <v>4</v>
      </c>
      <c r="FV47" s="38">
        <f t="shared" si="283"/>
        <v>4</v>
      </c>
      <c r="FW47" s="38">
        <f t="shared" si="283"/>
        <v>4</v>
      </c>
      <c r="FX47" s="38">
        <f t="shared" si="283"/>
        <v>4</v>
      </c>
      <c r="FY47" s="38">
        <f t="shared" si="283"/>
        <v>4</v>
      </c>
      <c r="FZ47" s="38">
        <f t="shared" si="283"/>
        <v>4</v>
      </c>
      <c r="GA47" s="38">
        <f t="shared" si="283"/>
        <v>4</v>
      </c>
      <c r="GB47" s="38">
        <f t="shared" si="283"/>
        <v>4</v>
      </c>
      <c r="GC47" s="38">
        <f t="shared" si="283"/>
        <v>4</v>
      </c>
      <c r="GD47" s="38">
        <f t="shared" si="283"/>
        <v>4</v>
      </c>
      <c r="GE47" s="38">
        <f t="shared" si="283"/>
        <v>4</v>
      </c>
      <c r="GF47" s="38">
        <f t="shared" si="283"/>
        <v>4</v>
      </c>
      <c r="GG47" s="38">
        <f t="shared" si="283"/>
        <v>4</v>
      </c>
      <c r="GH47" s="38">
        <f t="shared" si="283"/>
        <v>4</v>
      </c>
      <c r="GI47" s="38">
        <f t="shared" si="283"/>
        <v>4</v>
      </c>
      <c r="GJ47" s="38">
        <f t="shared" si="283"/>
        <v>4</v>
      </c>
      <c r="GK47" s="38">
        <f t="shared" si="283"/>
        <v>4</v>
      </c>
      <c r="GL47" s="38">
        <f t="shared" si="283"/>
        <v>4</v>
      </c>
      <c r="GM47" s="38">
        <f t="shared" si="283"/>
        <v>4</v>
      </c>
      <c r="GN47" s="38">
        <f t="shared" si="283"/>
        <v>4</v>
      </c>
      <c r="GO47" s="38">
        <f t="shared" si="283"/>
        <v>4</v>
      </c>
      <c r="GP47" s="38">
        <f t="shared" si="283"/>
        <v>4</v>
      </c>
      <c r="GQ47" s="38">
        <f t="shared" si="283"/>
        <v>4</v>
      </c>
      <c r="GR47" s="38">
        <f t="shared" si="283"/>
        <v>4</v>
      </c>
      <c r="GS47" s="38">
        <f t="shared" si="283"/>
        <v>4</v>
      </c>
      <c r="GT47" s="38">
        <f t="shared" si="283"/>
        <v>4</v>
      </c>
      <c r="GU47" s="38">
        <f t="shared" ref="GU47:IP47" si="284">GU$43/GU$40</f>
        <v>4</v>
      </c>
      <c r="GV47" s="38">
        <f t="shared" si="284"/>
        <v>4</v>
      </c>
      <c r="GW47" s="38">
        <f t="shared" si="284"/>
        <v>4</v>
      </c>
      <c r="GX47" s="38">
        <f t="shared" si="284"/>
        <v>4</v>
      </c>
      <c r="GY47" s="38">
        <f t="shared" si="284"/>
        <v>4</v>
      </c>
      <c r="GZ47" s="38">
        <f t="shared" si="284"/>
        <v>4</v>
      </c>
      <c r="HA47" s="38">
        <f t="shared" si="284"/>
        <v>4</v>
      </c>
      <c r="HB47" s="38">
        <f t="shared" si="284"/>
        <v>4</v>
      </c>
      <c r="HC47" s="38">
        <f t="shared" si="284"/>
        <v>4</v>
      </c>
      <c r="HD47" s="38">
        <f t="shared" si="284"/>
        <v>4</v>
      </c>
      <c r="HE47" s="38">
        <f t="shared" si="284"/>
        <v>4</v>
      </c>
      <c r="HF47" s="38">
        <f t="shared" si="284"/>
        <v>4</v>
      </c>
      <c r="HG47" s="38">
        <f t="shared" si="284"/>
        <v>4</v>
      </c>
      <c r="HH47" s="38">
        <f t="shared" si="284"/>
        <v>4</v>
      </c>
      <c r="HI47" s="38">
        <f t="shared" si="284"/>
        <v>4</v>
      </c>
      <c r="HJ47" s="38">
        <f t="shared" si="284"/>
        <v>4</v>
      </c>
      <c r="HK47" s="38">
        <f t="shared" si="284"/>
        <v>4</v>
      </c>
      <c r="HL47" s="38">
        <f t="shared" si="284"/>
        <v>4</v>
      </c>
      <c r="HM47" s="38">
        <f t="shared" si="284"/>
        <v>4</v>
      </c>
      <c r="HN47" s="38">
        <f t="shared" si="284"/>
        <v>4</v>
      </c>
      <c r="HO47" s="38">
        <f t="shared" si="284"/>
        <v>4</v>
      </c>
      <c r="HP47" s="38">
        <f t="shared" si="284"/>
        <v>4</v>
      </c>
      <c r="HQ47" s="38">
        <f t="shared" si="284"/>
        <v>4</v>
      </c>
      <c r="HR47" s="38">
        <f t="shared" si="284"/>
        <v>4</v>
      </c>
      <c r="HS47" s="38">
        <f t="shared" si="284"/>
        <v>4</v>
      </c>
      <c r="HT47" s="38">
        <f t="shared" si="284"/>
        <v>4</v>
      </c>
      <c r="HU47" s="38">
        <f t="shared" si="284"/>
        <v>4</v>
      </c>
      <c r="HV47" s="38">
        <f t="shared" si="284"/>
        <v>4</v>
      </c>
      <c r="HW47" s="38">
        <f t="shared" si="284"/>
        <v>4</v>
      </c>
      <c r="HX47" s="38">
        <f t="shared" si="284"/>
        <v>4</v>
      </c>
      <c r="HY47" s="38">
        <f t="shared" si="284"/>
        <v>4</v>
      </c>
      <c r="HZ47" s="38">
        <f t="shared" si="284"/>
        <v>4</v>
      </c>
      <c r="IA47" s="38">
        <f t="shared" si="284"/>
        <v>4</v>
      </c>
      <c r="IB47" s="38">
        <f t="shared" si="284"/>
        <v>4</v>
      </c>
      <c r="IC47" s="38">
        <f t="shared" si="284"/>
        <v>4</v>
      </c>
      <c r="ID47" s="38">
        <f t="shared" si="284"/>
        <v>4</v>
      </c>
      <c r="IE47" s="38">
        <f t="shared" si="284"/>
        <v>4</v>
      </c>
      <c r="IF47" s="38">
        <f t="shared" si="284"/>
        <v>4</v>
      </c>
      <c r="IG47" s="38">
        <f t="shared" si="284"/>
        <v>4</v>
      </c>
      <c r="IH47" s="38">
        <f t="shared" si="284"/>
        <v>4</v>
      </c>
      <c r="II47" s="38">
        <f t="shared" si="284"/>
        <v>4</v>
      </c>
      <c r="IJ47" s="38">
        <f t="shared" si="284"/>
        <v>4</v>
      </c>
      <c r="IK47" s="38">
        <f t="shared" si="284"/>
        <v>4</v>
      </c>
      <c r="IL47" s="38">
        <f t="shared" si="284"/>
        <v>4</v>
      </c>
      <c r="IM47" s="38">
        <f t="shared" si="284"/>
        <v>4</v>
      </c>
      <c r="IN47" s="38">
        <f t="shared" si="284"/>
        <v>4</v>
      </c>
      <c r="IO47" s="38">
        <f t="shared" si="284"/>
        <v>4</v>
      </c>
      <c r="IP47" s="38">
        <f t="shared" si="284"/>
        <v>4</v>
      </c>
    </row>
    <row r="48" spans="3:250">
      <c r="G48" s="152"/>
      <c r="H48" s="188"/>
      <c r="I48" s="153" t="s">
        <v>7</v>
      </c>
      <c r="J48" s="154" t="s">
        <v>101</v>
      </c>
      <c r="K48" s="41"/>
      <c r="L48" s="42"/>
      <c r="M48" s="42"/>
      <c r="N48" s="42"/>
      <c r="O48" s="42"/>
      <c r="P48" s="42"/>
      <c r="Q48" s="42"/>
      <c r="R48" s="42"/>
      <c r="S48" s="42"/>
      <c r="T48" s="42"/>
      <c r="U48" s="42"/>
      <c r="V48" s="42"/>
      <c r="W48" s="42"/>
      <c r="X48" s="42"/>
      <c r="Y48" s="42"/>
      <c r="Z48" s="42"/>
      <c r="AA48" s="42"/>
      <c r="AB48" s="42"/>
      <c r="AC48" s="42"/>
      <c r="AD48" s="42"/>
      <c r="AE48" s="42"/>
      <c r="AF48" s="42"/>
      <c r="AG48" s="42"/>
      <c r="AH48" s="42"/>
      <c r="AI48" s="42"/>
      <c r="AJ48" s="42"/>
      <c r="AK48" s="42"/>
      <c r="AL48" s="42"/>
      <c r="AM48" s="42"/>
      <c r="AN48" s="42"/>
      <c r="AO48" s="42"/>
      <c r="AP48" s="42"/>
      <c r="AQ48" s="42"/>
      <c r="AR48" s="42"/>
      <c r="AS48" s="42"/>
      <c r="AT48" s="42"/>
      <c r="AU48" s="42"/>
      <c r="AV48" s="42"/>
      <c r="AW48" s="42"/>
      <c r="AX48" s="42"/>
      <c r="AY48" s="42"/>
      <c r="AZ48" s="42"/>
      <c r="BA48" s="42"/>
      <c r="BB48" s="42"/>
      <c r="BC48" s="42"/>
      <c r="BD48" s="42"/>
      <c r="BE48" s="42"/>
      <c r="BF48" s="42"/>
      <c r="BG48" s="42"/>
      <c r="BH48" s="42"/>
      <c r="BI48" s="42"/>
      <c r="BJ48" s="42"/>
      <c r="BK48" s="42"/>
      <c r="BL48" s="42"/>
      <c r="BM48" s="42"/>
      <c r="BN48" s="42"/>
      <c r="BO48" s="42"/>
      <c r="BP48" s="42"/>
      <c r="BQ48" s="42"/>
      <c r="BR48" s="42"/>
      <c r="BS48" s="42"/>
      <c r="BT48" s="42"/>
      <c r="BU48" s="42"/>
      <c r="BV48" s="42"/>
      <c r="BW48" s="42"/>
      <c r="BX48" s="42"/>
      <c r="BY48" s="42"/>
      <c r="BZ48" s="42"/>
      <c r="CA48" s="42"/>
      <c r="CB48" s="42"/>
      <c r="CC48" s="42"/>
      <c r="CD48" s="42"/>
      <c r="CE48" s="42"/>
      <c r="CF48" s="42"/>
      <c r="CG48" s="42"/>
      <c r="CH48" s="42"/>
      <c r="CI48" s="42"/>
      <c r="CJ48" s="42"/>
      <c r="CK48" s="42"/>
      <c r="CL48" s="42"/>
      <c r="CM48" s="42"/>
      <c r="CN48" s="42"/>
      <c r="CO48" s="42"/>
      <c r="CP48" s="42"/>
      <c r="CQ48" s="42"/>
      <c r="CR48" s="42"/>
      <c r="CS48" s="42"/>
      <c r="CT48" s="42"/>
      <c r="CU48" s="42"/>
      <c r="CV48" s="42"/>
      <c r="CW48" s="42"/>
      <c r="CX48" s="42"/>
      <c r="CY48" s="42"/>
      <c r="CZ48" s="42"/>
      <c r="DA48" s="42"/>
      <c r="DB48" s="42"/>
      <c r="DC48" s="42"/>
      <c r="DD48" s="42"/>
      <c r="DE48" s="42"/>
      <c r="DF48" s="42"/>
      <c r="DG48" s="42"/>
      <c r="DH48" s="42"/>
      <c r="DI48" s="42"/>
      <c r="DJ48" s="42"/>
      <c r="DK48" s="42"/>
      <c r="DL48" s="42"/>
      <c r="DM48" s="42"/>
      <c r="DN48" s="42"/>
      <c r="DO48" s="42"/>
      <c r="DP48" s="42"/>
      <c r="DQ48" s="42"/>
      <c r="DR48" s="42"/>
      <c r="DS48" s="42"/>
      <c r="DT48" s="42"/>
      <c r="DU48" s="42"/>
      <c r="DV48" s="42"/>
      <c r="DW48" s="42"/>
      <c r="DX48" s="42"/>
      <c r="DY48" s="42"/>
      <c r="DZ48" s="42"/>
      <c r="EA48" s="42"/>
      <c r="EB48" s="42"/>
      <c r="EC48" s="42"/>
      <c r="ED48" s="42"/>
      <c r="EE48" s="42"/>
      <c r="EF48" s="42"/>
      <c r="EG48" s="42"/>
      <c r="EH48" s="42"/>
      <c r="EI48" s="42"/>
      <c r="EJ48" s="42"/>
      <c r="EK48" s="42"/>
      <c r="EL48" s="42"/>
      <c r="EM48" s="42"/>
      <c r="EN48" s="42"/>
      <c r="EO48" s="42"/>
      <c r="EP48" s="42"/>
      <c r="EQ48" s="42"/>
      <c r="ER48" s="42"/>
      <c r="ES48" s="42"/>
      <c r="ET48" s="42"/>
      <c r="EU48" s="42"/>
      <c r="EV48" s="42"/>
      <c r="EW48" s="42"/>
      <c r="EX48" s="42"/>
      <c r="EY48" s="42"/>
      <c r="EZ48" s="42"/>
      <c r="FA48" s="42"/>
      <c r="FB48" s="42"/>
      <c r="FC48" s="42"/>
      <c r="FD48" s="42"/>
      <c r="FE48" s="42"/>
      <c r="FF48" s="42"/>
      <c r="FG48" s="42"/>
      <c r="FH48" s="42"/>
      <c r="FI48" s="42"/>
      <c r="FJ48" s="42"/>
      <c r="FK48" s="42"/>
      <c r="FL48" s="42"/>
      <c r="FM48" s="42"/>
      <c r="FN48" s="42"/>
      <c r="FO48" s="42"/>
      <c r="FP48" s="42"/>
      <c r="FQ48" s="42"/>
      <c r="FR48" s="42"/>
      <c r="FS48" s="42"/>
      <c r="FT48" s="42"/>
      <c r="FU48" s="42"/>
      <c r="FV48" s="42"/>
      <c r="FW48" s="42"/>
      <c r="FX48" s="42"/>
      <c r="FY48" s="42"/>
      <c r="FZ48" s="42"/>
      <c r="GA48" s="42"/>
      <c r="GB48" s="42"/>
      <c r="GC48" s="42"/>
      <c r="GD48" s="42"/>
      <c r="GE48" s="42"/>
      <c r="GF48" s="42"/>
      <c r="GG48" s="42"/>
      <c r="GH48" s="42"/>
      <c r="GI48" s="42"/>
      <c r="GJ48" s="42"/>
      <c r="GK48" s="42"/>
      <c r="GL48" s="42"/>
      <c r="GM48" s="42"/>
      <c r="GN48" s="42"/>
      <c r="GO48" s="42"/>
      <c r="GP48" s="42"/>
      <c r="GQ48" s="42"/>
      <c r="GR48" s="42"/>
      <c r="GS48" s="42"/>
      <c r="GT48" s="42"/>
      <c r="GU48" s="42"/>
      <c r="GV48" s="42"/>
      <c r="GW48" s="42"/>
      <c r="GX48" s="42"/>
      <c r="GY48" s="42"/>
      <c r="GZ48" s="42"/>
      <c r="HA48" s="42"/>
      <c r="HB48" s="42"/>
      <c r="HC48" s="42"/>
      <c r="HD48" s="42"/>
      <c r="HE48" s="42"/>
      <c r="HF48" s="42"/>
      <c r="HG48" s="42"/>
      <c r="HH48" s="42"/>
      <c r="HI48" s="42"/>
      <c r="HJ48" s="42"/>
      <c r="HK48" s="42"/>
      <c r="HL48" s="42"/>
      <c r="HM48" s="42"/>
      <c r="HN48" s="42"/>
      <c r="HO48" s="42"/>
      <c r="HP48" s="42"/>
      <c r="HQ48" s="42"/>
      <c r="HR48" s="42"/>
      <c r="HS48" s="42"/>
      <c r="HT48" s="42"/>
      <c r="HU48" s="42"/>
      <c r="HV48" s="42"/>
      <c r="HW48" s="42"/>
      <c r="HX48" s="42"/>
      <c r="HY48" s="42"/>
      <c r="HZ48" s="42"/>
      <c r="IA48" s="42"/>
      <c r="IB48" s="42"/>
      <c r="IC48" s="42"/>
      <c r="ID48" s="42"/>
      <c r="IE48" s="42"/>
      <c r="IF48" s="42"/>
      <c r="IG48" s="42"/>
      <c r="IH48" s="42"/>
      <c r="II48" s="42"/>
      <c r="IJ48" s="42"/>
      <c r="IK48" s="42"/>
      <c r="IL48" s="42"/>
      <c r="IM48" s="42"/>
      <c r="IN48" s="42"/>
      <c r="IO48" s="42"/>
      <c r="IP48" s="42"/>
    </row>
    <row r="49" spans="7:250">
      <c r="I49" s="139" t="s">
        <v>181</v>
      </c>
      <c r="J49" s="139" t="s">
        <v>46</v>
      </c>
      <c r="K49" s="143">
        <f>+K40*K38/1000</f>
        <v>0.155</v>
      </c>
      <c r="L49" s="143">
        <f>+(L40*L38/1000)+K49</f>
        <v>0.23866600265340754</v>
      </c>
      <c r="M49" s="143">
        <f t="shared" ref="M49:BX49" si="285">+(M40*M38/1000)+L49</f>
        <v>0.31093512529203182</v>
      </c>
      <c r="N49" s="143">
        <f t="shared" si="285"/>
        <v>0.37022783142018895</v>
      </c>
      <c r="O49" s="143">
        <f t="shared" si="285"/>
        <v>0.42435617934233127</v>
      </c>
      <c r="P49" s="143">
        <f t="shared" si="285"/>
        <v>0.47179034424485694</v>
      </c>
      <c r="Q49" s="143">
        <f t="shared" si="285"/>
        <v>0.5169125887496745</v>
      </c>
      <c r="R49" s="143">
        <f t="shared" si="285"/>
        <v>0.55894286495203915</v>
      </c>
      <c r="S49" s="143">
        <f t="shared" si="285"/>
        <v>0.59716640430986101</v>
      </c>
      <c r="T49" s="143">
        <f t="shared" si="285"/>
        <v>0.6345402230280679</v>
      </c>
      <c r="U49" s="143">
        <f t="shared" si="285"/>
        <v>0.66895258310865213</v>
      </c>
      <c r="V49" s="143">
        <f t="shared" si="285"/>
        <v>0.70293858135679954</v>
      </c>
      <c r="W49" s="143">
        <f t="shared" si="285"/>
        <v>0.73554307640495409</v>
      </c>
      <c r="X49" s="143">
        <f t="shared" si="285"/>
        <v>0.76388524796121615</v>
      </c>
      <c r="Y49" s="143">
        <f t="shared" si="285"/>
        <v>0.79416700373634297</v>
      </c>
      <c r="Z49" s="143">
        <f t="shared" si="285"/>
        <v>0.82251433921203498</v>
      </c>
      <c r="AA49" s="143">
        <f t="shared" si="285"/>
        <v>0.85090814229811829</v>
      </c>
      <c r="AB49" s="143">
        <f t="shared" si="285"/>
        <v>0.87759194480929903</v>
      </c>
      <c r="AC49" s="143">
        <f t="shared" si="285"/>
        <v>0.90441192574228091</v>
      </c>
      <c r="AD49" s="143">
        <f t="shared" si="285"/>
        <v>0.93053717041273154</v>
      </c>
      <c r="AE49" s="143">
        <f t="shared" si="285"/>
        <v>0.95519701850853511</v>
      </c>
      <c r="AF49" s="143">
        <f t="shared" si="285"/>
        <v>0.98008076884741757</v>
      </c>
      <c r="AG49" s="143">
        <f t="shared" si="285"/>
        <v>1.0036219496189556</v>
      </c>
      <c r="AH49" s="143">
        <f t="shared" si="285"/>
        <v>1.0274258853962712</v>
      </c>
      <c r="AI49" s="143">
        <f t="shared" si="285"/>
        <v>1.0507400878531235</v>
      </c>
      <c r="AJ49" s="143">
        <f t="shared" si="285"/>
        <v>1.071381961714809</v>
      </c>
      <c r="AK49" s="143">
        <f t="shared" si="285"/>
        <v>1.0938010398127485</v>
      </c>
      <c r="AL49" s="143">
        <f t="shared" si="285"/>
        <v>1.1150996085970133</v>
      </c>
      <c r="AM49" s="143">
        <f t="shared" si="285"/>
        <v>1.1367193322622655</v>
      </c>
      <c r="AN49" s="143">
        <f t="shared" si="285"/>
        <v>1.1572846509037811</v>
      </c>
      <c r="AO49" s="143">
        <f t="shared" si="285"/>
        <v>1.1781848466401417</v>
      </c>
      <c r="AP49" s="143">
        <f t="shared" si="285"/>
        <v>1.1987512112219698</v>
      </c>
      <c r="AQ49" s="143">
        <f t="shared" si="285"/>
        <v>1.2183460841322136</v>
      </c>
      <c r="AR49" s="143">
        <f t="shared" si="285"/>
        <v>1.238290128372594</v>
      </c>
      <c r="AS49" s="143">
        <f t="shared" si="285"/>
        <v>1.2573094957228805</v>
      </c>
      <c r="AT49" s="143">
        <f t="shared" si="285"/>
        <v>1.2766844957228805</v>
      </c>
      <c r="AU49" s="143">
        <f t="shared" si="285"/>
        <v>1.2957926505408401</v>
      </c>
      <c r="AV49" s="143">
        <f t="shared" si="285"/>
        <v>1.3134284297994714</v>
      </c>
      <c r="AW49" s="143">
        <f t="shared" si="285"/>
        <v>1.3320343846579559</v>
      </c>
      <c r="AX49" s="143">
        <f t="shared" si="285"/>
        <v>1.3498110895257049</v>
      </c>
      <c r="AY49" s="143">
        <f t="shared" si="285"/>
        <v>1.3679524673411052</v>
      </c>
      <c r="AZ49" s="143">
        <f t="shared" si="285"/>
        <v>1.3852961157184631</v>
      </c>
      <c r="BA49" s="143">
        <f t="shared" si="285"/>
        <v>1.4030060648333005</v>
      </c>
      <c r="BB49" s="143">
        <f t="shared" si="285"/>
        <v>1.4205115304520897</v>
      </c>
      <c r="BC49" s="143">
        <f t="shared" si="285"/>
        <v>1.4372611163702229</v>
      </c>
      <c r="BD49" s="143">
        <f t="shared" si="285"/>
        <v>1.4543780029118241</v>
      </c>
      <c r="BE49" s="143">
        <f t="shared" si="285"/>
        <v>1.4707638632812929</v>
      </c>
      <c r="BF49" s="143">
        <f t="shared" si="285"/>
        <v>1.4875169492015188</v>
      </c>
      <c r="BG49" s="143">
        <f t="shared" si="285"/>
        <v>1.5040966230078403</v>
      </c>
      <c r="BH49" s="143">
        <f t="shared" si="285"/>
        <v>1.5189199472539072</v>
      </c>
      <c r="BI49" s="143">
        <f t="shared" si="285"/>
        <v>1.5351683622230969</v>
      </c>
      <c r="BJ49" s="143">
        <f t="shared" si="285"/>
        <v>1.5507393896956732</v>
      </c>
      <c r="BK49" s="143">
        <f t="shared" si="285"/>
        <v>1.5666756395430059</v>
      </c>
      <c r="BL49" s="143">
        <f t="shared" si="285"/>
        <v>1.5819531553628818</v>
      </c>
      <c r="BM49" s="143">
        <f t="shared" si="285"/>
        <v>1.5975945673138783</v>
      </c>
      <c r="BN49" s="143">
        <f t="shared" si="285"/>
        <v>1.6130945673138783</v>
      </c>
      <c r="BO49" s="143">
        <f t="shared" si="285"/>
        <v>1.627961362900082</v>
      </c>
      <c r="BP49" s="143">
        <f t="shared" si="285"/>
        <v>1.6431896768054868</v>
      </c>
      <c r="BQ49" s="143">
        <f t="shared" si="285"/>
        <v>1.6578003744537342</v>
      </c>
      <c r="BR49" s="143">
        <f t="shared" si="285"/>
        <v>1.6727708055086554</v>
      </c>
      <c r="BS49" s="143">
        <f t="shared" si="285"/>
        <v>1.6876171129295832</v>
      </c>
      <c r="BT49" s="143">
        <f t="shared" si="285"/>
        <v>1.700917312434072</v>
      </c>
      <c r="BU49" s="143">
        <f t="shared" si="285"/>
        <v>1.715524361998596</v>
      </c>
      <c r="BV49" s="143">
        <f t="shared" si="285"/>
        <v>1.7295485668487229</v>
      </c>
      <c r="BW49" s="143">
        <f t="shared" si="285"/>
        <v>1.7439275652075721</v>
      </c>
      <c r="BX49" s="143">
        <f t="shared" si="285"/>
        <v>1.7577361844760468</v>
      </c>
      <c r="BY49" s="143">
        <f t="shared" ref="BY49:EJ49" si="286">+(BY40*BY38/1000)+BX49</f>
        <v>1.7718974898873281</v>
      </c>
      <c r="BZ49" s="143">
        <f t="shared" si="286"/>
        <v>1.7859535922332095</v>
      </c>
      <c r="CA49" s="143">
        <f t="shared" si="286"/>
        <v>1.7994566983048452</v>
      </c>
      <c r="CB49" s="143">
        <f t="shared" si="286"/>
        <v>1.8133092421595316</v>
      </c>
      <c r="CC49" s="143">
        <f t="shared" si="286"/>
        <v>1.8266195898007733</v>
      </c>
      <c r="CD49" s="143">
        <f t="shared" si="286"/>
        <v>1.8402771702272467</v>
      </c>
      <c r="CE49" s="143">
        <f t="shared" si="286"/>
        <v>1.8538403060141384</v>
      </c>
      <c r="CF49" s="143">
        <f t="shared" si="286"/>
        <v>1.8660073210045309</v>
      </c>
      <c r="CG49" s="143">
        <f t="shared" si="286"/>
        <v>1.8793873002648831</v>
      </c>
      <c r="CH49" s="143">
        <f t="shared" si="286"/>
        <v>1.8922496941505713</v>
      </c>
      <c r="CI49" s="143">
        <f t="shared" si="286"/>
        <v>1.9054537419971811</v>
      </c>
      <c r="CJ49" s="143">
        <f t="shared" si="286"/>
        <v>1.9181492051671598</v>
      </c>
      <c r="CK49" s="143">
        <f t="shared" si="286"/>
        <v>1.9311840838484056</v>
      </c>
      <c r="CL49" s="143">
        <f t="shared" si="286"/>
        <v>1.9441367803386624</v>
      </c>
      <c r="CM49" s="143">
        <f t="shared" si="286"/>
        <v>1.9565936023167234</v>
      </c>
      <c r="CN49" s="143">
        <f t="shared" si="286"/>
        <v>1.9693864924572326</v>
      </c>
      <c r="CO49" s="143">
        <f t="shared" si="286"/>
        <v>1.9816914991525254</v>
      </c>
      <c r="CP49" s="143">
        <f t="shared" si="286"/>
        <v>1.9943303555679359</v>
      </c>
      <c r="CQ49" s="143">
        <f t="shared" si="286"/>
        <v>2.0068942527009721</v>
      </c>
      <c r="CR49" s="143">
        <f t="shared" si="286"/>
        <v>2.0185786856793402</v>
      </c>
      <c r="CS49" s="143">
        <f t="shared" si="286"/>
        <v>2.0309965803410996</v>
      </c>
      <c r="CT49" s="143">
        <f t="shared" si="286"/>
        <v>2.0429450738637964</v>
      </c>
      <c r="CU49" s="143">
        <f t="shared" si="286"/>
        <v>2.0552219405429604</v>
      </c>
      <c r="CV49" s="143">
        <f t="shared" si="286"/>
        <v>2.0670362608269088</v>
      </c>
      <c r="CW49" s="143">
        <f t="shared" si="286"/>
        <v>2.0791767978017224</v>
      </c>
      <c r="CX49" s="143">
        <f t="shared" si="286"/>
        <v>2.0912508512631862</v>
      </c>
      <c r="CY49" s="143">
        <f t="shared" si="286"/>
        <v>2.1028721257891858</v>
      </c>
      <c r="CZ49" s="143">
        <f t="shared" si="286"/>
        <v>2.1148164244619356</v>
      </c>
      <c r="DA49" s="143">
        <f t="shared" si="286"/>
        <v>2.1263141379218418</v>
      </c>
      <c r="DB49" s="143">
        <f t="shared" si="286"/>
        <v>2.1381327771226188</v>
      </c>
      <c r="DC49" s="143">
        <f t="shared" si="286"/>
        <v>2.1498900557976013</v>
      </c>
      <c r="DD49" s="143">
        <f t="shared" si="286"/>
        <v>2.1604549652658784</v>
      </c>
      <c r="DE49" s="143">
        <f t="shared" si="286"/>
        <v>2.1720923365486056</v>
      </c>
      <c r="DF49" s="143">
        <f t="shared" si="286"/>
        <v>2.1832976047611155</v>
      </c>
      <c r="DG49" s="143">
        <f t="shared" si="286"/>
        <v>2.1948186640279466</v>
      </c>
      <c r="DH49" s="143">
        <f t="shared" si="286"/>
        <v>2.205913047254088</v>
      </c>
      <c r="DI49" s="143">
        <f t="shared" si="286"/>
        <v>2.2173212137232676</v>
      </c>
      <c r="DJ49" s="143">
        <f t="shared" si="286"/>
        <v>2.2286741642198806</v>
      </c>
      <c r="DK49" s="143">
        <f t="shared" si="286"/>
        <v>2.2396082241388875</v>
      </c>
      <c r="DL49" s="143">
        <f t="shared" si="286"/>
        <v>2.2508531060155925</v>
      </c>
      <c r="DM49" s="143">
        <f t="shared" si="286"/>
        <v>2.2616840661577808</v>
      </c>
      <c r="DN49" s="143">
        <f t="shared" si="286"/>
        <v>2.2728239079151922</v>
      </c>
      <c r="DO49" s="143">
        <f t="shared" si="286"/>
        <v>2.2839123215570591</v>
      </c>
      <c r="DP49" s="143">
        <f t="shared" si="286"/>
        <v>2.2938818491652371</v>
      </c>
      <c r="DQ49" s="143">
        <f t="shared" si="286"/>
        <v>2.3048695078428665</v>
      </c>
      <c r="DR49" s="143">
        <f t="shared" si="286"/>
        <v>2.315454959785447</v>
      </c>
      <c r="DS49" s="143">
        <f t="shared" si="286"/>
        <v>2.3263445610452376</v>
      </c>
      <c r="DT49" s="143">
        <f t="shared" si="286"/>
        <v>2.3368363806150976</v>
      </c>
      <c r="DU49" s="143">
        <f t="shared" si="286"/>
        <v>2.3476305037422169</v>
      </c>
      <c r="DV49" s="143">
        <f t="shared" si="286"/>
        <v>2.3583778200440806</v>
      </c>
      <c r="DW49" s="143">
        <f t="shared" si="286"/>
        <v>2.3687337359974645</v>
      </c>
      <c r="DX49" s="143">
        <f t="shared" si="286"/>
        <v>2.3793892368089016</v>
      </c>
      <c r="DY49" s="143">
        <f t="shared" si="286"/>
        <v>2.3896574304821865</v>
      </c>
      <c r="DZ49" s="143">
        <f t="shared" si="286"/>
        <v>2.4002234294682023</v>
      </c>
      <c r="EA49" s="143">
        <f t="shared" si="286"/>
        <v>2.4107455150843853</v>
      </c>
      <c r="EB49" s="143">
        <f t="shared" si="286"/>
        <v>2.4202101611253144</v>
      </c>
      <c r="EC49" s="143">
        <f t="shared" si="286"/>
        <v>2.4306460379419503</v>
      </c>
      <c r="ED49" s="143">
        <f t="shared" si="286"/>
        <v>2.4407043213316846</v>
      </c>
      <c r="EE49" s="143">
        <f t="shared" si="286"/>
        <v>2.451056074168644</v>
      </c>
      <c r="EF49" s="143">
        <f t="shared" si="286"/>
        <v>2.46103392574721</v>
      </c>
      <c r="EG49" s="143">
        <f t="shared" si="286"/>
        <v>2.47130355672678</v>
      </c>
      <c r="EH49" s="143">
        <f t="shared" si="286"/>
        <v>2.4815328529754064</v>
      </c>
      <c r="EI49" s="143">
        <f t="shared" si="286"/>
        <v>2.4913935946537848</v>
      </c>
      <c r="EJ49" s="143">
        <f t="shared" si="286"/>
        <v>2.5015436269733979</v>
      </c>
      <c r="EK49" s="143">
        <f t="shared" ref="EK49:GV49" si="287">+(EK40*EK38/1000)+EJ49</f>
        <v>2.5113285480691996</v>
      </c>
      <c r="EL49" s="143">
        <f t="shared" si="287"/>
        <v>2.5214011309393314</v>
      </c>
      <c r="EM49" s="143">
        <f t="shared" si="287"/>
        <v>2.5314356480651341</v>
      </c>
      <c r="EN49" s="143">
        <f t="shared" si="287"/>
        <v>2.5407875677965173</v>
      </c>
      <c r="EO49" s="143">
        <f t="shared" si="287"/>
        <v>2.5507472304546721</v>
      </c>
      <c r="EP49" s="143">
        <f t="shared" si="287"/>
        <v>2.5603499964496392</v>
      </c>
      <c r="EQ49" s="143">
        <f t="shared" si="287"/>
        <v>2.5702364552049728</v>
      </c>
      <c r="ER49" s="143">
        <f t="shared" si="287"/>
        <v>2.5797691554938762</v>
      </c>
      <c r="ES49" s="143">
        <f t="shared" si="287"/>
        <v>2.5895840011303437</v>
      </c>
      <c r="ET49" s="143">
        <f t="shared" si="287"/>
        <v>2.5993636188921418</v>
      </c>
      <c r="EU49" s="143">
        <f t="shared" si="287"/>
        <v>2.6087940380940706</v>
      </c>
      <c r="EV49" s="143">
        <f t="shared" si="287"/>
        <v>2.6185043233078269</v>
      </c>
      <c r="EW49" s="143">
        <f t="shared" si="287"/>
        <v>2.6278683562539653</v>
      </c>
      <c r="EX49" s="143">
        <f t="shared" si="287"/>
        <v>2.6375107629137133</v>
      </c>
      <c r="EY49" s="143">
        <f t="shared" si="287"/>
        <v>2.6471197597868001</v>
      </c>
      <c r="EZ49" s="143">
        <f t="shared" si="287"/>
        <v>2.655768988671813</v>
      </c>
      <c r="FA49" s="143">
        <f t="shared" si="287"/>
        <v>2.6653121947583918</v>
      </c>
      <c r="FB49" s="143">
        <f t="shared" si="287"/>
        <v>2.6745162077647757</v>
      </c>
      <c r="FC49" s="143">
        <f t="shared" si="287"/>
        <v>2.68399495618706</v>
      </c>
      <c r="FD49" s="143">
        <f t="shared" si="287"/>
        <v>2.6931372196203411</v>
      </c>
      <c r="FE49" s="143">
        <f t="shared" si="287"/>
        <v>2.7025527990784184</v>
      </c>
      <c r="FF49" s="143">
        <f t="shared" si="287"/>
        <v>2.7119372639975379</v>
      </c>
      <c r="FG49" s="143">
        <f t="shared" si="287"/>
        <v>2.7209891899493854</v>
      </c>
      <c r="FH49" s="143">
        <f t="shared" si="287"/>
        <v>2.7303123401036435</v>
      </c>
      <c r="FI49" s="143">
        <f t="shared" si="287"/>
        <v>2.7393055078913795</v>
      </c>
      <c r="FJ49" s="143">
        <f t="shared" si="287"/>
        <v>2.748568529613721</v>
      </c>
      <c r="FK49" s="143">
        <f t="shared" si="287"/>
        <v>2.7578019201261417</v>
      </c>
      <c r="FL49" s="143">
        <f t="shared" si="287"/>
        <v>2.7661152482528073</v>
      </c>
      <c r="FM49" s="143">
        <f t="shared" si="287"/>
        <v>2.7752902195392974</v>
      </c>
      <c r="FN49" s="143">
        <f t="shared" si="287"/>
        <v>2.7841413560982033</v>
      </c>
      <c r="FO49" s="143">
        <f t="shared" si="287"/>
        <v>2.793259003157027</v>
      </c>
      <c r="FP49" s="143">
        <f t="shared" si="287"/>
        <v>2.8020551821449056</v>
      </c>
      <c r="FQ49" s="143">
        <f t="shared" si="287"/>
        <v>2.8111165661889075</v>
      </c>
      <c r="FR49" s="143">
        <f t="shared" si="287"/>
        <v>2.8201502065187354</v>
      </c>
      <c r="FS49" s="143">
        <f t="shared" si="287"/>
        <v>2.828865835452496</v>
      </c>
      <c r="FT49" s="143">
        <f t="shared" si="287"/>
        <v>2.8378447443711301</v>
      </c>
      <c r="FU49" s="143">
        <f t="shared" si="287"/>
        <v>2.8465078866044986</v>
      </c>
      <c r="FV49" s="143">
        <f t="shared" si="287"/>
        <v>2.8554330469987805</v>
      </c>
      <c r="FW49" s="143">
        <f t="shared" si="287"/>
        <v>2.8643316925816928</v>
      </c>
      <c r="FX49" s="143">
        <f t="shared" si="287"/>
        <v>2.8723454422337746</v>
      </c>
      <c r="FY49" s="143">
        <f t="shared" si="287"/>
        <v>2.8811917594895724</v>
      </c>
      <c r="FZ49" s="143">
        <f t="shared" si="287"/>
        <v>2.8897277242446848</v>
      </c>
      <c r="GA49" s="143">
        <f t="shared" si="287"/>
        <v>2.8985226255949987</v>
      </c>
      <c r="GB49" s="143">
        <f t="shared" si="287"/>
        <v>2.9070092649401791</v>
      </c>
      <c r="GC49" s="143">
        <f t="shared" si="287"/>
        <v>2.915753636595483</v>
      </c>
      <c r="GD49" s="143">
        <f t="shared" si="287"/>
        <v>2.9244730678276598</v>
      </c>
      <c r="GE49" s="143">
        <f t="shared" si="287"/>
        <v>2.9328872965390782</v>
      </c>
      <c r="GF49" s="143">
        <f t="shared" si="287"/>
        <v>2.9415574805113271</v>
      </c>
      <c r="GG49" s="143">
        <f t="shared" si="287"/>
        <v>2.9499244526503605</v>
      </c>
      <c r="GH49" s="143">
        <f t="shared" si="287"/>
        <v>2.9585462144904788</v>
      </c>
      <c r="GI49" s="143">
        <f t="shared" si="287"/>
        <v>2.96714406753197</v>
      </c>
      <c r="GJ49" s="143">
        <f t="shared" si="287"/>
        <v>2.9751650391259927</v>
      </c>
      <c r="GK49" s="143">
        <f t="shared" si="287"/>
        <v>2.983715665275414</v>
      </c>
      <c r="GL49" s="143">
        <f t="shared" si="287"/>
        <v>2.9919678936779577</v>
      </c>
      <c r="GM49" s="143">
        <f t="shared" si="287"/>
        <v>3.0004720627161117</v>
      </c>
      <c r="GN49" s="143">
        <f t="shared" si="287"/>
        <v>3.0086796975435806</v>
      </c>
      <c r="GO49" s="143">
        <f t="shared" si="287"/>
        <v>3.0171381585640629</v>
      </c>
      <c r="GP49" s="143">
        <f t="shared" si="287"/>
        <v>3.0255740402326299</v>
      </c>
      <c r="GQ49" s="143">
        <f t="shared" si="287"/>
        <v>3.033716119760943</v>
      </c>
      <c r="GR49" s="143">
        <f t="shared" si="287"/>
        <v>3.0421073799381899</v>
      </c>
      <c r="GS49" s="143">
        <f t="shared" si="287"/>
        <v>3.0502066186455306</v>
      </c>
      <c r="GT49" s="143">
        <f t="shared" si="287"/>
        <v>3.0585539579968413</v>
      </c>
      <c r="GU49" s="143">
        <f t="shared" si="287"/>
        <v>3.0668795939879634</v>
      </c>
      <c r="GV49" s="143">
        <f t="shared" si="287"/>
        <v>3.0743800723500523</v>
      </c>
      <c r="GW49" s="143">
        <f t="shared" ref="GW49:IP49" si="288">+(GW40*GW38/1000)+GV49</f>
        <v>3.0826628046923568</v>
      </c>
      <c r="GX49" s="143">
        <f t="shared" si="288"/>
        <v>3.0906578315556921</v>
      </c>
      <c r="GY49" s="143">
        <f t="shared" si="288"/>
        <v>3.0988983167587696</v>
      </c>
      <c r="GZ49" s="143">
        <f t="shared" si="288"/>
        <v>3.1068527709092688</v>
      </c>
      <c r="HA49" s="143">
        <f t="shared" si="288"/>
        <v>3.1150516489085853</v>
      </c>
      <c r="HB49" s="143">
        <f t="shared" si="288"/>
        <v>3.1232299582617022</v>
      </c>
      <c r="HC49" s="143">
        <f t="shared" si="288"/>
        <v>3.1311246951038076</v>
      </c>
      <c r="HD49" s="143">
        <f t="shared" si="288"/>
        <v>3.139262327341406</v>
      </c>
      <c r="HE49" s="143">
        <f t="shared" si="288"/>
        <v>3.1471179918339081</v>
      </c>
      <c r="HF49" s="143">
        <f t="shared" si="288"/>
        <v>3.1552155479372743</v>
      </c>
      <c r="HG49" s="143">
        <f t="shared" si="288"/>
        <v>3.1632932867424248</v>
      </c>
      <c r="HH49" s="143">
        <f t="shared" si="288"/>
        <v>3.1705715401711654</v>
      </c>
      <c r="HI49" s="143">
        <f t="shared" si="288"/>
        <v>3.1786100769928427</v>
      </c>
      <c r="HJ49" s="143">
        <f t="shared" si="288"/>
        <v>3.1863705434350371</v>
      </c>
      <c r="HK49" s="143">
        <f t="shared" si="288"/>
        <v>3.1943704435409663</v>
      </c>
      <c r="HL49" s="143">
        <f t="shared" si="288"/>
        <v>3.2020937882194245</v>
      </c>
      <c r="HM49" s="143">
        <f t="shared" si="288"/>
        <v>3.2100556034219561</v>
      </c>
      <c r="HN49" s="143">
        <f t="shared" si="288"/>
        <v>3.2179985790195857</v>
      </c>
      <c r="HO49" s="143">
        <f t="shared" si="288"/>
        <v>3.225667226535986</v>
      </c>
      <c r="HP49" s="143">
        <f t="shared" si="288"/>
        <v>3.2335729206864068</v>
      </c>
      <c r="HQ49" s="143">
        <f t="shared" si="288"/>
        <v>3.2412057425058927</v>
      </c>
      <c r="HR49" s="143">
        <f t="shared" si="288"/>
        <v>3.2490746752856783</v>
      </c>
      <c r="HS49" s="143">
        <f t="shared" si="288"/>
        <v>3.2569254186498404</v>
      </c>
      <c r="HT49" s="143">
        <f t="shared" si="288"/>
        <v>3.2640000969127003</v>
      </c>
      <c r="HU49" s="143">
        <f t="shared" si="288"/>
        <v>3.2718148366780673</v>
      </c>
      <c r="HV49" s="143">
        <f t="shared" si="288"/>
        <v>3.2793602457710564</v>
      </c>
      <c r="HW49" s="143">
        <f t="shared" si="288"/>
        <v>3.2871394727760981</v>
      </c>
      <c r="HX49" s="143">
        <f t="shared" si="288"/>
        <v>3.2946507481520459</v>
      </c>
      <c r="HY49" s="143">
        <f t="shared" si="288"/>
        <v>3.3023949421829455</v>
      </c>
      <c r="HZ49" s="143">
        <f t="shared" si="288"/>
        <v>3.310121796287552</v>
      </c>
      <c r="IA49" s="143">
        <f t="shared" si="288"/>
        <v>3.3175827286771873</v>
      </c>
      <c r="IB49" s="143">
        <f t="shared" si="288"/>
        <v>3.3252752495154621</v>
      </c>
      <c r="IC49" s="143">
        <f t="shared" si="288"/>
        <v>3.3327031768813837</v>
      </c>
      <c r="ID49" s="143">
        <f t="shared" si="288"/>
        <v>3.3403618180896042</v>
      </c>
      <c r="IE49" s="143">
        <f t="shared" si="288"/>
        <v>3.348003686490034</v>
      </c>
      <c r="IF49" s="143">
        <f t="shared" si="288"/>
        <v>3.3551369430722389</v>
      </c>
      <c r="IG49" s="143">
        <f t="shared" si="288"/>
        <v>3.362745593824183</v>
      </c>
      <c r="IH49" s="143">
        <f t="shared" si="288"/>
        <v>3.3700928875795619</v>
      </c>
      <c r="II49" s="143">
        <f t="shared" si="288"/>
        <v>3.3776687501220888</v>
      </c>
      <c r="IJ49" s="143">
        <f t="shared" si="288"/>
        <v>3.3849845177993663</v>
      </c>
      <c r="IK49" s="143">
        <f t="shared" si="288"/>
        <v>3.3925280123975745</v>
      </c>
      <c r="IL49" s="143">
        <f t="shared" si="288"/>
        <v>3.4000554778308434</v>
      </c>
      <c r="IM49" s="143">
        <f t="shared" si="288"/>
        <v>3.4073247081699423</v>
      </c>
      <c r="IN49" s="143">
        <f t="shared" si="288"/>
        <v>3.4148204194476306</v>
      </c>
      <c r="IO49" s="143">
        <f t="shared" si="288"/>
        <v>3.4220591137950032</v>
      </c>
      <c r="IP49" s="143">
        <f t="shared" si="288"/>
        <v>3.4295234694151318</v>
      </c>
    </row>
    <row r="55" spans="7:250" ht="15">
      <c r="G55" s="211" t="s">
        <v>112</v>
      </c>
      <c r="K55" s="219" t="s">
        <v>113</v>
      </c>
      <c r="L55" s="139">
        <v>6</v>
      </c>
      <c r="M55" s="139">
        <f>+L55+12</f>
        <v>18</v>
      </c>
      <c r="N55" s="139">
        <f t="shared" ref="N55:AE55" si="289">+M55+12</f>
        <v>30</v>
      </c>
      <c r="O55" s="139">
        <f t="shared" si="289"/>
        <v>42</v>
      </c>
      <c r="P55" s="139">
        <f t="shared" si="289"/>
        <v>54</v>
      </c>
      <c r="Q55" s="139">
        <f t="shared" si="289"/>
        <v>66</v>
      </c>
      <c r="R55" s="139">
        <f t="shared" si="289"/>
        <v>78</v>
      </c>
      <c r="S55" s="139">
        <f t="shared" si="289"/>
        <v>90</v>
      </c>
      <c r="T55" s="139">
        <f t="shared" si="289"/>
        <v>102</v>
      </c>
      <c r="U55" s="139">
        <f t="shared" si="289"/>
        <v>114</v>
      </c>
      <c r="V55" s="139">
        <f t="shared" si="289"/>
        <v>126</v>
      </c>
      <c r="W55" s="139">
        <f t="shared" si="289"/>
        <v>138</v>
      </c>
      <c r="X55" s="139">
        <f t="shared" si="289"/>
        <v>150</v>
      </c>
      <c r="Y55" s="139">
        <f t="shared" si="289"/>
        <v>162</v>
      </c>
      <c r="Z55" s="139">
        <f t="shared" si="289"/>
        <v>174</v>
      </c>
      <c r="AA55" s="139">
        <f t="shared" si="289"/>
        <v>186</v>
      </c>
      <c r="AB55" s="139">
        <f t="shared" si="289"/>
        <v>198</v>
      </c>
      <c r="AC55" s="139">
        <f t="shared" si="289"/>
        <v>210</v>
      </c>
      <c r="AD55" s="139">
        <f t="shared" si="289"/>
        <v>222</v>
      </c>
      <c r="AE55" s="139">
        <f t="shared" si="289"/>
        <v>234</v>
      </c>
    </row>
    <row r="56" spans="7:250" ht="15">
      <c r="G56" s="189"/>
      <c r="H56" s="196"/>
      <c r="I56" s="64"/>
      <c r="J56" s="36"/>
      <c r="K56" s="212">
        <v>0</v>
      </c>
      <c r="L56" s="55">
        <f>COUNT($D57:L57)</f>
        <v>1</v>
      </c>
      <c r="M56" s="56">
        <f>COUNT($D57:M57)</f>
        <v>2</v>
      </c>
      <c r="N56" s="56">
        <f>COUNT($D57:N57)</f>
        <v>3</v>
      </c>
      <c r="O56" s="56">
        <f>COUNT($D57:O57)</f>
        <v>4</v>
      </c>
      <c r="P56" s="56">
        <f>COUNT($D57:P57)</f>
        <v>5</v>
      </c>
      <c r="Q56" s="56">
        <f>COUNT($D57:Q57)</f>
        <v>6</v>
      </c>
      <c r="R56" s="56">
        <f>COUNT($D57:R57)</f>
        <v>7</v>
      </c>
      <c r="S56" s="56">
        <f>COUNT($D57:S57)</f>
        <v>8</v>
      </c>
      <c r="T56" s="56">
        <f>COUNT($D57:T57)</f>
        <v>9</v>
      </c>
      <c r="U56" s="56">
        <f>COUNT($D57:U57)</f>
        <v>10</v>
      </c>
      <c r="V56" s="56">
        <f>COUNT($D57:V57)</f>
        <v>11</v>
      </c>
      <c r="W56" s="56">
        <f>COUNT($D57:W57)</f>
        <v>12</v>
      </c>
      <c r="X56" s="56">
        <f>COUNT($D57:X57)</f>
        <v>13</v>
      </c>
      <c r="Y56" s="56">
        <f>COUNT($D57:Y57)</f>
        <v>14</v>
      </c>
      <c r="Z56" s="56">
        <f>COUNT($D57:Z57)</f>
        <v>15</v>
      </c>
      <c r="AA56" s="56">
        <f>COUNT($D57:AA57)</f>
        <v>16</v>
      </c>
      <c r="AB56" s="56">
        <f>COUNT($D57:AB57)</f>
        <v>17</v>
      </c>
      <c r="AC56" s="56">
        <f>COUNT($D57:AC57)</f>
        <v>18</v>
      </c>
      <c r="AD56" s="56">
        <f>COUNT($D57:AD57)</f>
        <v>19</v>
      </c>
      <c r="AE56" s="56">
        <f>COUNT($D57:AE57)</f>
        <v>20</v>
      </c>
      <c r="AF56" s="56">
        <f>COUNT($D57:AF57)</f>
        <v>21</v>
      </c>
      <c r="AG56" s="56">
        <f>COUNT($D57:AG57)</f>
        <v>22</v>
      </c>
      <c r="AH56" s="56">
        <f>COUNT($D57:AH57)</f>
        <v>23</v>
      </c>
      <c r="AI56" s="56">
        <f>COUNT($D57:AI57)</f>
        <v>24</v>
      </c>
      <c r="AJ56" s="56">
        <f>COUNT($D57:AJ57)</f>
        <v>25</v>
      </c>
      <c r="AK56" s="56">
        <f>COUNT($D57:AK57)</f>
        <v>26</v>
      </c>
      <c r="AL56" s="56">
        <f>COUNT($D57:AL57)</f>
        <v>27</v>
      </c>
      <c r="AM56" s="56">
        <f>COUNT($D57:AM57)</f>
        <v>28</v>
      </c>
      <c r="AN56" s="56">
        <f>COUNT($D57:AN57)</f>
        <v>29</v>
      </c>
      <c r="AO56" s="56">
        <f>COUNT($D57:AO57)</f>
        <v>30</v>
      </c>
      <c r="AP56" s="56">
        <f>COUNT($D57:AP57)</f>
        <v>31</v>
      </c>
      <c r="AQ56" s="56">
        <f>COUNT($D57:AQ57)</f>
        <v>32</v>
      </c>
      <c r="AR56" s="56">
        <f>COUNT($D57:AR57)</f>
        <v>33</v>
      </c>
      <c r="AS56" s="56">
        <f>COUNT($D57:AS57)</f>
        <v>34</v>
      </c>
      <c r="AT56" s="56">
        <f>COUNT($D57:AT57)</f>
        <v>35</v>
      </c>
      <c r="AU56" s="56">
        <f>COUNT($D57:AU57)</f>
        <v>36</v>
      </c>
      <c r="AV56" s="56">
        <f>COUNT($D57:AV57)</f>
        <v>37</v>
      </c>
      <c r="AW56" s="56">
        <f>COUNT($D57:AW57)</f>
        <v>38</v>
      </c>
      <c r="AX56" s="56">
        <f>COUNT($D57:AX57)</f>
        <v>39</v>
      </c>
      <c r="AY56" s="56">
        <f>COUNT($D57:AY57)</f>
        <v>40</v>
      </c>
      <c r="AZ56" s="56">
        <f>COUNT($D57:AZ57)</f>
        <v>41</v>
      </c>
      <c r="BA56" s="56">
        <f>COUNT($D57:BA57)</f>
        <v>42</v>
      </c>
      <c r="BB56" s="56">
        <f>COUNT($D57:BB57)</f>
        <v>43</v>
      </c>
      <c r="BC56" s="56">
        <f>COUNT($D57:BC57)</f>
        <v>44</v>
      </c>
      <c r="BD56" s="56">
        <f>COUNT($D57:BD57)</f>
        <v>45</v>
      </c>
      <c r="BE56" s="56">
        <f>COUNT($D57:BE57)</f>
        <v>46</v>
      </c>
      <c r="BF56" s="56">
        <f>COUNT($D57:BF57)</f>
        <v>47</v>
      </c>
      <c r="BG56" s="56">
        <f>COUNT($D57:BG57)</f>
        <v>48</v>
      </c>
      <c r="BH56" s="56">
        <f>COUNT($D57:BH57)</f>
        <v>49</v>
      </c>
      <c r="BI56" s="56">
        <f>COUNT($D57:BI57)</f>
        <v>50</v>
      </c>
      <c r="BJ56" s="56">
        <f>COUNT($D57:BJ57)</f>
        <v>51</v>
      </c>
      <c r="BK56" s="56">
        <f>COUNT($D57:BK57)</f>
        <v>52</v>
      </c>
    </row>
    <row r="57" spans="7:250" ht="15">
      <c r="G57" s="191"/>
      <c r="H57" s="197"/>
      <c r="I57" s="65"/>
      <c r="J57" s="66"/>
      <c r="K57" s="213"/>
      <c r="L57" s="57">
        <f>+C2</f>
        <v>45658</v>
      </c>
      <c r="M57" s="58">
        <f>+L57+L58</f>
        <v>46023</v>
      </c>
      <c r="N57" s="58">
        <f t="shared" ref="N57:BK57" si="290">+M57+M58</f>
        <v>46388</v>
      </c>
      <c r="O57" s="58">
        <f t="shared" si="290"/>
        <v>46753</v>
      </c>
      <c r="P57" s="58">
        <f t="shared" si="290"/>
        <v>47119</v>
      </c>
      <c r="Q57" s="58">
        <f t="shared" si="290"/>
        <v>47484</v>
      </c>
      <c r="R57" s="58">
        <f t="shared" si="290"/>
        <v>47849</v>
      </c>
      <c r="S57" s="58">
        <f t="shared" si="290"/>
        <v>48214</v>
      </c>
      <c r="T57" s="58">
        <f t="shared" si="290"/>
        <v>48580</v>
      </c>
      <c r="U57" s="58">
        <f t="shared" si="290"/>
        <v>48945</v>
      </c>
      <c r="V57" s="58">
        <f t="shared" si="290"/>
        <v>49310</v>
      </c>
      <c r="W57" s="58">
        <f t="shared" si="290"/>
        <v>49675</v>
      </c>
      <c r="X57" s="58">
        <f t="shared" si="290"/>
        <v>50041</v>
      </c>
      <c r="Y57" s="58">
        <f t="shared" si="290"/>
        <v>50406</v>
      </c>
      <c r="Z57" s="58">
        <f t="shared" si="290"/>
        <v>50771</v>
      </c>
      <c r="AA57" s="58">
        <f t="shared" si="290"/>
        <v>51136</v>
      </c>
      <c r="AB57" s="58">
        <f t="shared" si="290"/>
        <v>51502</v>
      </c>
      <c r="AC57" s="58">
        <f t="shared" si="290"/>
        <v>51867</v>
      </c>
      <c r="AD57" s="58">
        <f t="shared" si="290"/>
        <v>52232</v>
      </c>
      <c r="AE57" s="58">
        <f t="shared" si="290"/>
        <v>52597</v>
      </c>
      <c r="AF57" s="58">
        <f t="shared" si="290"/>
        <v>52963</v>
      </c>
      <c r="AG57" s="58">
        <f t="shared" si="290"/>
        <v>53328</v>
      </c>
      <c r="AH57" s="58">
        <f t="shared" si="290"/>
        <v>53693</v>
      </c>
      <c r="AI57" s="58">
        <f t="shared" si="290"/>
        <v>54058</v>
      </c>
      <c r="AJ57" s="58">
        <f t="shared" si="290"/>
        <v>54424</v>
      </c>
      <c r="AK57" s="58">
        <f t="shared" si="290"/>
        <v>54789</v>
      </c>
      <c r="AL57" s="58">
        <f t="shared" si="290"/>
        <v>55154</v>
      </c>
      <c r="AM57" s="58">
        <f t="shared" si="290"/>
        <v>55519</v>
      </c>
      <c r="AN57" s="58">
        <f t="shared" si="290"/>
        <v>55885</v>
      </c>
      <c r="AO57" s="58">
        <f t="shared" si="290"/>
        <v>56250</v>
      </c>
      <c r="AP57" s="58">
        <f t="shared" si="290"/>
        <v>56615</v>
      </c>
      <c r="AQ57" s="58">
        <f t="shared" si="290"/>
        <v>56980</v>
      </c>
      <c r="AR57" s="58">
        <f t="shared" si="290"/>
        <v>57346</v>
      </c>
      <c r="AS57" s="58">
        <f t="shared" si="290"/>
        <v>57711</v>
      </c>
      <c r="AT57" s="58">
        <f t="shared" si="290"/>
        <v>58076</v>
      </c>
      <c r="AU57" s="58">
        <f t="shared" si="290"/>
        <v>58441</v>
      </c>
      <c r="AV57" s="58">
        <f t="shared" si="290"/>
        <v>58807</v>
      </c>
      <c r="AW57" s="58">
        <f t="shared" si="290"/>
        <v>59172</v>
      </c>
      <c r="AX57" s="58">
        <f t="shared" si="290"/>
        <v>59537</v>
      </c>
      <c r="AY57" s="58">
        <f t="shared" si="290"/>
        <v>59902</v>
      </c>
      <c r="AZ57" s="58">
        <f t="shared" si="290"/>
        <v>60268</v>
      </c>
      <c r="BA57" s="58">
        <f t="shared" si="290"/>
        <v>60633</v>
      </c>
      <c r="BB57" s="58">
        <f t="shared" si="290"/>
        <v>60998</v>
      </c>
      <c r="BC57" s="58">
        <f t="shared" si="290"/>
        <v>61363</v>
      </c>
      <c r="BD57" s="58">
        <f t="shared" si="290"/>
        <v>61729</v>
      </c>
      <c r="BE57" s="58">
        <f t="shared" si="290"/>
        <v>62094</v>
      </c>
      <c r="BF57" s="58">
        <f t="shared" si="290"/>
        <v>62459</v>
      </c>
      <c r="BG57" s="58">
        <f t="shared" si="290"/>
        <v>62824</v>
      </c>
      <c r="BH57" s="58">
        <f t="shared" si="290"/>
        <v>63190</v>
      </c>
      <c r="BI57" s="58">
        <f t="shared" si="290"/>
        <v>63555</v>
      </c>
      <c r="BJ57" s="58">
        <f t="shared" si="290"/>
        <v>63920</v>
      </c>
      <c r="BK57" s="58">
        <f t="shared" si="290"/>
        <v>64285</v>
      </c>
    </row>
    <row r="58" spans="7:250" ht="15.75">
      <c r="G58" s="194" t="s">
        <v>60</v>
      </c>
      <c r="H58" s="198"/>
      <c r="I58" s="62" t="s">
        <v>59</v>
      </c>
      <c r="J58" s="63"/>
      <c r="K58" s="214"/>
      <c r="L58" s="60">
        <f t="shared" ref="L58:AQ58" si="291" xml:space="preserve"> DATE(YEAR(L$57)+1,1,1) - DATE(YEAR(L$57),1,1)</f>
        <v>365</v>
      </c>
      <c r="M58" s="61">
        <f t="shared" si="291"/>
        <v>365</v>
      </c>
      <c r="N58" s="61">
        <f t="shared" si="291"/>
        <v>365</v>
      </c>
      <c r="O58" s="61">
        <f t="shared" si="291"/>
        <v>366</v>
      </c>
      <c r="P58" s="61">
        <f t="shared" si="291"/>
        <v>365</v>
      </c>
      <c r="Q58" s="61">
        <f t="shared" si="291"/>
        <v>365</v>
      </c>
      <c r="R58" s="61">
        <f t="shared" si="291"/>
        <v>365</v>
      </c>
      <c r="S58" s="61">
        <f t="shared" si="291"/>
        <v>366</v>
      </c>
      <c r="T58" s="61">
        <f t="shared" si="291"/>
        <v>365</v>
      </c>
      <c r="U58" s="61">
        <f t="shared" si="291"/>
        <v>365</v>
      </c>
      <c r="V58" s="61">
        <f t="shared" si="291"/>
        <v>365</v>
      </c>
      <c r="W58" s="61">
        <f t="shared" si="291"/>
        <v>366</v>
      </c>
      <c r="X58" s="61">
        <f t="shared" si="291"/>
        <v>365</v>
      </c>
      <c r="Y58" s="61">
        <f t="shared" si="291"/>
        <v>365</v>
      </c>
      <c r="Z58" s="61">
        <f t="shared" si="291"/>
        <v>365</v>
      </c>
      <c r="AA58" s="61">
        <f t="shared" si="291"/>
        <v>366</v>
      </c>
      <c r="AB58" s="61">
        <f t="shared" si="291"/>
        <v>365</v>
      </c>
      <c r="AC58" s="61">
        <f t="shared" si="291"/>
        <v>365</v>
      </c>
      <c r="AD58" s="61">
        <f t="shared" si="291"/>
        <v>365</v>
      </c>
      <c r="AE58" s="61">
        <f t="shared" si="291"/>
        <v>366</v>
      </c>
      <c r="AF58" s="61">
        <f t="shared" si="291"/>
        <v>365</v>
      </c>
      <c r="AG58" s="61">
        <f t="shared" si="291"/>
        <v>365</v>
      </c>
      <c r="AH58" s="61">
        <f t="shared" si="291"/>
        <v>365</v>
      </c>
      <c r="AI58" s="61">
        <f t="shared" si="291"/>
        <v>366</v>
      </c>
      <c r="AJ58" s="61">
        <f t="shared" si="291"/>
        <v>365</v>
      </c>
      <c r="AK58" s="61">
        <f t="shared" si="291"/>
        <v>365</v>
      </c>
      <c r="AL58" s="61">
        <f t="shared" si="291"/>
        <v>365</v>
      </c>
      <c r="AM58" s="61">
        <f t="shared" si="291"/>
        <v>366</v>
      </c>
      <c r="AN58" s="61">
        <f t="shared" si="291"/>
        <v>365</v>
      </c>
      <c r="AO58" s="61">
        <f t="shared" si="291"/>
        <v>365</v>
      </c>
      <c r="AP58" s="61">
        <f t="shared" si="291"/>
        <v>365</v>
      </c>
      <c r="AQ58" s="61">
        <f t="shared" si="291"/>
        <v>366</v>
      </c>
      <c r="AR58" s="61">
        <f t="shared" ref="AR58:BK58" si="292" xml:space="preserve"> DATE(YEAR(AR$57)+1,1,1) - DATE(YEAR(AR$57),1,1)</f>
        <v>365</v>
      </c>
      <c r="AS58" s="61">
        <f t="shared" si="292"/>
        <v>365</v>
      </c>
      <c r="AT58" s="61">
        <f t="shared" si="292"/>
        <v>365</v>
      </c>
      <c r="AU58" s="61">
        <f t="shared" si="292"/>
        <v>366</v>
      </c>
      <c r="AV58" s="61">
        <f t="shared" si="292"/>
        <v>365</v>
      </c>
      <c r="AW58" s="61">
        <f t="shared" si="292"/>
        <v>365</v>
      </c>
      <c r="AX58" s="61">
        <f t="shared" si="292"/>
        <v>365</v>
      </c>
      <c r="AY58" s="61">
        <f t="shared" si="292"/>
        <v>366</v>
      </c>
      <c r="AZ58" s="61">
        <f t="shared" si="292"/>
        <v>365</v>
      </c>
      <c r="BA58" s="61">
        <f t="shared" si="292"/>
        <v>365</v>
      </c>
      <c r="BB58" s="61">
        <f t="shared" si="292"/>
        <v>365</v>
      </c>
      <c r="BC58" s="61">
        <f t="shared" si="292"/>
        <v>366</v>
      </c>
      <c r="BD58" s="61">
        <f t="shared" si="292"/>
        <v>365</v>
      </c>
      <c r="BE58" s="61">
        <f t="shared" si="292"/>
        <v>365</v>
      </c>
      <c r="BF58" s="61">
        <f t="shared" si="292"/>
        <v>365</v>
      </c>
      <c r="BG58" s="61">
        <f t="shared" si="292"/>
        <v>366</v>
      </c>
      <c r="BH58" s="61">
        <f t="shared" si="292"/>
        <v>365</v>
      </c>
      <c r="BI58" s="61">
        <f t="shared" si="292"/>
        <v>365</v>
      </c>
      <c r="BJ58" s="61">
        <f t="shared" si="292"/>
        <v>365</v>
      </c>
      <c r="BK58" s="61">
        <f t="shared" si="292"/>
        <v>366</v>
      </c>
    </row>
    <row r="59" spans="7:250">
      <c r="G59" s="199">
        <f>SUMPRODUCT(L59:EX59,$L$58:$EX$58)/1000000</f>
        <v>0</v>
      </c>
      <c r="H59" s="200" t="s">
        <v>64</v>
      </c>
      <c r="I59" s="53" t="s">
        <v>58</v>
      </c>
      <c r="J59" s="54" t="s">
        <v>61</v>
      </c>
      <c r="K59" s="215">
        <f t="shared" ref="K59:AP59" si="293">J$14*1000/5.8+J$15+J$16+J$17</f>
        <v>0</v>
      </c>
      <c r="L59" s="74">
        <f t="shared" si="293"/>
        <v>0</v>
      </c>
      <c r="M59" s="75">
        <f t="shared" si="293"/>
        <v>0</v>
      </c>
      <c r="N59" s="75">
        <f t="shared" si="293"/>
        <v>0</v>
      </c>
      <c r="O59" s="75">
        <f t="shared" si="293"/>
        <v>0</v>
      </c>
      <c r="P59" s="75">
        <f t="shared" si="293"/>
        <v>0</v>
      </c>
      <c r="Q59" s="75">
        <f t="shared" si="293"/>
        <v>0</v>
      </c>
      <c r="R59" s="75">
        <f t="shared" si="293"/>
        <v>0</v>
      </c>
      <c r="S59" s="75">
        <f t="shared" si="293"/>
        <v>0</v>
      </c>
      <c r="T59" s="75">
        <f t="shared" si="293"/>
        <v>0</v>
      </c>
      <c r="U59" s="75">
        <f t="shared" si="293"/>
        <v>0</v>
      </c>
      <c r="V59" s="75">
        <f t="shared" si="293"/>
        <v>0</v>
      </c>
      <c r="W59" s="75">
        <f t="shared" si="293"/>
        <v>0</v>
      </c>
      <c r="X59" s="75">
        <f t="shared" si="293"/>
        <v>0</v>
      </c>
      <c r="Y59" s="75">
        <f t="shared" si="293"/>
        <v>0</v>
      </c>
      <c r="Z59" s="75">
        <f t="shared" si="293"/>
        <v>0</v>
      </c>
      <c r="AA59" s="75">
        <f t="shared" si="293"/>
        <v>0</v>
      </c>
      <c r="AB59" s="75">
        <f t="shared" si="293"/>
        <v>0</v>
      </c>
      <c r="AC59" s="75">
        <f t="shared" si="293"/>
        <v>0</v>
      </c>
      <c r="AD59" s="75">
        <f t="shared" si="293"/>
        <v>0</v>
      </c>
      <c r="AE59" s="75">
        <f t="shared" si="293"/>
        <v>0</v>
      </c>
      <c r="AF59" s="75">
        <f t="shared" si="293"/>
        <v>0</v>
      </c>
      <c r="AG59" s="75">
        <f t="shared" si="293"/>
        <v>0</v>
      </c>
      <c r="AH59" s="75">
        <f t="shared" si="293"/>
        <v>0</v>
      </c>
      <c r="AI59" s="75">
        <f t="shared" si="293"/>
        <v>0</v>
      </c>
      <c r="AJ59" s="75">
        <f t="shared" si="293"/>
        <v>0</v>
      </c>
      <c r="AK59" s="75">
        <f t="shared" si="293"/>
        <v>0</v>
      </c>
      <c r="AL59" s="75">
        <f t="shared" si="293"/>
        <v>0</v>
      </c>
      <c r="AM59" s="75">
        <f t="shared" si="293"/>
        <v>0</v>
      </c>
      <c r="AN59" s="75">
        <f t="shared" si="293"/>
        <v>0</v>
      </c>
      <c r="AO59" s="75">
        <f t="shared" si="293"/>
        <v>0</v>
      </c>
      <c r="AP59" s="75">
        <f t="shared" si="293"/>
        <v>0</v>
      </c>
      <c r="AQ59" s="75">
        <f t="shared" ref="AQ59:BK59" si="294">AP$14*1000/5.8+AP$15+AP$16+AP$17</f>
        <v>0</v>
      </c>
      <c r="AR59" s="75">
        <f t="shared" si="294"/>
        <v>0</v>
      </c>
      <c r="AS59" s="75">
        <f t="shared" si="294"/>
        <v>0</v>
      </c>
      <c r="AT59" s="75">
        <f t="shared" si="294"/>
        <v>0</v>
      </c>
      <c r="AU59" s="75">
        <f t="shared" si="294"/>
        <v>0</v>
      </c>
      <c r="AV59" s="75">
        <f t="shared" si="294"/>
        <v>0</v>
      </c>
      <c r="AW59" s="75">
        <f t="shared" si="294"/>
        <v>0</v>
      </c>
      <c r="AX59" s="75">
        <f t="shared" si="294"/>
        <v>0</v>
      </c>
      <c r="AY59" s="75">
        <f t="shared" si="294"/>
        <v>0</v>
      </c>
      <c r="AZ59" s="75">
        <f t="shared" si="294"/>
        <v>0</v>
      </c>
      <c r="BA59" s="75">
        <f t="shared" si="294"/>
        <v>0</v>
      </c>
      <c r="BB59" s="75">
        <f t="shared" si="294"/>
        <v>0</v>
      </c>
      <c r="BC59" s="75">
        <f t="shared" si="294"/>
        <v>0</v>
      </c>
      <c r="BD59" s="75">
        <f t="shared" si="294"/>
        <v>0</v>
      </c>
      <c r="BE59" s="75">
        <f t="shared" si="294"/>
        <v>0</v>
      </c>
      <c r="BF59" s="75">
        <f t="shared" si="294"/>
        <v>0</v>
      </c>
      <c r="BG59" s="75">
        <f t="shared" si="294"/>
        <v>0</v>
      </c>
      <c r="BH59" s="75">
        <f t="shared" si="294"/>
        <v>0</v>
      </c>
      <c r="BI59" s="75">
        <f t="shared" si="294"/>
        <v>0</v>
      </c>
      <c r="BJ59" s="75">
        <f t="shared" si="294"/>
        <v>0</v>
      </c>
      <c r="BK59" s="75">
        <f t="shared" si="294"/>
        <v>0</v>
      </c>
    </row>
    <row r="60" spans="7:250">
      <c r="G60" s="122">
        <f>SUMPRODUCT(L60:EX60,$L$58:$EX$58)/1000</f>
        <v>3.4295234694151318</v>
      </c>
      <c r="H60" s="201" t="s">
        <v>46</v>
      </c>
      <c r="I60" s="43" t="s">
        <v>14</v>
      </c>
      <c r="J60" s="44" t="s">
        <v>62</v>
      </c>
      <c r="K60" s="216">
        <v>0</v>
      </c>
      <c r="L60" s="37">
        <f>SUMPRODUCT($K40:$V40,$K$38:$V$38)/SUM($K$38:$V$38)</f>
        <v>1.9258591270049308</v>
      </c>
      <c r="M60" s="38">
        <f>SUMPRODUCT($W40:$AH40,$W$38:$AH$38)/SUM($W$38:$AH$38)</f>
        <v>0.88900631243690853</v>
      </c>
      <c r="N60" s="38">
        <f t="shared" ref="N60:N64" si="295">SUMPRODUCT($AI40:$AT40,$AI$38:$AT$38)/SUM($AI$38:$AT$38)</f>
        <v>0.6829003022646829</v>
      </c>
      <c r="O60" s="38">
        <f t="shared" ref="O60:O64" si="296">SUMPRODUCT($AU40:$BF40,$AU$38:$BF$38)/SUM($AU$38:$BF$38)</f>
        <v>0.57604495485966867</v>
      </c>
      <c r="P60" s="38">
        <f t="shared" ref="P60:P64" si="297">SUMPRODUCT($BG40:$BR40,$BG$38:$BR$38)/SUM($BG$38:$BR$38)</f>
        <v>0.50754481180037436</v>
      </c>
      <c r="Q60" s="38">
        <f t="shared" ref="Q60:Q64" si="298">SUMPRODUCT($BS40:$CD40,$BS$38:$CD$38)/SUM($BS$38:$CD$38)</f>
        <v>0.45892154717422362</v>
      </c>
      <c r="R60" s="38">
        <f t="shared" ref="R60:R64" si="299">SUMPRODUCT($CE40:$CP40,$CE$38:$CP$38)/SUM($CE$38:$CP$38)</f>
        <v>0.42206352148133941</v>
      </c>
      <c r="S60" s="38">
        <f t="shared" ref="S60:S64" si="300">SUMPRODUCT($CQ40:$DB40,$CQ$38:$DB$38)/SUM($CQ$38:$DB$38)</f>
        <v>0.39290279113301169</v>
      </c>
      <c r="T60" s="38">
        <f t="shared" ref="T60:T64" si="301">SUMPRODUCT($DC40:$DN40,$DC$38:$DN$38)/SUM($DC$38:$DN$38)</f>
        <v>0.36901679669198162</v>
      </c>
      <c r="U60" s="38">
        <f t="shared" ref="U60:U64" si="302">SUMPRODUCT($DO40:$DZ40,$DO$38:$DZ$38)/SUM($DO$38:$DZ$38)</f>
        <v>0.3490397850767421</v>
      </c>
      <c r="V60" s="38">
        <f t="shared" ref="V60:V64" si="303">SUMPRODUCT($EA40:$EL40,$EA$38:$EL$38)/SUM($EA$38:$EL$38)</f>
        <v>0.33199370266062878</v>
      </c>
      <c r="W60" s="38">
        <f t="shared" ref="W60:W64" si="304">SUMPRODUCT($EM40:$EX40,$EM$38:$EX$38)/SUM($EM$38:$EX$38)</f>
        <v>0.31723943162399526</v>
      </c>
      <c r="X60" s="38">
        <f t="shared" ref="X60:X64" si="305">SUMPRODUCT($EY40:$FJ40,$EY$38:$FJ$38)/SUM($EY$38:$FJ$38)</f>
        <v>0.30426785397262401</v>
      </c>
      <c r="Y60" s="38">
        <f t="shared" ref="Y60:Y64" si="306">SUMPRODUCT($FK40:$FV40,$FK$38:$FV$38)/SUM($FK$38:$FV$38)</f>
        <v>0.29277949968509431</v>
      </c>
      <c r="Z60" s="38">
        <f t="shared" ref="Z60:Z64" si="307">SUMPRODUCT($FW40:$GH40,$FW$38:$GH$38)/SUM($FW$38:$GH$38)</f>
        <v>0.28250182874437674</v>
      </c>
      <c r="AA60" s="38">
        <f t="shared" ref="AA60:AA64" si="308">SUMPRODUCT($GI40:$GT40,$GI$38:$GT$38)/SUM($GI$38:$GT$38)</f>
        <v>0.273245200837056</v>
      </c>
      <c r="AB60" s="38">
        <f t="shared" ref="AB60:AB64" si="309">SUMPRODUCT($GU40:$HF40,$GU$38:$HF$38)/SUM($GU$38:$HF$38)</f>
        <v>0.26482627380940371</v>
      </c>
      <c r="AC60" s="38">
        <f t="shared" ref="AC60:AC64" si="310">SUMPRODUCT($HG40:$HR40,$HG$38:$HR$38)/SUM($HG$38:$HR$38)</f>
        <v>0.25714829410521561</v>
      </c>
      <c r="AD60" s="38">
        <f t="shared" ref="AD60:AD64" si="311">SUMPRODUCT($HS40:$ID40,$HS$38:$ID$38)/SUM($HS$38:$ID$38)</f>
        <v>0.25010176110664617</v>
      </c>
      <c r="AE60" s="38">
        <f>SUMPRODUCT($IE40:$IP40,$IE$38:$IP$38)/SUM($IE$38:$IP$38)</f>
        <v>0.24361106919543057</v>
      </c>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row>
    <row r="61" spans="7:250">
      <c r="G61" s="123">
        <f>SUMPRODUCT(L61:EX61,$L$58:$EX$58)/1000</f>
        <v>3.3609330000268289</v>
      </c>
      <c r="H61" s="204" t="s">
        <v>46</v>
      </c>
      <c r="I61" s="45" t="s">
        <v>12</v>
      </c>
      <c r="J61" s="46" t="s">
        <v>62</v>
      </c>
      <c r="K61" s="216">
        <v>0</v>
      </c>
      <c r="L61" s="39">
        <f t="shared" ref="L61:L64" si="312">SUMPRODUCT($K41:$V41,$K$38:$V$38)/SUM($K$38:$V$38)</f>
        <v>1.8873419444648323</v>
      </c>
      <c r="M61" s="40">
        <f t="shared" ref="M61:M64" si="313">SUMPRODUCT($W41:$AH41,$W$38:$AH$38)/SUM($W$38:$AH$38)</f>
        <v>0.87122618618817027</v>
      </c>
      <c r="N61" s="40">
        <f t="shared" si="295"/>
        <v>0.66924229621938924</v>
      </c>
      <c r="O61" s="40">
        <f t="shared" si="296"/>
        <v>0.56452405576247533</v>
      </c>
      <c r="P61" s="40">
        <f t="shared" si="297"/>
        <v>0.49739391556436696</v>
      </c>
      <c r="Q61" s="40">
        <f t="shared" si="298"/>
        <v>0.44974311623073904</v>
      </c>
      <c r="R61" s="40">
        <f t="shared" si="299"/>
        <v>0.41362225105171252</v>
      </c>
      <c r="S61" s="40">
        <f t="shared" si="300"/>
        <v>0.38504473531035138</v>
      </c>
      <c r="T61" s="40">
        <f t="shared" si="301"/>
        <v>0.36163646075814199</v>
      </c>
      <c r="U61" s="40">
        <f t="shared" si="302"/>
        <v>0.34205898937520723</v>
      </c>
      <c r="V61" s="40">
        <f t="shared" si="303"/>
        <v>0.32535382860741618</v>
      </c>
      <c r="W61" s="40">
        <f t="shared" si="304"/>
        <v>0.31089464299151537</v>
      </c>
      <c r="X61" s="40">
        <f t="shared" si="305"/>
        <v>0.29818249689317156</v>
      </c>
      <c r="Y61" s="40">
        <f t="shared" si="306"/>
        <v>0.28692390969139248</v>
      </c>
      <c r="Z61" s="40">
        <f t="shared" si="307"/>
        <v>0.27685179216948919</v>
      </c>
      <c r="AA61" s="40">
        <f t="shared" si="308"/>
        <v>0.26778029682031484</v>
      </c>
      <c r="AB61" s="40">
        <f t="shared" si="309"/>
        <v>0.25952974833321568</v>
      </c>
      <c r="AC61" s="40">
        <f t="shared" si="310"/>
        <v>0.25200532822311128</v>
      </c>
      <c r="AD61" s="40">
        <f t="shared" si="311"/>
        <v>0.24509972588451334</v>
      </c>
      <c r="AE61" s="40">
        <f t="shared" ref="AE61:AE64" si="314">SUMPRODUCT($IE41:$IP41,$IE$38:$IP$38)/SUM($IE$38:$IP$38)</f>
        <v>0.23873884781152194</v>
      </c>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row>
    <row r="62" spans="7:250">
      <c r="G62" s="124">
        <f>SUMPRODUCT(L62:EX62,$L$58:$EX$58)/1000</f>
        <v>57.212100152609814</v>
      </c>
      <c r="H62" s="202" t="s">
        <v>65</v>
      </c>
      <c r="I62" s="47" t="s">
        <v>15</v>
      </c>
      <c r="J62" s="48" t="s">
        <v>63</v>
      </c>
      <c r="K62" s="216">
        <v>0</v>
      </c>
      <c r="L62" s="37">
        <f t="shared" si="312"/>
        <v>47.031147830734483</v>
      </c>
      <c r="M62" s="38">
        <f t="shared" si="313"/>
        <v>20.061613881840248</v>
      </c>
      <c r="N62" s="38">
        <f t="shared" si="295"/>
        <v>14.333056252042136</v>
      </c>
      <c r="O62" s="38">
        <f t="shared" si="296"/>
        <v>11.251283697720963</v>
      </c>
      <c r="P62" s="38">
        <f t="shared" si="297"/>
        <v>9.2254099187705343</v>
      </c>
      <c r="Q62" s="38">
        <f t="shared" si="298"/>
        <v>7.7638730087288099</v>
      </c>
      <c r="R62" s="38">
        <f t="shared" si="299"/>
        <v>6.6460350028423969</v>
      </c>
      <c r="S62" s="38">
        <f t="shared" si="300"/>
        <v>5.7591312549219857</v>
      </c>
      <c r="T62" s="38">
        <f t="shared" si="301"/>
        <v>5.0343816400439971</v>
      </c>
      <c r="U62" s="38">
        <f t="shared" si="302"/>
        <v>4.4324097674984193</v>
      </c>
      <c r="V62" s="38">
        <f t="shared" si="303"/>
        <v>3.9243056485682457</v>
      </c>
      <c r="W62" s="38">
        <f t="shared" si="304"/>
        <v>3.4907830329809211</v>
      </c>
      <c r="X62" s="38">
        <f t="shared" si="305"/>
        <v>3.1162426155594267</v>
      </c>
      <c r="Y62" s="38">
        <f t="shared" si="306"/>
        <v>2.7911883203229437</v>
      </c>
      <c r="Z62" s="38">
        <f t="shared" si="307"/>
        <v>2.5069407700941846</v>
      </c>
      <c r="AA62" s="38">
        <f t="shared" si="308"/>
        <v>2.257267040680607</v>
      </c>
      <c r="AB62" s="38">
        <f t="shared" si="309"/>
        <v>2.0362680062300695</v>
      </c>
      <c r="AC62" s="38">
        <f t="shared" si="310"/>
        <v>1.8404921327666126</v>
      </c>
      <c r="AD62" s="38">
        <f t="shared" si="311"/>
        <v>1.6662647189573268</v>
      </c>
      <c r="AE62" s="38">
        <f t="shared" si="314"/>
        <v>1.5108939344465393</v>
      </c>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row>
    <row r="63" spans="7:250">
      <c r="G63" s="124">
        <f>SUMPRODUCT(L63:EX63,$L$58:$EX$58)/1000</f>
        <v>13.718093877660527</v>
      </c>
      <c r="H63" s="202" t="s">
        <v>65</v>
      </c>
      <c r="I63" s="49" t="s">
        <v>13</v>
      </c>
      <c r="J63" s="50" t="s">
        <v>63</v>
      </c>
      <c r="K63" s="216">
        <v>0</v>
      </c>
      <c r="L63" s="37">
        <f t="shared" si="312"/>
        <v>7.7034365080197231</v>
      </c>
      <c r="M63" s="38">
        <f t="shared" si="313"/>
        <v>3.5560252497476341</v>
      </c>
      <c r="N63" s="38">
        <f t="shared" si="295"/>
        <v>2.7316012090587316</v>
      </c>
      <c r="O63" s="38">
        <f t="shared" si="296"/>
        <v>2.3041798194386747</v>
      </c>
      <c r="P63" s="38">
        <f t="shared" si="297"/>
        <v>2.0301792472014974</v>
      </c>
      <c r="Q63" s="38">
        <f t="shared" si="298"/>
        <v>1.8356861886968945</v>
      </c>
      <c r="R63" s="38">
        <f t="shared" si="299"/>
        <v>1.6882540859253576</v>
      </c>
      <c r="S63" s="38">
        <f t="shared" si="300"/>
        <v>1.5716111645320467</v>
      </c>
      <c r="T63" s="38">
        <f t="shared" si="301"/>
        <v>1.4760671867679265</v>
      </c>
      <c r="U63" s="38">
        <f t="shared" si="302"/>
        <v>1.3961591403069684</v>
      </c>
      <c r="V63" s="38">
        <f t="shared" si="303"/>
        <v>1.3279748106425151</v>
      </c>
      <c r="W63" s="38">
        <f t="shared" si="304"/>
        <v>1.268957726495981</v>
      </c>
      <c r="X63" s="38">
        <f t="shared" si="305"/>
        <v>1.2170714158904961</v>
      </c>
      <c r="Y63" s="38">
        <f t="shared" si="306"/>
        <v>1.1711179987403773</v>
      </c>
      <c r="Z63" s="38">
        <f t="shared" si="307"/>
        <v>1.1300073149775069</v>
      </c>
      <c r="AA63" s="38">
        <f t="shared" si="308"/>
        <v>1.092980803348224</v>
      </c>
      <c r="AB63" s="38">
        <f t="shared" si="309"/>
        <v>1.0593050952376148</v>
      </c>
      <c r="AC63" s="38">
        <f t="shared" si="310"/>
        <v>1.0285931764208625</v>
      </c>
      <c r="AD63" s="38">
        <f t="shared" si="311"/>
        <v>1.0004070444265847</v>
      </c>
      <c r="AE63" s="38">
        <f t="shared" si="314"/>
        <v>0.9744442767817223</v>
      </c>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row>
    <row r="64" spans="7:250">
      <c r="G64" s="124">
        <f>SUMPRODUCT(L64:EX64,$L$58:$EX$58)/1000</f>
        <v>0</v>
      </c>
      <c r="H64" s="202" t="s">
        <v>65</v>
      </c>
      <c r="I64" s="49" t="s">
        <v>3</v>
      </c>
      <c r="J64" s="50" t="s">
        <v>63</v>
      </c>
      <c r="K64" s="216">
        <v>0</v>
      </c>
      <c r="L64" s="37">
        <f t="shared" si="312"/>
        <v>0</v>
      </c>
      <c r="M64" s="38">
        <f t="shared" si="313"/>
        <v>0</v>
      </c>
      <c r="N64" s="38">
        <f t="shared" si="295"/>
        <v>0</v>
      </c>
      <c r="O64" s="38">
        <f t="shared" si="296"/>
        <v>0</v>
      </c>
      <c r="P64" s="38">
        <f t="shared" si="297"/>
        <v>0</v>
      </c>
      <c r="Q64" s="38">
        <f t="shared" si="298"/>
        <v>0</v>
      </c>
      <c r="R64" s="38">
        <f t="shared" si="299"/>
        <v>0</v>
      </c>
      <c r="S64" s="38">
        <f t="shared" si="300"/>
        <v>0</v>
      </c>
      <c r="T64" s="38">
        <f t="shared" si="301"/>
        <v>0</v>
      </c>
      <c r="U64" s="38">
        <f t="shared" si="302"/>
        <v>0</v>
      </c>
      <c r="V64" s="38">
        <f t="shared" si="303"/>
        <v>0</v>
      </c>
      <c r="W64" s="38">
        <f t="shared" si="304"/>
        <v>0</v>
      </c>
      <c r="X64" s="38">
        <f t="shared" si="305"/>
        <v>0</v>
      </c>
      <c r="Y64" s="38">
        <f t="shared" si="306"/>
        <v>0</v>
      </c>
      <c r="Z64" s="38">
        <f t="shared" si="307"/>
        <v>0</v>
      </c>
      <c r="AA64" s="38">
        <f t="shared" si="308"/>
        <v>0</v>
      </c>
      <c r="AB64" s="38">
        <f t="shared" si="309"/>
        <v>0</v>
      </c>
      <c r="AC64" s="38">
        <f t="shared" si="310"/>
        <v>0</v>
      </c>
      <c r="AD64" s="38">
        <f t="shared" si="311"/>
        <v>0</v>
      </c>
      <c r="AE64" s="38">
        <f t="shared" si="314"/>
        <v>0</v>
      </c>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row>
    <row r="65" spans="7:63">
      <c r="G65" s="148"/>
      <c r="H65" s="187"/>
      <c r="I65" s="81" t="s">
        <v>4</v>
      </c>
      <c r="J65" s="149" t="s">
        <v>100</v>
      </c>
      <c r="K65" s="217"/>
      <c r="L65" s="69"/>
      <c r="M65" s="70"/>
      <c r="N65" s="70"/>
      <c r="O65" s="70"/>
      <c r="P65" s="70"/>
      <c r="Q65" s="70"/>
      <c r="R65" s="70"/>
      <c r="S65" s="70"/>
      <c r="T65" s="70"/>
      <c r="U65" s="70"/>
      <c r="V65" s="70"/>
      <c r="W65" s="70"/>
      <c r="X65" s="70"/>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row>
    <row r="66" spans="7:63">
      <c r="G66" s="150"/>
      <c r="H66" s="15"/>
      <c r="I66" s="16" t="s">
        <v>5</v>
      </c>
      <c r="J66" s="151" t="s">
        <v>101</v>
      </c>
      <c r="K66" s="216"/>
      <c r="L66" s="37"/>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row>
    <row r="67" spans="7:63">
      <c r="G67" s="150"/>
      <c r="H67" s="15"/>
      <c r="I67" s="16" t="s">
        <v>6</v>
      </c>
      <c r="J67" s="151" t="s">
        <v>101</v>
      </c>
      <c r="K67" s="216"/>
      <c r="L67" s="37"/>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row>
    <row r="68" spans="7:63">
      <c r="G68" s="152"/>
      <c r="H68" s="188"/>
      <c r="I68" s="153" t="s">
        <v>7</v>
      </c>
      <c r="J68" s="154" t="s">
        <v>101</v>
      </c>
      <c r="K68" s="218"/>
      <c r="L68" s="41"/>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42"/>
    </row>
    <row r="72" spans="7:63">
      <c r="I72" s="232" t="s">
        <v>123</v>
      </c>
      <c r="J72" s="233">
        <v>1</v>
      </c>
      <c r="K72" s="233">
        <v>2</v>
      </c>
      <c r="L72" s="233">
        <v>3</v>
      </c>
      <c r="M72" s="233">
        <v>4</v>
      </c>
      <c r="N72" s="233">
        <v>5</v>
      </c>
      <c r="O72" s="233">
        <v>6</v>
      </c>
      <c r="P72" s="233">
        <v>7</v>
      </c>
      <c r="Q72" s="233">
        <v>8</v>
      </c>
      <c r="R72" s="233">
        <v>9</v>
      </c>
      <c r="S72" s="233">
        <v>10</v>
      </c>
      <c r="T72" s="233">
        <v>11</v>
      </c>
      <c r="U72" s="233">
        <v>12</v>
      </c>
      <c r="V72" s="233">
        <v>13</v>
      </c>
      <c r="W72" s="233">
        <v>14</v>
      </c>
      <c r="X72" s="233">
        <v>15</v>
      </c>
      <c r="Y72" s="233">
        <v>16</v>
      </c>
      <c r="Z72" s="233">
        <v>17</v>
      </c>
      <c r="AA72" s="233">
        <v>18</v>
      </c>
      <c r="AB72" s="233">
        <v>19</v>
      </c>
      <c r="AC72" s="233">
        <v>20</v>
      </c>
      <c r="AD72" s="233">
        <v>21</v>
      </c>
      <c r="AE72" s="233">
        <v>22</v>
      </c>
      <c r="AF72" s="233">
        <v>23</v>
      </c>
      <c r="AG72" s="233">
        <v>24</v>
      </c>
      <c r="AH72" s="233">
        <v>25</v>
      </c>
      <c r="AI72" s="233">
        <v>26</v>
      </c>
      <c r="AJ72" s="233">
        <v>27</v>
      </c>
      <c r="AK72" s="233">
        <v>28</v>
      </c>
      <c r="AL72" s="233">
        <v>29</v>
      </c>
      <c r="AM72" s="233">
        <v>30</v>
      </c>
      <c r="AN72" s="233">
        <v>31</v>
      </c>
      <c r="AO72" s="233">
        <v>32</v>
      </c>
      <c r="AP72" s="233">
        <v>33</v>
      </c>
      <c r="AQ72" s="233">
        <v>34</v>
      </c>
      <c r="AR72" s="233">
        <v>35</v>
      </c>
      <c r="AS72" s="233">
        <v>36</v>
      </c>
      <c r="AT72" s="233">
        <v>37</v>
      </c>
      <c r="AU72" s="233">
        <v>38</v>
      </c>
      <c r="AV72" s="233">
        <v>39</v>
      </c>
      <c r="AW72" s="233">
        <v>40</v>
      </c>
      <c r="AX72" s="233">
        <v>41</v>
      </c>
      <c r="AY72" s="233">
        <v>42</v>
      </c>
      <c r="AZ72" s="233">
        <v>43</v>
      </c>
      <c r="BA72" s="233">
        <v>44</v>
      </c>
      <c r="BB72" s="233">
        <v>45</v>
      </c>
      <c r="BC72" s="233">
        <v>46</v>
      </c>
      <c r="BD72" s="233">
        <v>47</v>
      </c>
      <c r="BE72" s="233">
        <v>48</v>
      </c>
      <c r="BF72" s="233">
        <v>49</v>
      </c>
      <c r="BG72" s="233">
        <v>50</v>
      </c>
      <c r="BH72" s="233">
        <v>51</v>
      </c>
      <c r="BI72" s="233">
        <v>52</v>
      </c>
      <c r="BJ72" s="233">
        <v>53</v>
      </c>
      <c r="BK72" s="234">
        <v>54</v>
      </c>
    </row>
    <row r="73" spans="7:63">
      <c r="I73" s="235" t="s">
        <v>121</v>
      </c>
      <c r="J73" s="236">
        <f>'Well OPEX-Schedule'!$C$20</f>
        <v>4</v>
      </c>
      <c r="K73" s="236">
        <f>'Well OPEX-Schedule'!$C$21</f>
        <v>4</v>
      </c>
      <c r="L73" s="236">
        <f>'Well OPEX-Schedule'!$C$22</f>
        <v>4</v>
      </c>
      <c r="M73" s="236">
        <f>'Well OPEX-Schedule'!$C$23</f>
        <v>4</v>
      </c>
      <c r="N73" s="236">
        <f>'Well OPEX-Schedule'!$C$24</f>
        <v>4</v>
      </c>
      <c r="O73" s="236">
        <f>'Well OPEX-Schedule'!$C$25</f>
        <v>4</v>
      </c>
      <c r="P73" s="236">
        <f>'Well OPEX-Schedule'!$C$26</f>
        <v>4</v>
      </c>
      <c r="Q73" s="236">
        <f>'Well OPEX-Schedule'!$C$27</f>
        <v>0</v>
      </c>
      <c r="R73" s="236">
        <f>'Well OPEX-Schedule'!$C$28</f>
        <v>0</v>
      </c>
      <c r="S73" s="236">
        <f>'Well OPEX-Schedule'!$C$29</f>
        <v>0</v>
      </c>
      <c r="T73" s="236">
        <f>'Well OPEX-Schedule'!$C$30</f>
        <v>0</v>
      </c>
      <c r="U73" s="236">
        <f>'Well OPEX-Schedule'!$C$31</f>
        <v>0</v>
      </c>
      <c r="V73" s="236">
        <f>'Well OPEX-Schedule'!$C$32</f>
        <v>0</v>
      </c>
      <c r="W73" s="236">
        <f>'Well OPEX-Schedule'!$C$33</f>
        <v>0</v>
      </c>
      <c r="X73" s="236">
        <f>'Well OPEX-Schedule'!$C$34</f>
        <v>0</v>
      </c>
      <c r="Y73" s="236">
        <f>'Well OPEX-Schedule'!$C$35</f>
        <v>0</v>
      </c>
      <c r="Z73" s="236">
        <f>'Well OPEX-Schedule'!$C$36</f>
        <v>0</v>
      </c>
      <c r="AA73" s="236">
        <f>'Well OPEX-Schedule'!$C$37</f>
        <v>0</v>
      </c>
      <c r="AB73" s="236">
        <f>'Well OPEX-Schedule'!$C$38</f>
        <v>0</v>
      </c>
      <c r="AC73" s="236">
        <f>'Well OPEX-Schedule'!$C$39</f>
        <v>0</v>
      </c>
      <c r="AD73" s="236">
        <f>'Well OPEX-Schedule'!$C$40</f>
        <v>0</v>
      </c>
      <c r="AE73" s="236">
        <f>'Well OPEX-Schedule'!$C$41</f>
        <v>0</v>
      </c>
      <c r="AF73" s="236">
        <f>'Well OPEX-Schedule'!$C$42</f>
        <v>0</v>
      </c>
      <c r="AG73" s="236">
        <f>'Well OPEX-Schedule'!$C$43</f>
        <v>0</v>
      </c>
      <c r="AH73" s="236">
        <f>'Well OPEX-Schedule'!$C$44</f>
        <v>0</v>
      </c>
      <c r="AI73" s="236">
        <f>'Well OPEX-Schedule'!$C$45</f>
        <v>0</v>
      </c>
      <c r="AJ73" s="236">
        <f>'Well OPEX-Schedule'!$C$46</f>
        <v>0</v>
      </c>
      <c r="AK73" s="236">
        <f>'Well OPEX-Schedule'!$C$47</f>
        <v>0</v>
      </c>
      <c r="AL73" s="236">
        <f>'Well OPEX-Schedule'!$C$48</f>
        <v>0</v>
      </c>
      <c r="AM73" s="236">
        <f>'Well OPEX-Schedule'!$C$49</f>
        <v>0</v>
      </c>
      <c r="AN73" s="236">
        <f>'Well OPEX-Schedule'!$C$50</f>
        <v>0</v>
      </c>
      <c r="AO73" s="236">
        <f>'Well OPEX-Schedule'!$C$51</f>
        <v>0</v>
      </c>
      <c r="AP73" s="236">
        <f>'Well OPEX-Schedule'!$C$52</f>
        <v>0</v>
      </c>
      <c r="AQ73" s="236">
        <f>'Well OPEX-Schedule'!$C$53</f>
        <v>0</v>
      </c>
      <c r="AR73" s="236">
        <f>'Well OPEX-Schedule'!$C$54</f>
        <v>0</v>
      </c>
      <c r="AS73" s="236">
        <f>'Well OPEX-Schedule'!$C$55</f>
        <v>0</v>
      </c>
      <c r="AT73" s="236">
        <f>'Well OPEX-Schedule'!$C$56</f>
        <v>0</v>
      </c>
      <c r="AU73" s="236">
        <f>'Well OPEX-Schedule'!$C$57</f>
        <v>0</v>
      </c>
      <c r="AV73" s="236">
        <f>'Well OPEX-Schedule'!$C$58</f>
        <v>0</v>
      </c>
      <c r="AW73" s="236">
        <f>'Well OPEX-Schedule'!$C$59</f>
        <v>0</v>
      </c>
      <c r="AX73" s="236">
        <f>'Well OPEX-Schedule'!$C$60</f>
        <v>0</v>
      </c>
      <c r="AY73" s="236">
        <f>'Well OPEX-Schedule'!$C$61</f>
        <v>0</v>
      </c>
      <c r="AZ73" s="236">
        <f>'Well OPEX-Schedule'!$C$62</f>
        <v>0</v>
      </c>
      <c r="BA73" s="236">
        <f>'Well OPEX-Schedule'!$C$63</f>
        <v>0</v>
      </c>
      <c r="BB73" s="236">
        <f>'Well OPEX-Schedule'!$C$64</f>
        <v>0</v>
      </c>
      <c r="BC73" s="236">
        <f>'Well OPEX-Schedule'!$C$65</f>
        <v>0</v>
      </c>
      <c r="BD73" s="236">
        <f>'Well OPEX-Schedule'!$C$66</f>
        <v>0</v>
      </c>
      <c r="BE73" s="236">
        <f>'Well OPEX-Schedule'!$C$67</f>
        <v>0</v>
      </c>
      <c r="BF73" s="236">
        <f>'Well OPEX-Schedule'!$C$68</f>
        <v>0</v>
      </c>
      <c r="BG73" s="236">
        <f>'Well OPEX-Schedule'!$C$69</f>
        <v>0</v>
      </c>
      <c r="BH73" s="236">
        <f>'Well OPEX-Schedule'!$C$70</f>
        <v>0</v>
      </c>
      <c r="BI73" s="236">
        <f>'Well OPEX-Schedule'!$C$71</f>
        <v>0</v>
      </c>
      <c r="BJ73" s="236">
        <f>'Well OPEX-Schedule'!$C$72</f>
        <v>0</v>
      </c>
      <c r="BK73" s="237">
        <f>'Well OPEX-Schedule'!$C$73</f>
        <v>0</v>
      </c>
    </row>
    <row r="74" spans="7:63">
      <c r="I74" s="238" t="s">
        <v>122</v>
      </c>
      <c r="J74" s="239">
        <f>+J73</f>
        <v>4</v>
      </c>
      <c r="K74" s="239">
        <f>+J74+K73</f>
        <v>8</v>
      </c>
      <c r="L74" s="239">
        <f t="shared" ref="L74:BK74" si="315">+K74+L73</f>
        <v>12</v>
      </c>
      <c r="M74" s="239">
        <f t="shared" si="315"/>
        <v>16</v>
      </c>
      <c r="N74" s="239">
        <f t="shared" si="315"/>
        <v>20</v>
      </c>
      <c r="O74" s="239">
        <f t="shared" si="315"/>
        <v>24</v>
      </c>
      <c r="P74" s="239">
        <f t="shared" si="315"/>
        <v>28</v>
      </c>
      <c r="Q74" s="239">
        <f t="shared" si="315"/>
        <v>28</v>
      </c>
      <c r="R74" s="239">
        <f t="shared" si="315"/>
        <v>28</v>
      </c>
      <c r="S74" s="239">
        <f t="shared" si="315"/>
        <v>28</v>
      </c>
      <c r="T74" s="239">
        <f t="shared" si="315"/>
        <v>28</v>
      </c>
      <c r="U74" s="239">
        <f t="shared" si="315"/>
        <v>28</v>
      </c>
      <c r="V74" s="239">
        <f t="shared" si="315"/>
        <v>28</v>
      </c>
      <c r="W74" s="239">
        <f t="shared" si="315"/>
        <v>28</v>
      </c>
      <c r="X74" s="239">
        <f t="shared" si="315"/>
        <v>28</v>
      </c>
      <c r="Y74" s="239">
        <f t="shared" si="315"/>
        <v>28</v>
      </c>
      <c r="Z74" s="239">
        <f t="shared" si="315"/>
        <v>28</v>
      </c>
      <c r="AA74" s="239">
        <f t="shared" si="315"/>
        <v>28</v>
      </c>
      <c r="AB74" s="239">
        <f t="shared" si="315"/>
        <v>28</v>
      </c>
      <c r="AC74" s="239">
        <f t="shared" si="315"/>
        <v>28</v>
      </c>
      <c r="AD74" s="239">
        <f t="shared" si="315"/>
        <v>28</v>
      </c>
      <c r="AE74" s="239">
        <f t="shared" si="315"/>
        <v>28</v>
      </c>
      <c r="AF74" s="239">
        <f t="shared" si="315"/>
        <v>28</v>
      </c>
      <c r="AG74" s="239">
        <f t="shared" si="315"/>
        <v>28</v>
      </c>
      <c r="AH74" s="239">
        <f t="shared" si="315"/>
        <v>28</v>
      </c>
      <c r="AI74" s="239">
        <f t="shared" si="315"/>
        <v>28</v>
      </c>
      <c r="AJ74" s="239">
        <f t="shared" si="315"/>
        <v>28</v>
      </c>
      <c r="AK74" s="239">
        <f t="shared" si="315"/>
        <v>28</v>
      </c>
      <c r="AL74" s="239">
        <f t="shared" si="315"/>
        <v>28</v>
      </c>
      <c r="AM74" s="239">
        <f t="shared" si="315"/>
        <v>28</v>
      </c>
      <c r="AN74" s="239">
        <f t="shared" si="315"/>
        <v>28</v>
      </c>
      <c r="AO74" s="239">
        <f t="shared" si="315"/>
        <v>28</v>
      </c>
      <c r="AP74" s="239">
        <f t="shared" si="315"/>
        <v>28</v>
      </c>
      <c r="AQ74" s="239">
        <f t="shared" si="315"/>
        <v>28</v>
      </c>
      <c r="AR74" s="239">
        <f t="shared" si="315"/>
        <v>28</v>
      </c>
      <c r="AS74" s="239">
        <f t="shared" si="315"/>
        <v>28</v>
      </c>
      <c r="AT74" s="239">
        <f t="shared" si="315"/>
        <v>28</v>
      </c>
      <c r="AU74" s="239">
        <f t="shared" si="315"/>
        <v>28</v>
      </c>
      <c r="AV74" s="239">
        <f t="shared" si="315"/>
        <v>28</v>
      </c>
      <c r="AW74" s="239">
        <f t="shared" si="315"/>
        <v>28</v>
      </c>
      <c r="AX74" s="239">
        <f t="shared" si="315"/>
        <v>28</v>
      </c>
      <c r="AY74" s="239">
        <f t="shared" si="315"/>
        <v>28</v>
      </c>
      <c r="AZ74" s="239">
        <f t="shared" si="315"/>
        <v>28</v>
      </c>
      <c r="BA74" s="239">
        <f t="shared" si="315"/>
        <v>28</v>
      </c>
      <c r="BB74" s="239">
        <f t="shared" si="315"/>
        <v>28</v>
      </c>
      <c r="BC74" s="239">
        <f t="shared" si="315"/>
        <v>28</v>
      </c>
      <c r="BD74" s="239">
        <f t="shared" si="315"/>
        <v>28</v>
      </c>
      <c r="BE74" s="239">
        <f t="shared" si="315"/>
        <v>28</v>
      </c>
      <c r="BF74" s="239">
        <f t="shared" si="315"/>
        <v>28</v>
      </c>
      <c r="BG74" s="239">
        <f t="shared" si="315"/>
        <v>28</v>
      </c>
      <c r="BH74" s="239">
        <f t="shared" si="315"/>
        <v>28</v>
      </c>
      <c r="BI74" s="239">
        <f t="shared" si="315"/>
        <v>28</v>
      </c>
      <c r="BJ74" s="239">
        <f t="shared" si="315"/>
        <v>28</v>
      </c>
      <c r="BK74" s="240">
        <f t="shared" si="315"/>
        <v>28</v>
      </c>
    </row>
    <row r="79" spans="7:63">
      <c r="I79" s="158" t="s">
        <v>75</v>
      </c>
      <c r="L79" s="31"/>
    </row>
    <row r="80" spans="7:63">
      <c r="I80" s="31">
        <v>1</v>
      </c>
      <c r="L80" s="64">
        <f>IF($I80&lt;=L$74,K80+1,)</f>
        <v>1</v>
      </c>
      <c r="M80" s="144">
        <f t="shared" ref="M80:BK85" si="316">IF($I80&lt;=M$74,L80+1,)</f>
        <v>2</v>
      </c>
      <c r="N80" s="144">
        <f t="shared" si="316"/>
        <v>3</v>
      </c>
      <c r="O80" s="144">
        <f t="shared" si="316"/>
        <v>4</v>
      </c>
      <c r="P80" s="144">
        <f t="shared" si="316"/>
        <v>5</v>
      </c>
      <c r="Q80" s="144">
        <f t="shared" si="316"/>
        <v>6</v>
      </c>
      <c r="R80" s="144">
        <f t="shared" si="316"/>
        <v>7</v>
      </c>
      <c r="S80" s="144">
        <f>IF($I80&lt;=S$74,R80+1,)</f>
        <v>8</v>
      </c>
      <c r="T80" s="144">
        <f t="shared" si="316"/>
        <v>9</v>
      </c>
      <c r="U80" s="144">
        <f t="shared" si="316"/>
        <v>10</v>
      </c>
      <c r="V80" s="144">
        <f t="shared" si="316"/>
        <v>11</v>
      </c>
      <c r="W80" s="144">
        <f t="shared" si="316"/>
        <v>12</v>
      </c>
      <c r="X80" s="144">
        <f t="shared" si="316"/>
        <v>13</v>
      </c>
      <c r="Y80" s="144">
        <f t="shared" si="316"/>
        <v>14</v>
      </c>
      <c r="Z80" s="144">
        <f t="shared" si="316"/>
        <v>15</v>
      </c>
      <c r="AA80" s="144">
        <f t="shared" si="316"/>
        <v>16</v>
      </c>
      <c r="AB80" s="144">
        <f t="shared" si="316"/>
        <v>17</v>
      </c>
      <c r="AC80" s="144">
        <f t="shared" si="316"/>
        <v>18</v>
      </c>
      <c r="AD80" s="144">
        <f t="shared" si="316"/>
        <v>19</v>
      </c>
      <c r="AE80" s="144">
        <f t="shared" si="316"/>
        <v>20</v>
      </c>
      <c r="AF80" s="144">
        <f t="shared" si="316"/>
        <v>21</v>
      </c>
      <c r="AG80" s="144">
        <f t="shared" si="316"/>
        <v>22</v>
      </c>
      <c r="AH80" s="144">
        <f t="shared" si="316"/>
        <v>23</v>
      </c>
      <c r="AI80" s="144">
        <f t="shared" si="316"/>
        <v>24</v>
      </c>
      <c r="AJ80" s="144">
        <f t="shared" si="316"/>
        <v>25</v>
      </c>
      <c r="AK80" s="144">
        <f t="shared" si="316"/>
        <v>26</v>
      </c>
      <c r="AL80" s="144">
        <f t="shared" si="316"/>
        <v>27</v>
      </c>
      <c r="AM80" s="144">
        <f t="shared" si="316"/>
        <v>28</v>
      </c>
      <c r="AN80" s="144">
        <f t="shared" si="316"/>
        <v>29</v>
      </c>
      <c r="AO80" s="144">
        <f t="shared" si="316"/>
        <v>30</v>
      </c>
      <c r="AP80" s="144">
        <f t="shared" si="316"/>
        <v>31</v>
      </c>
      <c r="AQ80" s="144">
        <f t="shared" si="316"/>
        <v>32</v>
      </c>
      <c r="AR80" s="144">
        <f t="shared" si="316"/>
        <v>33</v>
      </c>
      <c r="AS80" s="144">
        <f t="shared" si="316"/>
        <v>34</v>
      </c>
      <c r="AT80" s="144">
        <f t="shared" si="316"/>
        <v>35</v>
      </c>
      <c r="AU80" s="144">
        <f t="shared" si="316"/>
        <v>36</v>
      </c>
      <c r="AV80" s="144">
        <f t="shared" si="316"/>
        <v>37</v>
      </c>
      <c r="AW80" s="144">
        <f t="shared" si="316"/>
        <v>38</v>
      </c>
      <c r="AX80" s="144">
        <f t="shared" si="316"/>
        <v>39</v>
      </c>
      <c r="AY80" s="144">
        <f t="shared" si="316"/>
        <v>40</v>
      </c>
      <c r="AZ80" s="144">
        <f t="shared" si="316"/>
        <v>41</v>
      </c>
      <c r="BA80" s="144">
        <f t="shared" si="316"/>
        <v>42</v>
      </c>
      <c r="BB80" s="144">
        <f t="shared" si="316"/>
        <v>43</v>
      </c>
      <c r="BC80" s="144">
        <f t="shared" si="316"/>
        <v>44</v>
      </c>
      <c r="BD80" s="144">
        <f t="shared" si="316"/>
        <v>45</v>
      </c>
      <c r="BE80" s="144">
        <f t="shared" si="316"/>
        <v>46</v>
      </c>
      <c r="BF80" s="144">
        <f t="shared" si="316"/>
        <v>47</v>
      </c>
      <c r="BG80" s="144">
        <f t="shared" si="316"/>
        <v>48</v>
      </c>
      <c r="BH80" s="144">
        <f t="shared" si="316"/>
        <v>49</v>
      </c>
      <c r="BI80" s="144">
        <f t="shared" si="316"/>
        <v>50</v>
      </c>
      <c r="BJ80" s="144">
        <f t="shared" si="316"/>
        <v>51</v>
      </c>
      <c r="BK80" s="36">
        <f t="shared" si="316"/>
        <v>52</v>
      </c>
    </row>
    <row r="81" spans="9:63">
      <c r="I81" s="31">
        <v>2</v>
      </c>
      <c r="L81" s="225">
        <f t="shared" ref="L81:AA144" si="317">IF($I81&lt;=L$74,K81+1,)</f>
        <v>1</v>
      </c>
      <c r="M81" s="164">
        <f t="shared" si="317"/>
        <v>2</v>
      </c>
      <c r="N81" s="164">
        <f t="shared" si="317"/>
        <v>3</v>
      </c>
      <c r="O81" s="164">
        <f t="shared" si="317"/>
        <v>4</v>
      </c>
      <c r="P81" s="164">
        <f t="shared" si="317"/>
        <v>5</v>
      </c>
      <c r="Q81" s="164">
        <f t="shared" si="317"/>
        <v>6</v>
      </c>
      <c r="R81" s="164">
        <f t="shared" si="317"/>
        <v>7</v>
      </c>
      <c r="S81" s="164">
        <f t="shared" si="317"/>
        <v>8</v>
      </c>
      <c r="T81" s="164">
        <f t="shared" si="317"/>
        <v>9</v>
      </c>
      <c r="U81" s="164">
        <f t="shared" si="317"/>
        <v>10</v>
      </c>
      <c r="V81" s="164">
        <f t="shared" si="317"/>
        <v>11</v>
      </c>
      <c r="W81" s="164">
        <f t="shared" si="317"/>
        <v>12</v>
      </c>
      <c r="X81" s="164">
        <f t="shared" si="317"/>
        <v>13</v>
      </c>
      <c r="Y81" s="164">
        <f t="shared" si="317"/>
        <v>14</v>
      </c>
      <c r="Z81" s="164">
        <f t="shared" si="317"/>
        <v>15</v>
      </c>
      <c r="AA81" s="164">
        <f t="shared" si="317"/>
        <v>16</v>
      </c>
      <c r="AB81" s="164">
        <f t="shared" si="316"/>
        <v>17</v>
      </c>
      <c r="AC81" s="164">
        <f t="shared" si="316"/>
        <v>18</v>
      </c>
      <c r="AD81" s="164">
        <f t="shared" si="316"/>
        <v>19</v>
      </c>
      <c r="AE81" s="164">
        <f t="shared" si="316"/>
        <v>20</v>
      </c>
      <c r="AF81" s="164">
        <f t="shared" si="316"/>
        <v>21</v>
      </c>
      <c r="AG81" s="164">
        <f t="shared" si="316"/>
        <v>22</v>
      </c>
      <c r="AH81" s="164">
        <f t="shared" si="316"/>
        <v>23</v>
      </c>
      <c r="AI81" s="164">
        <f t="shared" si="316"/>
        <v>24</v>
      </c>
      <c r="AJ81" s="164">
        <f t="shared" si="316"/>
        <v>25</v>
      </c>
      <c r="AK81" s="164">
        <f t="shared" si="316"/>
        <v>26</v>
      </c>
      <c r="AL81" s="164">
        <f t="shared" si="316"/>
        <v>27</v>
      </c>
      <c r="AM81" s="164">
        <f t="shared" si="316"/>
        <v>28</v>
      </c>
      <c r="AN81" s="164">
        <f t="shared" si="316"/>
        <v>29</v>
      </c>
      <c r="AO81" s="164">
        <f t="shared" si="316"/>
        <v>30</v>
      </c>
      <c r="AP81" s="164">
        <f t="shared" si="316"/>
        <v>31</v>
      </c>
      <c r="AQ81" s="164">
        <f t="shared" si="316"/>
        <v>32</v>
      </c>
      <c r="AR81" s="164">
        <f t="shared" si="316"/>
        <v>33</v>
      </c>
      <c r="AS81" s="164">
        <f t="shared" si="316"/>
        <v>34</v>
      </c>
      <c r="AT81" s="164">
        <f t="shared" si="316"/>
        <v>35</v>
      </c>
      <c r="AU81" s="164">
        <f t="shared" si="316"/>
        <v>36</v>
      </c>
      <c r="AV81" s="164">
        <f t="shared" si="316"/>
        <v>37</v>
      </c>
      <c r="AW81" s="164">
        <f t="shared" si="316"/>
        <v>38</v>
      </c>
      <c r="AX81" s="164">
        <f t="shared" si="316"/>
        <v>39</v>
      </c>
      <c r="AY81" s="164">
        <f t="shared" si="316"/>
        <v>40</v>
      </c>
      <c r="AZ81" s="164">
        <f t="shared" si="316"/>
        <v>41</v>
      </c>
      <c r="BA81" s="164">
        <f t="shared" si="316"/>
        <v>42</v>
      </c>
      <c r="BB81" s="164">
        <f t="shared" si="316"/>
        <v>43</v>
      </c>
      <c r="BC81" s="164">
        <f t="shared" si="316"/>
        <v>44</v>
      </c>
      <c r="BD81" s="164">
        <f t="shared" si="316"/>
        <v>45</v>
      </c>
      <c r="BE81" s="164">
        <f t="shared" si="316"/>
        <v>46</v>
      </c>
      <c r="BF81" s="164">
        <f t="shared" si="316"/>
        <v>47</v>
      </c>
      <c r="BG81" s="164">
        <f t="shared" si="316"/>
        <v>48</v>
      </c>
      <c r="BH81" s="164">
        <f t="shared" si="316"/>
        <v>49</v>
      </c>
      <c r="BI81" s="164">
        <f t="shared" si="316"/>
        <v>50</v>
      </c>
      <c r="BJ81" s="164">
        <f t="shared" si="316"/>
        <v>51</v>
      </c>
      <c r="BK81" s="33">
        <f t="shared" si="316"/>
        <v>52</v>
      </c>
    </row>
    <row r="82" spans="9:63">
      <c r="I82" s="31">
        <v>3</v>
      </c>
      <c r="L82" s="225">
        <f t="shared" si="317"/>
        <v>1</v>
      </c>
      <c r="M82" s="164">
        <f t="shared" si="316"/>
        <v>2</v>
      </c>
      <c r="N82" s="164">
        <f t="shared" si="316"/>
        <v>3</v>
      </c>
      <c r="O82" s="164">
        <f t="shared" si="316"/>
        <v>4</v>
      </c>
      <c r="P82" s="164">
        <f t="shared" si="316"/>
        <v>5</v>
      </c>
      <c r="Q82" s="164">
        <f t="shared" si="316"/>
        <v>6</v>
      </c>
      <c r="R82" s="164">
        <f t="shared" si="316"/>
        <v>7</v>
      </c>
      <c r="S82" s="164">
        <f t="shared" si="316"/>
        <v>8</v>
      </c>
      <c r="T82" s="164">
        <f t="shared" si="316"/>
        <v>9</v>
      </c>
      <c r="U82" s="164">
        <f t="shared" si="316"/>
        <v>10</v>
      </c>
      <c r="V82" s="164">
        <f t="shared" si="316"/>
        <v>11</v>
      </c>
      <c r="W82" s="164">
        <f t="shared" si="316"/>
        <v>12</v>
      </c>
      <c r="X82" s="164">
        <f t="shared" si="316"/>
        <v>13</v>
      </c>
      <c r="Y82" s="164">
        <f t="shared" si="316"/>
        <v>14</v>
      </c>
      <c r="Z82" s="164">
        <f t="shared" si="316"/>
        <v>15</v>
      </c>
      <c r="AA82" s="164">
        <f t="shared" si="316"/>
        <v>16</v>
      </c>
      <c r="AB82" s="164">
        <f t="shared" si="316"/>
        <v>17</v>
      </c>
      <c r="AC82" s="164">
        <f t="shared" si="316"/>
        <v>18</v>
      </c>
      <c r="AD82" s="164">
        <f t="shared" si="316"/>
        <v>19</v>
      </c>
      <c r="AE82" s="164">
        <f t="shared" si="316"/>
        <v>20</v>
      </c>
      <c r="AF82" s="164">
        <f t="shared" si="316"/>
        <v>21</v>
      </c>
      <c r="AG82" s="164">
        <f t="shared" si="316"/>
        <v>22</v>
      </c>
      <c r="AH82" s="164">
        <f t="shared" si="316"/>
        <v>23</v>
      </c>
      <c r="AI82" s="164">
        <f t="shared" si="316"/>
        <v>24</v>
      </c>
      <c r="AJ82" s="164">
        <f t="shared" si="316"/>
        <v>25</v>
      </c>
      <c r="AK82" s="164">
        <f t="shared" si="316"/>
        <v>26</v>
      </c>
      <c r="AL82" s="164">
        <f t="shared" si="316"/>
        <v>27</v>
      </c>
      <c r="AM82" s="164">
        <f t="shared" si="316"/>
        <v>28</v>
      </c>
      <c r="AN82" s="164">
        <f t="shared" si="316"/>
        <v>29</v>
      </c>
      <c r="AO82" s="164">
        <f t="shared" si="316"/>
        <v>30</v>
      </c>
      <c r="AP82" s="164">
        <f t="shared" si="316"/>
        <v>31</v>
      </c>
      <c r="AQ82" s="164">
        <f t="shared" si="316"/>
        <v>32</v>
      </c>
      <c r="AR82" s="164">
        <f t="shared" si="316"/>
        <v>33</v>
      </c>
      <c r="AS82" s="164">
        <f t="shared" si="316"/>
        <v>34</v>
      </c>
      <c r="AT82" s="164">
        <f t="shared" si="316"/>
        <v>35</v>
      </c>
      <c r="AU82" s="164">
        <f t="shared" si="316"/>
        <v>36</v>
      </c>
      <c r="AV82" s="164">
        <f t="shared" si="316"/>
        <v>37</v>
      </c>
      <c r="AW82" s="164">
        <f t="shared" si="316"/>
        <v>38</v>
      </c>
      <c r="AX82" s="164">
        <f t="shared" si="316"/>
        <v>39</v>
      </c>
      <c r="AY82" s="164">
        <f t="shared" si="316"/>
        <v>40</v>
      </c>
      <c r="AZ82" s="164">
        <f t="shared" si="316"/>
        <v>41</v>
      </c>
      <c r="BA82" s="164">
        <f t="shared" si="316"/>
        <v>42</v>
      </c>
      <c r="BB82" s="164">
        <f t="shared" si="316"/>
        <v>43</v>
      </c>
      <c r="BC82" s="164">
        <f t="shared" si="316"/>
        <v>44</v>
      </c>
      <c r="BD82" s="164">
        <f t="shared" si="316"/>
        <v>45</v>
      </c>
      <c r="BE82" s="164">
        <f t="shared" si="316"/>
        <v>46</v>
      </c>
      <c r="BF82" s="164">
        <f t="shared" si="316"/>
        <v>47</v>
      </c>
      <c r="BG82" s="164">
        <f t="shared" si="316"/>
        <v>48</v>
      </c>
      <c r="BH82" s="164">
        <f t="shared" si="316"/>
        <v>49</v>
      </c>
      <c r="BI82" s="164">
        <f t="shared" si="316"/>
        <v>50</v>
      </c>
      <c r="BJ82" s="164">
        <f t="shared" si="316"/>
        <v>51</v>
      </c>
      <c r="BK82" s="33">
        <f t="shared" si="316"/>
        <v>52</v>
      </c>
    </row>
    <row r="83" spans="9:63">
      <c r="I83" s="31">
        <v>4</v>
      </c>
      <c r="L83" s="225">
        <f t="shared" si="317"/>
        <v>1</v>
      </c>
      <c r="M83" s="164">
        <f t="shared" si="316"/>
        <v>2</v>
      </c>
      <c r="N83" s="164">
        <f t="shared" si="316"/>
        <v>3</v>
      </c>
      <c r="O83" s="164">
        <f t="shared" si="316"/>
        <v>4</v>
      </c>
      <c r="P83" s="164">
        <f t="shared" si="316"/>
        <v>5</v>
      </c>
      <c r="Q83" s="164">
        <f t="shared" si="316"/>
        <v>6</v>
      </c>
      <c r="R83" s="164">
        <f t="shared" si="316"/>
        <v>7</v>
      </c>
      <c r="S83" s="164">
        <f t="shared" si="316"/>
        <v>8</v>
      </c>
      <c r="T83" s="164">
        <f t="shared" si="316"/>
        <v>9</v>
      </c>
      <c r="U83" s="164">
        <f t="shared" si="316"/>
        <v>10</v>
      </c>
      <c r="V83" s="164">
        <f t="shared" si="316"/>
        <v>11</v>
      </c>
      <c r="W83" s="164">
        <f t="shared" si="316"/>
        <v>12</v>
      </c>
      <c r="X83" s="164">
        <f t="shared" si="316"/>
        <v>13</v>
      </c>
      <c r="Y83" s="164">
        <f t="shared" si="316"/>
        <v>14</v>
      </c>
      <c r="Z83" s="164">
        <f t="shared" si="316"/>
        <v>15</v>
      </c>
      <c r="AA83" s="164">
        <f t="shared" si="316"/>
        <v>16</v>
      </c>
      <c r="AB83" s="164">
        <f t="shared" si="316"/>
        <v>17</v>
      </c>
      <c r="AC83" s="164">
        <f t="shared" si="316"/>
        <v>18</v>
      </c>
      <c r="AD83" s="164">
        <f t="shared" si="316"/>
        <v>19</v>
      </c>
      <c r="AE83" s="164">
        <f t="shared" si="316"/>
        <v>20</v>
      </c>
      <c r="AF83" s="164">
        <f t="shared" si="316"/>
        <v>21</v>
      </c>
      <c r="AG83" s="164">
        <f t="shared" si="316"/>
        <v>22</v>
      </c>
      <c r="AH83" s="164">
        <f t="shared" si="316"/>
        <v>23</v>
      </c>
      <c r="AI83" s="164">
        <f t="shared" si="316"/>
        <v>24</v>
      </c>
      <c r="AJ83" s="164">
        <f t="shared" si="316"/>
        <v>25</v>
      </c>
      <c r="AK83" s="164">
        <f t="shared" si="316"/>
        <v>26</v>
      </c>
      <c r="AL83" s="164">
        <f t="shared" si="316"/>
        <v>27</v>
      </c>
      <c r="AM83" s="164">
        <f t="shared" si="316"/>
        <v>28</v>
      </c>
      <c r="AN83" s="164">
        <f t="shared" si="316"/>
        <v>29</v>
      </c>
      <c r="AO83" s="164">
        <f t="shared" si="316"/>
        <v>30</v>
      </c>
      <c r="AP83" s="164">
        <f t="shared" si="316"/>
        <v>31</v>
      </c>
      <c r="AQ83" s="164">
        <f t="shared" si="316"/>
        <v>32</v>
      </c>
      <c r="AR83" s="164">
        <f t="shared" si="316"/>
        <v>33</v>
      </c>
      <c r="AS83" s="164">
        <f t="shared" si="316"/>
        <v>34</v>
      </c>
      <c r="AT83" s="164">
        <f t="shared" si="316"/>
        <v>35</v>
      </c>
      <c r="AU83" s="164">
        <f t="shared" si="316"/>
        <v>36</v>
      </c>
      <c r="AV83" s="164">
        <f t="shared" si="316"/>
        <v>37</v>
      </c>
      <c r="AW83" s="164">
        <f t="shared" si="316"/>
        <v>38</v>
      </c>
      <c r="AX83" s="164">
        <f t="shared" si="316"/>
        <v>39</v>
      </c>
      <c r="AY83" s="164">
        <f t="shared" si="316"/>
        <v>40</v>
      </c>
      <c r="AZ83" s="164">
        <f t="shared" si="316"/>
        <v>41</v>
      </c>
      <c r="BA83" s="164">
        <f t="shared" si="316"/>
        <v>42</v>
      </c>
      <c r="BB83" s="164">
        <f t="shared" si="316"/>
        <v>43</v>
      </c>
      <c r="BC83" s="164">
        <f t="shared" si="316"/>
        <v>44</v>
      </c>
      <c r="BD83" s="164">
        <f t="shared" si="316"/>
        <v>45</v>
      </c>
      <c r="BE83" s="164">
        <f t="shared" si="316"/>
        <v>46</v>
      </c>
      <c r="BF83" s="164">
        <f t="shared" si="316"/>
        <v>47</v>
      </c>
      <c r="BG83" s="164">
        <f t="shared" si="316"/>
        <v>48</v>
      </c>
      <c r="BH83" s="164">
        <f t="shared" si="316"/>
        <v>49</v>
      </c>
      <c r="BI83" s="164">
        <f t="shared" si="316"/>
        <v>50</v>
      </c>
      <c r="BJ83" s="164">
        <f t="shared" si="316"/>
        <v>51</v>
      </c>
      <c r="BK83" s="33">
        <f t="shared" si="316"/>
        <v>52</v>
      </c>
    </row>
    <row r="84" spans="9:63">
      <c r="I84" s="31">
        <v>5</v>
      </c>
      <c r="L84" s="225">
        <f t="shared" si="317"/>
        <v>1</v>
      </c>
      <c r="M84" s="164">
        <f t="shared" si="316"/>
        <v>2</v>
      </c>
      <c r="N84" s="164">
        <f t="shared" si="316"/>
        <v>3</v>
      </c>
      <c r="O84" s="164">
        <f t="shared" si="316"/>
        <v>4</v>
      </c>
      <c r="P84" s="164">
        <f t="shared" si="316"/>
        <v>5</v>
      </c>
      <c r="Q84" s="164">
        <f t="shared" si="316"/>
        <v>6</v>
      </c>
      <c r="R84" s="164">
        <f t="shared" si="316"/>
        <v>7</v>
      </c>
      <c r="S84" s="164">
        <f t="shared" si="316"/>
        <v>8</v>
      </c>
      <c r="T84" s="164">
        <f t="shared" si="316"/>
        <v>9</v>
      </c>
      <c r="U84" s="164">
        <f t="shared" si="316"/>
        <v>10</v>
      </c>
      <c r="V84" s="164">
        <f t="shared" si="316"/>
        <v>11</v>
      </c>
      <c r="W84" s="164">
        <f t="shared" si="316"/>
        <v>12</v>
      </c>
      <c r="X84" s="164">
        <f t="shared" si="316"/>
        <v>13</v>
      </c>
      <c r="Y84" s="164">
        <f t="shared" si="316"/>
        <v>14</v>
      </c>
      <c r="Z84" s="164">
        <f t="shared" si="316"/>
        <v>15</v>
      </c>
      <c r="AA84" s="164">
        <f t="shared" si="316"/>
        <v>16</v>
      </c>
      <c r="AB84" s="164">
        <f t="shared" si="316"/>
        <v>17</v>
      </c>
      <c r="AC84" s="164">
        <f t="shared" si="316"/>
        <v>18</v>
      </c>
      <c r="AD84" s="164">
        <f t="shared" si="316"/>
        <v>19</v>
      </c>
      <c r="AE84" s="164">
        <f t="shared" si="316"/>
        <v>20</v>
      </c>
      <c r="AF84" s="164">
        <f t="shared" si="316"/>
        <v>21</v>
      </c>
      <c r="AG84" s="164">
        <f t="shared" si="316"/>
        <v>22</v>
      </c>
      <c r="AH84" s="164">
        <f t="shared" si="316"/>
        <v>23</v>
      </c>
      <c r="AI84" s="164">
        <f t="shared" si="316"/>
        <v>24</v>
      </c>
      <c r="AJ84" s="164">
        <f t="shared" si="316"/>
        <v>25</v>
      </c>
      <c r="AK84" s="164">
        <f t="shared" si="316"/>
        <v>26</v>
      </c>
      <c r="AL84" s="164">
        <f t="shared" si="316"/>
        <v>27</v>
      </c>
      <c r="AM84" s="164">
        <f t="shared" si="316"/>
        <v>28</v>
      </c>
      <c r="AN84" s="164">
        <f t="shared" si="316"/>
        <v>29</v>
      </c>
      <c r="AO84" s="164">
        <f t="shared" si="316"/>
        <v>30</v>
      </c>
      <c r="AP84" s="164">
        <f t="shared" si="316"/>
        <v>31</v>
      </c>
      <c r="AQ84" s="164">
        <f t="shared" si="316"/>
        <v>32</v>
      </c>
      <c r="AR84" s="164">
        <f t="shared" si="316"/>
        <v>33</v>
      </c>
      <c r="AS84" s="164">
        <f t="shared" si="316"/>
        <v>34</v>
      </c>
      <c r="AT84" s="164">
        <f t="shared" si="316"/>
        <v>35</v>
      </c>
      <c r="AU84" s="164">
        <f t="shared" si="316"/>
        <v>36</v>
      </c>
      <c r="AV84" s="164">
        <f t="shared" si="316"/>
        <v>37</v>
      </c>
      <c r="AW84" s="164">
        <f t="shared" si="316"/>
        <v>38</v>
      </c>
      <c r="AX84" s="164">
        <f t="shared" si="316"/>
        <v>39</v>
      </c>
      <c r="AY84" s="164">
        <f t="shared" si="316"/>
        <v>40</v>
      </c>
      <c r="AZ84" s="164">
        <f t="shared" si="316"/>
        <v>41</v>
      </c>
      <c r="BA84" s="164">
        <f t="shared" si="316"/>
        <v>42</v>
      </c>
      <c r="BB84" s="164">
        <f t="shared" si="316"/>
        <v>43</v>
      </c>
      <c r="BC84" s="164">
        <f t="shared" si="316"/>
        <v>44</v>
      </c>
      <c r="BD84" s="164">
        <f t="shared" si="316"/>
        <v>45</v>
      </c>
      <c r="BE84" s="164">
        <f t="shared" si="316"/>
        <v>46</v>
      </c>
      <c r="BF84" s="164">
        <f t="shared" si="316"/>
        <v>47</v>
      </c>
      <c r="BG84" s="164">
        <f t="shared" si="316"/>
        <v>48</v>
      </c>
      <c r="BH84" s="164">
        <f t="shared" si="316"/>
        <v>49</v>
      </c>
      <c r="BI84" s="164">
        <f t="shared" si="316"/>
        <v>50</v>
      </c>
      <c r="BJ84" s="164">
        <f t="shared" si="316"/>
        <v>51</v>
      </c>
      <c r="BK84" s="33">
        <f t="shared" si="316"/>
        <v>52</v>
      </c>
    </row>
    <row r="85" spans="9:63">
      <c r="I85" s="31">
        <v>6</v>
      </c>
      <c r="L85" s="225">
        <f t="shared" si="317"/>
        <v>1</v>
      </c>
      <c r="M85" s="164">
        <f t="shared" si="316"/>
        <v>2</v>
      </c>
      <c r="N85" s="164">
        <f t="shared" si="316"/>
        <v>3</v>
      </c>
      <c r="O85" s="164">
        <f t="shared" si="316"/>
        <v>4</v>
      </c>
      <c r="P85" s="164">
        <f t="shared" si="316"/>
        <v>5</v>
      </c>
      <c r="Q85" s="164">
        <f t="shared" si="316"/>
        <v>6</v>
      </c>
      <c r="R85" s="164">
        <f t="shared" si="316"/>
        <v>7</v>
      </c>
      <c r="S85" s="164">
        <f t="shared" si="316"/>
        <v>8</v>
      </c>
      <c r="T85" s="164">
        <f t="shared" si="316"/>
        <v>9</v>
      </c>
      <c r="U85" s="164">
        <f t="shared" si="316"/>
        <v>10</v>
      </c>
      <c r="V85" s="164">
        <f t="shared" si="316"/>
        <v>11</v>
      </c>
      <c r="W85" s="164">
        <f t="shared" si="316"/>
        <v>12</v>
      </c>
      <c r="X85" s="164">
        <f t="shared" si="316"/>
        <v>13</v>
      </c>
      <c r="Y85" s="164">
        <f t="shared" si="316"/>
        <v>14</v>
      </c>
      <c r="Z85" s="164">
        <f t="shared" si="316"/>
        <v>15</v>
      </c>
      <c r="AA85" s="164">
        <f t="shared" si="316"/>
        <v>16</v>
      </c>
      <c r="AB85" s="164">
        <f t="shared" ref="M85:BK90" si="318">IF($I85&lt;=AB$74,AA85+1,)</f>
        <v>17</v>
      </c>
      <c r="AC85" s="164">
        <f t="shared" si="318"/>
        <v>18</v>
      </c>
      <c r="AD85" s="164">
        <f t="shared" si="318"/>
        <v>19</v>
      </c>
      <c r="AE85" s="164">
        <f t="shared" si="318"/>
        <v>20</v>
      </c>
      <c r="AF85" s="164">
        <f t="shared" si="318"/>
        <v>21</v>
      </c>
      <c r="AG85" s="164">
        <f t="shared" si="318"/>
        <v>22</v>
      </c>
      <c r="AH85" s="164">
        <f t="shared" si="318"/>
        <v>23</v>
      </c>
      <c r="AI85" s="164">
        <f t="shared" si="318"/>
        <v>24</v>
      </c>
      <c r="AJ85" s="164">
        <f t="shared" si="318"/>
        <v>25</v>
      </c>
      <c r="AK85" s="164">
        <f t="shared" si="318"/>
        <v>26</v>
      </c>
      <c r="AL85" s="164">
        <f t="shared" si="318"/>
        <v>27</v>
      </c>
      <c r="AM85" s="164">
        <f t="shared" si="318"/>
        <v>28</v>
      </c>
      <c r="AN85" s="164">
        <f t="shared" si="318"/>
        <v>29</v>
      </c>
      <c r="AO85" s="164">
        <f t="shared" si="318"/>
        <v>30</v>
      </c>
      <c r="AP85" s="164">
        <f t="shared" si="318"/>
        <v>31</v>
      </c>
      <c r="AQ85" s="164">
        <f t="shared" si="318"/>
        <v>32</v>
      </c>
      <c r="AR85" s="164">
        <f t="shared" si="318"/>
        <v>33</v>
      </c>
      <c r="AS85" s="164">
        <f t="shared" si="318"/>
        <v>34</v>
      </c>
      <c r="AT85" s="164">
        <f t="shared" si="318"/>
        <v>35</v>
      </c>
      <c r="AU85" s="164">
        <f t="shared" si="318"/>
        <v>36</v>
      </c>
      <c r="AV85" s="164">
        <f t="shared" si="318"/>
        <v>37</v>
      </c>
      <c r="AW85" s="164">
        <f t="shared" si="318"/>
        <v>38</v>
      </c>
      <c r="AX85" s="164">
        <f t="shared" si="318"/>
        <v>39</v>
      </c>
      <c r="AY85" s="164">
        <f t="shared" si="318"/>
        <v>40</v>
      </c>
      <c r="AZ85" s="164">
        <f t="shared" si="318"/>
        <v>41</v>
      </c>
      <c r="BA85" s="164">
        <f t="shared" si="318"/>
        <v>42</v>
      </c>
      <c r="BB85" s="164">
        <f t="shared" si="318"/>
        <v>43</v>
      </c>
      <c r="BC85" s="164">
        <f t="shared" si="318"/>
        <v>44</v>
      </c>
      <c r="BD85" s="164">
        <f t="shared" si="318"/>
        <v>45</v>
      </c>
      <c r="BE85" s="164">
        <f t="shared" si="318"/>
        <v>46</v>
      </c>
      <c r="BF85" s="164">
        <f t="shared" si="318"/>
        <v>47</v>
      </c>
      <c r="BG85" s="164">
        <f t="shared" si="318"/>
        <v>48</v>
      </c>
      <c r="BH85" s="164">
        <f t="shared" si="318"/>
        <v>49</v>
      </c>
      <c r="BI85" s="164">
        <f t="shared" si="318"/>
        <v>50</v>
      </c>
      <c r="BJ85" s="164">
        <f t="shared" si="318"/>
        <v>51</v>
      </c>
      <c r="BK85" s="33">
        <f t="shared" si="318"/>
        <v>52</v>
      </c>
    </row>
    <row r="86" spans="9:63">
      <c r="I86" s="31">
        <v>7</v>
      </c>
      <c r="L86" s="225">
        <f t="shared" si="317"/>
        <v>1</v>
      </c>
      <c r="M86" s="164">
        <f t="shared" si="318"/>
        <v>2</v>
      </c>
      <c r="N86" s="164">
        <f t="shared" si="318"/>
        <v>3</v>
      </c>
      <c r="O86" s="164">
        <f t="shared" si="318"/>
        <v>4</v>
      </c>
      <c r="P86" s="164">
        <f t="shared" si="318"/>
        <v>5</v>
      </c>
      <c r="Q86" s="164">
        <f t="shared" si="318"/>
        <v>6</v>
      </c>
      <c r="R86" s="164">
        <f t="shared" si="318"/>
        <v>7</v>
      </c>
      <c r="S86" s="164">
        <f t="shared" si="318"/>
        <v>8</v>
      </c>
      <c r="T86" s="164">
        <f t="shared" si="318"/>
        <v>9</v>
      </c>
      <c r="U86" s="164">
        <f t="shared" si="318"/>
        <v>10</v>
      </c>
      <c r="V86" s="164">
        <f t="shared" si="318"/>
        <v>11</v>
      </c>
      <c r="W86" s="164">
        <f t="shared" si="318"/>
        <v>12</v>
      </c>
      <c r="X86" s="164">
        <f t="shared" si="318"/>
        <v>13</v>
      </c>
      <c r="Y86" s="164">
        <f t="shared" si="318"/>
        <v>14</v>
      </c>
      <c r="Z86" s="164">
        <f t="shared" si="318"/>
        <v>15</v>
      </c>
      <c r="AA86" s="164">
        <f t="shared" si="318"/>
        <v>16</v>
      </c>
      <c r="AB86" s="164">
        <f t="shared" si="318"/>
        <v>17</v>
      </c>
      <c r="AC86" s="164">
        <f t="shared" si="318"/>
        <v>18</v>
      </c>
      <c r="AD86" s="164">
        <f t="shared" si="318"/>
        <v>19</v>
      </c>
      <c r="AE86" s="164">
        <f t="shared" si="318"/>
        <v>20</v>
      </c>
      <c r="AF86" s="164">
        <f t="shared" si="318"/>
        <v>21</v>
      </c>
      <c r="AG86" s="164">
        <f t="shared" si="318"/>
        <v>22</v>
      </c>
      <c r="AH86" s="164">
        <f t="shared" si="318"/>
        <v>23</v>
      </c>
      <c r="AI86" s="164">
        <f t="shared" si="318"/>
        <v>24</v>
      </c>
      <c r="AJ86" s="164">
        <f t="shared" si="318"/>
        <v>25</v>
      </c>
      <c r="AK86" s="164">
        <f t="shared" si="318"/>
        <v>26</v>
      </c>
      <c r="AL86" s="164">
        <f t="shared" si="318"/>
        <v>27</v>
      </c>
      <c r="AM86" s="164">
        <f t="shared" si="318"/>
        <v>28</v>
      </c>
      <c r="AN86" s="164">
        <f t="shared" si="318"/>
        <v>29</v>
      </c>
      <c r="AO86" s="164">
        <f t="shared" si="318"/>
        <v>30</v>
      </c>
      <c r="AP86" s="164">
        <f t="shared" si="318"/>
        <v>31</v>
      </c>
      <c r="AQ86" s="164">
        <f t="shared" si="318"/>
        <v>32</v>
      </c>
      <c r="AR86" s="164">
        <f t="shared" si="318"/>
        <v>33</v>
      </c>
      <c r="AS86" s="164">
        <f t="shared" si="318"/>
        <v>34</v>
      </c>
      <c r="AT86" s="164">
        <f t="shared" si="318"/>
        <v>35</v>
      </c>
      <c r="AU86" s="164">
        <f t="shared" si="318"/>
        <v>36</v>
      </c>
      <c r="AV86" s="164">
        <f t="shared" si="318"/>
        <v>37</v>
      </c>
      <c r="AW86" s="164">
        <f t="shared" si="318"/>
        <v>38</v>
      </c>
      <c r="AX86" s="164">
        <f t="shared" si="318"/>
        <v>39</v>
      </c>
      <c r="AY86" s="164">
        <f t="shared" si="318"/>
        <v>40</v>
      </c>
      <c r="AZ86" s="164">
        <f t="shared" si="318"/>
        <v>41</v>
      </c>
      <c r="BA86" s="164">
        <f t="shared" si="318"/>
        <v>42</v>
      </c>
      <c r="BB86" s="164">
        <f t="shared" si="318"/>
        <v>43</v>
      </c>
      <c r="BC86" s="164">
        <f t="shared" si="318"/>
        <v>44</v>
      </c>
      <c r="BD86" s="164">
        <f t="shared" si="318"/>
        <v>45</v>
      </c>
      <c r="BE86" s="164">
        <f t="shared" si="318"/>
        <v>46</v>
      </c>
      <c r="BF86" s="164">
        <f t="shared" si="318"/>
        <v>47</v>
      </c>
      <c r="BG86" s="164">
        <f t="shared" si="318"/>
        <v>48</v>
      </c>
      <c r="BH86" s="164">
        <f t="shared" si="318"/>
        <v>49</v>
      </c>
      <c r="BI86" s="164">
        <f t="shared" si="318"/>
        <v>50</v>
      </c>
      <c r="BJ86" s="164">
        <f t="shared" si="318"/>
        <v>51</v>
      </c>
      <c r="BK86" s="33">
        <f t="shared" si="318"/>
        <v>52</v>
      </c>
    </row>
    <row r="87" spans="9:63">
      <c r="I87" s="31">
        <v>8</v>
      </c>
      <c r="L87" s="225">
        <f t="shared" si="317"/>
        <v>1</v>
      </c>
      <c r="M87" s="164">
        <f t="shared" si="318"/>
        <v>2</v>
      </c>
      <c r="N87" s="164">
        <f t="shared" si="318"/>
        <v>3</v>
      </c>
      <c r="O87" s="164">
        <f t="shared" si="318"/>
        <v>4</v>
      </c>
      <c r="P87" s="164">
        <f t="shared" si="318"/>
        <v>5</v>
      </c>
      <c r="Q87" s="164">
        <f t="shared" si="318"/>
        <v>6</v>
      </c>
      <c r="R87" s="164">
        <f t="shared" si="318"/>
        <v>7</v>
      </c>
      <c r="S87" s="164">
        <f t="shared" si="318"/>
        <v>8</v>
      </c>
      <c r="T87" s="164">
        <f t="shared" si="318"/>
        <v>9</v>
      </c>
      <c r="U87" s="164">
        <f t="shared" si="318"/>
        <v>10</v>
      </c>
      <c r="V87" s="164">
        <f t="shared" si="318"/>
        <v>11</v>
      </c>
      <c r="W87" s="164">
        <f t="shared" si="318"/>
        <v>12</v>
      </c>
      <c r="X87" s="164">
        <f t="shared" si="318"/>
        <v>13</v>
      </c>
      <c r="Y87" s="164">
        <f t="shared" si="318"/>
        <v>14</v>
      </c>
      <c r="Z87" s="164">
        <f t="shared" si="318"/>
        <v>15</v>
      </c>
      <c r="AA87" s="164">
        <f t="shared" si="318"/>
        <v>16</v>
      </c>
      <c r="AB87" s="164">
        <f t="shared" si="318"/>
        <v>17</v>
      </c>
      <c r="AC87" s="164">
        <f t="shared" si="318"/>
        <v>18</v>
      </c>
      <c r="AD87" s="164">
        <f t="shared" si="318"/>
        <v>19</v>
      </c>
      <c r="AE87" s="164">
        <f t="shared" si="318"/>
        <v>20</v>
      </c>
      <c r="AF87" s="164">
        <f t="shared" si="318"/>
        <v>21</v>
      </c>
      <c r="AG87" s="164">
        <f t="shared" si="318"/>
        <v>22</v>
      </c>
      <c r="AH87" s="164">
        <f t="shared" si="318"/>
        <v>23</v>
      </c>
      <c r="AI87" s="164">
        <f t="shared" si="318"/>
        <v>24</v>
      </c>
      <c r="AJ87" s="164">
        <f t="shared" si="318"/>
        <v>25</v>
      </c>
      <c r="AK87" s="164">
        <f t="shared" si="318"/>
        <v>26</v>
      </c>
      <c r="AL87" s="164">
        <f t="shared" si="318"/>
        <v>27</v>
      </c>
      <c r="AM87" s="164">
        <f t="shared" si="318"/>
        <v>28</v>
      </c>
      <c r="AN87" s="164">
        <f t="shared" si="318"/>
        <v>29</v>
      </c>
      <c r="AO87" s="164">
        <f t="shared" si="318"/>
        <v>30</v>
      </c>
      <c r="AP87" s="164">
        <f t="shared" si="318"/>
        <v>31</v>
      </c>
      <c r="AQ87" s="164">
        <f t="shared" si="318"/>
        <v>32</v>
      </c>
      <c r="AR87" s="164">
        <f t="shared" si="318"/>
        <v>33</v>
      </c>
      <c r="AS87" s="164">
        <f t="shared" si="318"/>
        <v>34</v>
      </c>
      <c r="AT87" s="164">
        <f t="shared" si="318"/>
        <v>35</v>
      </c>
      <c r="AU87" s="164">
        <f t="shared" si="318"/>
        <v>36</v>
      </c>
      <c r="AV87" s="164">
        <f t="shared" si="318"/>
        <v>37</v>
      </c>
      <c r="AW87" s="164">
        <f t="shared" si="318"/>
        <v>38</v>
      </c>
      <c r="AX87" s="164">
        <f t="shared" si="318"/>
        <v>39</v>
      </c>
      <c r="AY87" s="164">
        <f t="shared" si="318"/>
        <v>40</v>
      </c>
      <c r="AZ87" s="164">
        <f t="shared" si="318"/>
        <v>41</v>
      </c>
      <c r="BA87" s="164">
        <f t="shared" si="318"/>
        <v>42</v>
      </c>
      <c r="BB87" s="164">
        <f t="shared" si="318"/>
        <v>43</v>
      </c>
      <c r="BC87" s="164">
        <f t="shared" si="318"/>
        <v>44</v>
      </c>
      <c r="BD87" s="164">
        <f t="shared" si="318"/>
        <v>45</v>
      </c>
      <c r="BE87" s="164">
        <f t="shared" si="318"/>
        <v>46</v>
      </c>
      <c r="BF87" s="164">
        <f t="shared" si="318"/>
        <v>47</v>
      </c>
      <c r="BG87" s="164">
        <f t="shared" si="318"/>
        <v>48</v>
      </c>
      <c r="BH87" s="164">
        <f t="shared" si="318"/>
        <v>49</v>
      </c>
      <c r="BI87" s="164">
        <f t="shared" si="318"/>
        <v>50</v>
      </c>
      <c r="BJ87" s="164">
        <f t="shared" si="318"/>
        <v>51</v>
      </c>
      <c r="BK87" s="33">
        <f t="shared" si="318"/>
        <v>52</v>
      </c>
    </row>
    <row r="88" spans="9:63">
      <c r="I88" s="31">
        <v>9</v>
      </c>
      <c r="L88" s="225">
        <f t="shared" si="317"/>
        <v>1</v>
      </c>
      <c r="M88" s="164">
        <f t="shared" si="318"/>
        <v>2</v>
      </c>
      <c r="N88" s="164">
        <f t="shared" si="318"/>
        <v>3</v>
      </c>
      <c r="O88" s="164">
        <f t="shared" si="318"/>
        <v>4</v>
      </c>
      <c r="P88" s="164">
        <f t="shared" si="318"/>
        <v>5</v>
      </c>
      <c r="Q88" s="164">
        <f t="shared" si="318"/>
        <v>6</v>
      </c>
      <c r="R88" s="164">
        <f t="shared" si="318"/>
        <v>7</v>
      </c>
      <c r="S88" s="164">
        <f t="shared" si="318"/>
        <v>8</v>
      </c>
      <c r="T88" s="164">
        <f t="shared" si="318"/>
        <v>9</v>
      </c>
      <c r="U88" s="164">
        <f t="shared" si="318"/>
        <v>10</v>
      </c>
      <c r="V88" s="164">
        <f t="shared" si="318"/>
        <v>11</v>
      </c>
      <c r="W88" s="164">
        <f t="shared" si="318"/>
        <v>12</v>
      </c>
      <c r="X88" s="164">
        <f t="shared" si="318"/>
        <v>13</v>
      </c>
      <c r="Y88" s="164">
        <f t="shared" si="318"/>
        <v>14</v>
      </c>
      <c r="Z88" s="164">
        <f t="shared" si="318"/>
        <v>15</v>
      </c>
      <c r="AA88" s="164">
        <f t="shared" si="318"/>
        <v>16</v>
      </c>
      <c r="AB88" s="164">
        <f t="shared" si="318"/>
        <v>17</v>
      </c>
      <c r="AC88" s="164">
        <f t="shared" si="318"/>
        <v>18</v>
      </c>
      <c r="AD88" s="164">
        <f t="shared" si="318"/>
        <v>19</v>
      </c>
      <c r="AE88" s="164">
        <f t="shared" si="318"/>
        <v>20</v>
      </c>
      <c r="AF88" s="164">
        <f t="shared" si="318"/>
        <v>21</v>
      </c>
      <c r="AG88" s="164">
        <f t="shared" si="318"/>
        <v>22</v>
      </c>
      <c r="AH88" s="164">
        <f t="shared" si="318"/>
        <v>23</v>
      </c>
      <c r="AI88" s="164">
        <f t="shared" si="318"/>
        <v>24</v>
      </c>
      <c r="AJ88" s="164">
        <f t="shared" si="318"/>
        <v>25</v>
      </c>
      <c r="AK88" s="164">
        <f t="shared" si="318"/>
        <v>26</v>
      </c>
      <c r="AL88" s="164">
        <f t="shared" si="318"/>
        <v>27</v>
      </c>
      <c r="AM88" s="164">
        <f t="shared" si="318"/>
        <v>28</v>
      </c>
      <c r="AN88" s="164">
        <f t="shared" si="318"/>
        <v>29</v>
      </c>
      <c r="AO88" s="164">
        <f t="shared" si="318"/>
        <v>30</v>
      </c>
      <c r="AP88" s="164">
        <f t="shared" si="318"/>
        <v>31</v>
      </c>
      <c r="AQ88" s="164">
        <f t="shared" si="318"/>
        <v>32</v>
      </c>
      <c r="AR88" s="164">
        <f t="shared" si="318"/>
        <v>33</v>
      </c>
      <c r="AS88" s="164">
        <f t="shared" si="318"/>
        <v>34</v>
      </c>
      <c r="AT88" s="164">
        <f t="shared" si="318"/>
        <v>35</v>
      </c>
      <c r="AU88" s="164">
        <f t="shared" si="318"/>
        <v>36</v>
      </c>
      <c r="AV88" s="164">
        <f t="shared" si="318"/>
        <v>37</v>
      </c>
      <c r="AW88" s="164">
        <f t="shared" si="318"/>
        <v>38</v>
      </c>
      <c r="AX88" s="164">
        <f t="shared" si="318"/>
        <v>39</v>
      </c>
      <c r="AY88" s="164">
        <f t="shared" si="318"/>
        <v>40</v>
      </c>
      <c r="AZ88" s="164">
        <f t="shared" si="318"/>
        <v>41</v>
      </c>
      <c r="BA88" s="164">
        <f t="shared" si="318"/>
        <v>42</v>
      </c>
      <c r="BB88" s="164">
        <f t="shared" si="318"/>
        <v>43</v>
      </c>
      <c r="BC88" s="164">
        <f t="shared" si="318"/>
        <v>44</v>
      </c>
      <c r="BD88" s="164">
        <f t="shared" si="318"/>
        <v>45</v>
      </c>
      <c r="BE88" s="164">
        <f t="shared" si="318"/>
        <v>46</v>
      </c>
      <c r="BF88" s="164">
        <f t="shared" si="318"/>
        <v>47</v>
      </c>
      <c r="BG88" s="164">
        <f t="shared" si="318"/>
        <v>48</v>
      </c>
      <c r="BH88" s="164">
        <f t="shared" si="318"/>
        <v>49</v>
      </c>
      <c r="BI88" s="164">
        <f t="shared" si="318"/>
        <v>50</v>
      </c>
      <c r="BJ88" s="164">
        <f t="shared" si="318"/>
        <v>51</v>
      </c>
      <c r="BK88" s="33">
        <f t="shared" si="318"/>
        <v>52</v>
      </c>
    </row>
    <row r="89" spans="9:63">
      <c r="I89" s="31">
        <v>10</v>
      </c>
      <c r="L89" s="225">
        <f t="shared" si="317"/>
        <v>1</v>
      </c>
      <c r="M89" s="164">
        <f t="shared" si="318"/>
        <v>2</v>
      </c>
      <c r="N89" s="164">
        <f t="shared" si="318"/>
        <v>3</v>
      </c>
      <c r="O89" s="164">
        <f t="shared" si="318"/>
        <v>4</v>
      </c>
      <c r="P89" s="164">
        <f t="shared" si="318"/>
        <v>5</v>
      </c>
      <c r="Q89" s="164">
        <f t="shared" si="318"/>
        <v>6</v>
      </c>
      <c r="R89" s="164">
        <f t="shared" si="318"/>
        <v>7</v>
      </c>
      <c r="S89" s="164">
        <f t="shared" si="318"/>
        <v>8</v>
      </c>
      <c r="T89" s="164">
        <f t="shared" si="318"/>
        <v>9</v>
      </c>
      <c r="U89" s="164">
        <f t="shared" si="318"/>
        <v>10</v>
      </c>
      <c r="V89" s="164">
        <f t="shared" si="318"/>
        <v>11</v>
      </c>
      <c r="W89" s="164">
        <f t="shared" si="318"/>
        <v>12</v>
      </c>
      <c r="X89" s="164">
        <f t="shared" si="318"/>
        <v>13</v>
      </c>
      <c r="Y89" s="164">
        <f t="shared" si="318"/>
        <v>14</v>
      </c>
      <c r="Z89" s="164">
        <f t="shared" si="318"/>
        <v>15</v>
      </c>
      <c r="AA89" s="164">
        <f t="shared" si="318"/>
        <v>16</v>
      </c>
      <c r="AB89" s="164">
        <f t="shared" si="318"/>
        <v>17</v>
      </c>
      <c r="AC89" s="164">
        <f t="shared" si="318"/>
        <v>18</v>
      </c>
      <c r="AD89" s="164">
        <f t="shared" si="318"/>
        <v>19</v>
      </c>
      <c r="AE89" s="164">
        <f t="shared" si="318"/>
        <v>20</v>
      </c>
      <c r="AF89" s="164">
        <f t="shared" si="318"/>
        <v>21</v>
      </c>
      <c r="AG89" s="164">
        <f t="shared" si="318"/>
        <v>22</v>
      </c>
      <c r="AH89" s="164">
        <f t="shared" si="318"/>
        <v>23</v>
      </c>
      <c r="AI89" s="164">
        <f t="shared" si="318"/>
        <v>24</v>
      </c>
      <c r="AJ89" s="164">
        <f t="shared" si="318"/>
        <v>25</v>
      </c>
      <c r="AK89" s="164">
        <f t="shared" si="318"/>
        <v>26</v>
      </c>
      <c r="AL89" s="164">
        <f t="shared" si="318"/>
        <v>27</v>
      </c>
      <c r="AM89" s="164">
        <f t="shared" si="318"/>
        <v>28</v>
      </c>
      <c r="AN89" s="164">
        <f t="shared" si="318"/>
        <v>29</v>
      </c>
      <c r="AO89" s="164">
        <f t="shared" si="318"/>
        <v>30</v>
      </c>
      <c r="AP89" s="164">
        <f t="shared" si="318"/>
        <v>31</v>
      </c>
      <c r="AQ89" s="164">
        <f t="shared" si="318"/>
        <v>32</v>
      </c>
      <c r="AR89" s="164">
        <f t="shared" si="318"/>
        <v>33</v>
      </c>
      <c r="AS89" s="164">
        <f t="shared" si="318"/>
        <v>34</v>
      </c>
      <c r="AT89" s="164">
        <f t="shared" si="318"/>
        <v>35</v>
      </c>
      <c r="AU89" s="164">
        <f t="shared" si="318"/>
        <v>36</v>
      </c>
      <c r="AV89" s="164">
        <f t="shared" si="318"/>
        <v>37</v>
      </c>
      <c r="AW89" s="164">
        <f t="shared" si="318"/>
        <v>38</v>
      </c>
      <c r="AX89" s="164">
        <f t="shared" si="318"/>
        <v>39</v>
      </c>
      <c r="AY89" s="164">
        <f t="shared" si="318"/>
        <v>40</v>
      </c>
      <c r="AZ89" s="164">
        <f t="shared" si="318"/>
        <v>41</v>
      </c>
      <c r="BA89" s="164">
        <f t="shared" si="318"/>
        <v>42</v>
      </c>
      <c r="BB89" s="164">
        <f t="shared" si="318"/>
        <v>43</v>
      </c>
      <c r="BC89" s="164">
        <f t="shared" si="318"/>
        <v>44</v>
      </c>
      <c r="BD89" s="164">
        <f t="shared" si="318"/>
        <v>45</v>
      </c>
      <c r="BE89" s="164">
        <f t="shared" si="318"/>
        <v>46</v>
      </c>
      <c r="BF89" s="164">
        <f t="shared" si="318"/>
        <v>47</v>
      </c>
      <c r="BG89" s="164">
        <f t="shared" si="318"/>
        <v>48</v>
      </c>
      <c r="BH89" s="164">
        <f t="shared" si="318"/>
        <v>49</v>
      </c>
      <c r="BI89" s="164">
        <f t="shared" si="318"/>
        <v>50</v>
      </c>
      <c r="BJ89" s="164">
        <f t="shared" si="318"/>
        <v>51</v>
      </c>
      <c r="BK89" s="33">
        <f t="shared" si="318"/>
        <v>52</v>
      </c>
    </row>
    <row r="90" spans="9:63">
      <c r="I90" s="31">
        <v>11</v>
      </c>
      <c r="L90" s="225">
        <f t="shared" si="317"/>
        <v>1</v>
      </c>
      <c r="M90" s="164">
        <f t="shared" si="318"/>
        <v>2</v>
      </c>
      <c r="N90" s="164">
        <f t="shared" si="318"/>
        <v>3</v>
      </c>
      <c r="O90" s="164">
        <f t="shared" si="318"/>
        <v>4</v>
      </c>
      <c r="P90" s="164">
        <f t="shared" si="318"/>
        <v>5</v>
      </c>
      <c r="Q90" s="164">
        <f t="shared" si="318"/>
        <v>6</v>
      </c>
      <c r="R90" s="164">
        <f t="shared" si="318"/>
        <v>7</v>
      </c>
      <c r="S90" s="164">
        <f t="shared" si="318"/>
        <v>8</v>
      </c>
      <c r="T90" s="164">
        <f t="shared" si="318"/>
        <v>9</v>
      </c>
      <c r="U90" s="164">
        <f t="shared" si="318"/>
        <v>10</v>
      </c>
      <c r="V90" s="164">
        <f t="shared" si="318"/>
        <v>11</v>
      </c>
      <c r="W90" s="164">
        <f t="shared" si="318"/>
        <v>12</v>
      </c>
      <c r="X90" s="164">
        <f t="shared" si="318"/>
        <v>13</v>
      </c>
      <c r="Y90" s="164">
        <f t="shared" si="318"/>
        <v>14</v>
      </c>
      <c r="Z90" s="164">
        <f t="shared" si="318"/>
        <v>15</v>
      </c>
      <c r="AA90" s="164">
        <f t="shared" si="318"/>
        <v>16</v>
      </c>
      <c r="AB90" s="164">
        <f t="shared" ref="M90:BK95" si="319">IF($I90&lt;=AB$74,AA90+1,)</f>
        <v>17</v>
      </c>
      <c r="AC90" s="164">
        <f t="shared" si="319"/>
        <v>18</v>
      </c>
      <c r="AD90" s="164">
        <f t="shared" si="319"/>
        <v>19</v>
      </c>
      <c r="AE90" s="164">
        <f t="shared" si="319"/>
        <v>20</v>
      </c>
      <c r="AF90" s="164">
        <f t="shared" si="319"/>
        <v>21</v>
      </c>
      <c r="AG90" s="164">
        <f t="shared" si="319"/>
        <v>22</v>
      </c>
      <c r="AH90" s="164">
        <f t="shared" si="319"/>
        <v>23</v>
      </c>
      <c r="AI90" s="164">
        <f t="shared" si="319"/>
        <v>24</v>
      </c>
      <c r="AJ90" s="164">
        <f t="shared" si="319"/>
        <v>25</v>
      </c>
      <c r="AK90" s="164">
        <f t="shared" si="319"/>
        <v>26</v>
      </c>
      <c r="AL90" s="164">
        <f t="shared" si="319"/>
        <v>27</v>
      </c>
      <c r="AM90" s="164">
        <f t="shared" si="319"/>
        <v>28</v>
      </c>
      <c r="AN90" s="164">
        <f t="shared" si="319"/>
        <v>29</v>
      </c>
      <c r="AO90" s="164">
        <f t="shared" si="319"/>
        <v>30</v>
      </c>
      <c r="AP90" s="164">
        <f t="shared" si="319"/>
        <v>31</v>
      </c>
      <c r="AQ90" s="164">
        <f t="shared" si="319"/>
        <v>32</v>
      </c>
      <c r="AR90" s="164">
        <f t="shared" si="319"/>
        <v>33</v>
      </c>
      <c r="AS90" s="164">
        <f t="shared" si="319"/>
        <v>34</v>
      </c>
      <c r="AT90" s="164">
        <f t="shared" si="319"/>
        <v>35</v>
      </c>
      <c r="AU90" s="164">
        <f t="shared" si="319"/>
        <v>36</v>
      </c>
      <c r="AV90" s="164">
        <f t="shared" si="319"/>
        <v>37</v>
      </c>
      <c r="AW90" s="164">
        <f t="shared" si="319"/>
        <v>38</v>
      </c>
      <c r="AX90" s="164">
        <f t="shared" si="319"/>
        <v>39</v>
      </c>
      <c r="AY90" s="164">
        <f t="shared" si="319"/>
        <v>40</v>
      </c>
      <c r="AZ90" s="164">
        <f t="shared" si="319"/>
        <v>41</v>
      </c>
      <c r="BA90" s="164">
        <f t="shared" si="319"/>
        <v>42</v>
      </c>
      <c r="BB90" s="164">
        <f t="shared" si="319"/>
        <v>43</v>
      </c>
      <c r="BC90" s="164">
        <f t="shared" si="319"/>
        <v>44</v>
      </c>
      <c r="BD90" s="164">
        <f t="shared" si="319"/>
        <v>45</v>
      </c>
      <c r="BE90" s="164">
        <f t="shared" si="319"/>
        <v>46</v>
      </c>
      <c r="BF90" s="164">
        <f t="shared" si="319"/>
        <v>47</v>
      </c>
      <c r="BG90" s="164">
        <f t="shared" si="319"/>
        <v>48</v>
      </c>
      <c r="BH90" s="164">
        <f t="shared" si="319"/>
        <v>49</v>
      </c>
      <c r="BI90" s="164">
        <f t="shared" si="319"/>
        <v>50</v>
      </c>
      <c r="BJ90" s="164">
        <f t="shared" si="319"/>
        <v>51</v>
      </c>
      <c r="BK90" s="33">
        <f t="shared" si="319"/>
        <v>52</v>
      </c>
    </row>
    <row r="91" spans="9:63">
      <c r="I91" s="31">
        <v>12</v>
      </c>
      <c r="L91" s="225">
        <f t="shared" si="317"/>
        <v>1</v>
      </c>
      <c r="M91" s="164">
        <f t="shared" si="319"/>
        <v>2</v>
      </c>
      <c r="N91" s="164">
        <f t="shared" si="319"/>
        <v>3</v>
      </c>
      <c r="O91" s="164">
        <f t="shared" si="319"/>
        <v>4</v>
      </c>
      <c r="P91" s="164">
        <f t="shared" si="319"/>
        <v>5</v>
      </c>
      <c r="Q91" s="164">
        <f t="shared" si="319"/>
        <v>6</v>
      </c>
      <c r="R91" s="164">
        <f t="shared" si="319"/>
        <v>7</v>
      </c>
      <c r="S91" s="164">
        <f t="shared" si="319"/>
        <v>8</v>
      </c>
      <c r="T91" s="164">
        <f t="shared" si="319"/>
        <v>9</v>
      </c>
      <c r="U91" s="164">
        <f t="shared" si="319"/>
        <v>10</v>
      </c>
      <c r="V91" s="164">
        <f t="shared" si="319"/>
        <v>11</v>
      </c>
      <c r="W91" s="164">
        <f t="shared" si="319"/>
        <v>12</v>
      </c>
      <c r="X91" s="164">
        <f t="shared" si="319"/>
        <v>13</v>
      </c>
      <c r="Y91" s="164">
        <f t="shared" si="319"/>
        <v>14</v>
      </c>
      <c r="Z91" s="164">
        <f t="shared" si="319"/>
        <v>15</v>
      </c>
      <c r="AA91" s="164">
        <f t="shared" si="319"/>
        <v>16</v>
      </c>
      <c r="AB91" s="164">
        <f t="shared" si="319"/>
        <v>17</v>
      </c>
      <c r="AC91" s="164">
        <f t="shared" si="319"/>
        <v>18</v>
      </c>
      <c r="AD91" s="164">
        <f t="shared" si="319"/>
        <v>19</v>
      </c>
      <c r="AE91" s="164">
        <f t="shared" si="319"/>
        <v>20</v>
      </c>
      <c r="AF91" s="164">
        <f t="shared" si="319"/>
        <v>21</v>
      </c>
      <c r="AG91" s="164">
        <f t="shared" si="319"/>
        <v>22</v>
      </c>
      <c r="AH91" s="164">
        <f t="shared" si="319"/>
        <v>23</v>
      </c>
      <c r="AI91" s="164">
        <f t="shared" si="319"/>
        <v>24</v>
      </c>
      <c r="AJ91" s="164">
        <f t="shared" si="319"/>
        <v>25</v>
      </c>
      <c r="AK91" s="164">
        <f t="shared" si="319"/>
        <v>26</v>
      </c>
      <c r="AL91" s="164">
        <f t="shared" si="319"/>
        <v>27</v>
      </c>
      <c r="AM91" s="164">
        <f t="shared" si="319"/>
        <v>28</v>
      </c>
      <c r="AN91" s="164">
        <f t="shared" si="319"/>
        <v>29</v>
      </c>
      <c r="AO91" s="164">
        <f t="shared" si="319"/>
        <v>30</v>
      </c>
      <c r="AP91" s="164">
        <f t="shared" si="319"/>
        <v>31</v>
      </c>
      <c r="AQ91" s="164">
        <f t="shared" si="319"/>
        <v>32</v>
      </c>
      <c r="AR91" s="164">
        <f t="shared" si="319"/>
        <v>33</v>
      </c>
      <c r="AS91" s="164">
        <f t="shared" si="319"/>
        <v>34</v>
      </c>
      <c r="AT91" s="164">
        <f t="shared" si="319"/>
        <v>35</v>
      </c>
      <c r="AU91" s="164">
        <f t="shared" si="319"/>
        <v>36</v>
      </c>
      <c r="AV91" s="164">
        <f t="shared" si="319"/>
        <v>37</v>
      </c>
      <c r="AW91" s="164">
        <f t="shared" si="319"/>
        <v>38</v>
      </c>
      <c r="AX91" s="164">
        <f t="shared" si="319"/>
        <v>39</v>
      </c>
      <c r="AY91" s="164">
        <f t="shared" si="319"/>
        <v>40</v>
      </c>
      <c r="AZ91" s="164">
        <f t="shared" si="319"/>
        <v>41</v>
      </c>
      <c r="BA91" s="164">
        <f t="shared" si="319"/>
        <v>42</v>
      </c>
      <c r="BB91" s="164">
        <f t="shared" si="319"/>
        <v>43</v>
      </c>
      <c r="BC91" s="164">
        <f t="shared" si="319"/>
        <v>44</v>
      </c>
      <c r="BD91" s="164">
        <f t="shared" si="319"/>
        <v>45</v>
      </c>
      <c r="BE91" s="164">
        <f t="shared" si="319"/>
        <v>46</v>
      </c>
      <c r="BF91" s="164">
        <f t="shared" si="319"/>
        <v>47</v>
      </c>
      <c r="BG91" s="164">
        <f t="shared" si="319"/>
        <v>48</v>
      </c>
      <c r="BH91" s="164">
        <f t="shared" si="319"/>
        <v>49</v>
      </c>
      <c r="BI91" s="164">
        <f t="shared" si="319"/>
        <v>50</v>
      </c>
      <c r="BJ91" s="164">
        <f t="shared" si="319"/>
        <v>51</v>
      </c>
      <c r="BK91" s="33">
        <f t="shared" si="319"/>
        <v>52</v>
      </c>
    </row>
    <row r="92" spans="9:63">
      <c r="I92" s="31">
        <v>13</v>
      </c>
      <c r="L92" s="225">
        <f t="shared" si="317"/>
        <v>0</v>
      </c>
      <c r="M92" s="164">
        <f t="shared" si="319"/>
        <v>1</v>
      </c>
      <c r="N92" s="164">
        <f t="shared" si="319"/>
        <v>2</v>
      </c>
      <c r="O92" s="164">
        <f t="shared" si="319"/>
        <v>3</v>
      </c>
      <c r="P92" s="164">
        <f t="shared" si="319"/>
        <v>4</v>
      </c>
      <c r="Q92" s="164">
        <f t="shared" si="319"/>
        <v>5</v>
      </c>
      <c r="R92" s="164">
        <f t="shared" si="319"/>
        <v>6</v>
      </c>
      <c r="S92" s="164">
        <f t="shared" si="319"/>
        <v>7</v>
      </c>
      <c r="T92" s="164">
        <f t="shared" si="319"/>
        <v>8</v>
      </c>
      <c r="U92" s="164">
        <f t="shared" si="319"/>
        <v>9</v>
      </c>
      <c r="V92" s="164">
        <f t="shared" si="319"/>
        <v>10</v>
      </c>
      <c r="W92" s="164">
        <f t="shared" si="319"/>
        <v>11</v>
      </c>
      <c r="X92" s="164">
        <f t="shared" si="319"/>
        <v>12</v>
      </c>
      <c r="Y92" s="164">
        <f t="shared" si="319"/>
        <v>13</v>
      </c>
      <c r="Z92" s="164">
        <f t="shared" si="319"/>
        <v>14</v>
      </c>
      <c r="AA92" s="164">
        <f t="shared" si="319"/>
        <v>15</v>
      </c>
      <c r="AB92" s="164">
        <f t="shared" si="319"/>
        <v>16</v>
      </c>
      <c r="AC92" s="164">
        <f t="shared" si="319"/>
        <v>17</v>
      </c>
      <c r="AD92" s="164">
        <f t="shared" si="319"/>
        <v>18</v>
      </c>
      <c r="AE92" s="164">
        <f t="shared" si="319"/>
        <v>19</v>
      </c>
      <c r="AF92" s="164">
        <f t="shared" si="319"/>
        <v>20</v>
      </c>
      <c r="AG92" s="164">
        <f t="shared" si="319"/>
        <v>21</v>
      </c>
      <c r="AH92" s="164">
        <f t="shared" si="319"/>
        <v>22</v>
      </c>
      <c r="AI92" s="164">
        <f t="shared" si="319"/>
        <v>23</v>
      </c>
      <c r="AJ92" s="164">
        <f t="shared" si="319"/>
        <v>24</v>
      </c>
      <c r="AK92" s="164">
        <f t="shared" si="319"/>
        <v>25</v>
      </c>
      <c r="AL92" s="164">
        <f t="shared" si="319"/>
        <v>26</v>
      </c>
      <c r="AM92" s="164">
        <f t="shared" si="319"/>
        <v>27</v>
      </c>
      <c r="AN92" s="164">
        <f t="shared" si="319"/>
        <v>28</v>
      </c>
      <c r="AO92" s="164">
        <f t="shared" si="319"/>
        <v>29</v>
      </c>
      <c r="AP92" s="164">
        <f t="shared" si="319"/>
        <v>30</v>
      </c>
      <c r="AQ92" s="164">
        <f t="shared" si="319"/>
        <v>31</v>
      </c>
      <c r="AR92" s="164">
        <f t="shared" si="319"/>
        <v>32</v>
      </c>
      <c r="AS92" s="164">
        <f t="shared" si="319"/>
        <v>33</v>
      </c>
      <c r="AT92" s="164">
        <f t="shared" si="319"/>
        <v>34</v>
      </c>
      <c r="AU92" s="164">
        <f t="shared" si="319"/>
        <v>35</v>
      </c>
      <c r="AV92" s="164">
        <f t="shared" si="319"/>
        <v>36</v>
      </c>
      <c r="AW92" s="164">
        <f t="shared" si="319"/>
        <v>37</v>
      </c>
      <c r="AX92" s="164">
        <f t="shared" si="319"/>
        <v>38</v>
      </c>
      <c r="AY92" s="164">
        <f t="shared" si="319"/>
        <v>39</v>
      </c>
      <c r="AZ92" s="164">
        <f t="shared" si="319"/>
        <v>40</v>
      </c>
      <c r="BA92" s="164">
        <f t="shared" si="319"/>
        <v>41</v>
      </c>
      <c r="BB92" s="164">
        <f t="shared" si="319"/>
        <v>42</v>
      </c>
      <c r="BC92" s="164">
        <f t="shared" si="319"/>
        <v>43</v>
      </c>
      <c r="BD92" s="164">
        <f t="shared" si="319"/>
        <v>44</v>
      </c>
      <c r="BE92" s="164">
        <f t="shared" si="319"/>
        <v>45</v>
      </c>
      <c r="BF92" s="164">
        <f t="shared" si="319"/>
        <v>46</v>
      </c>
      <c r="BG92" s="164">
        <f t="shared" si="319"/>
        <v>47</v>
      </c>
      <c r="BH92" s="164">
        <f t="shared" si="319"/>
        <v>48</v>
      </c>
      <c r="BI92" s="164">
        <f t="shared" si="319"/>
        <v>49</v>
      </c>
      <c r="BJ92" s="164">
        <f t="shared" si="319"/>
        <v>50</v>
      </c>
      <c r="BK92" s="33">
        <f t="shared" si="319"/>
        <v>51</v>
      </c>
    </row>
    <row r="93" spans="9:63">
      <c r="I93" s="31">
        <v>14</v>
      </c>
      <c r="L93" s="225">
        <f t="shared" si="317"/>
        <v>0</v>
      </c>
      <c r="M93" s="164">
        <f t="shared" si="319"/>
        <v>1</v>
      </c>
      <c r="N93" s="164">
        <f t="shared" si="319"/>
        <v>2</v>
      </c>
      <c r="O93" s="164">
        <f t="shared" si="319"/>
        <v>3</v>
      </c>
      <c r="P93" s="164">
        <f t="shared" si="319"/>
        <v>4</v>
      </c>
      <c r="Q93" s="164">
        <f t="shared" si="319"/>
        <v>5</v>
      </c>
      <c r="R93" s="164">
        <f t="shared" si="319"/>
        <v>6</v>
      </c>
      <c r="S93" s="164">
        <f t="shared" si="319"/>
        <v>7</v>
      </c>
      <c r="T93" s="164">
        <f t="shared" si="319"/>
        <v>8</v>
      </c>
      <c r="U93" s="164">
        <f t="shared" si="319"/>
        <v>9</v>
      </c>
      <c r="V93" s="164">
        <f t="shared" si="319"/>
        <v>10</v>
      </c>
      <c r="W93" s="164">
        <f t="shared" si="319"/>
        <v>11</v>
      </c>
      <c r="X93" s="164">
        <f t="shared" si="319"/>
        <v>12</v>
      </c>
      <c r="Y93" s="164">
        <f t="shared" si="319"/>
        <v>13</v>
      </c>
      <c r="Z93" s="164">
        <f t="shared" si="319"/>
        <v>14</v>
      </c>
      <c r="AA93" s="164">
        <f t="shared" si="319"/>
        <v>15</v>
      </c>
      <c r="AB93" s="164">
        <f t="shared" si="319"/>
        <v>16</v>
      </c>
      <c r="AC93" s="164">
        <f t="shared" si="319"/>
        <v>17</v>
      </c>
      <c r="AD93" s="164">
        <f t="shared" si="319"/>
        <v>18</v>
      </c>
      <c r="AE93" s="164">
        <f t="shared" si="319"/>
        <v>19</v>
      </c>
      <c r="AF93" s="164">
        <f t="shared" si="319"/>
        <v>20</v>
      </c>
      <c r="AG93" s="164">
        <f t="shared" si="319"/>
        <v>21</v>
      </c>
      <c r="AH93" s="164">
        <f t="shared" si="319"/>
        <v>22</v>
      </c>
      <c r="AI93" s="164">
        <f t="shared" si="319"/>
        <v>23</v>
      </c>
      <c r="AJ93" s="164">
        <f t="shared" si="319"/>
        <v>24</v>
      </c>
      <c r="AK93" s="164">
        <f t="shared" si="319"/>
        <v>25</v>
      </c>
      <c r="AL93" s="164">
        <f t="shared" si="319"/>
        <v>26</v>
      </c>
      <c r="AM93" s="164">
        <f t="shared" si="319"/>
        <v>27</v>
      </c>
      <c r="AN93" s="164">
        <f t="shared" si="319"/>
        <v>28</v>
      </c>
      <c r="AO93" s="164">
        <f t="shared" si="319"/>
        <v>29</v>
      </c>
      <c r="AP93" s="164">
        <f t="shared" si="319"/>
        <v>30</v>
      </c>
      <c r="AQ93" s="164">
        <f t="shared" si="319"/>
        <v>31</v>
      </c>
      <c r="AR93" s="164">
        <f t="shared" si="319"/>
        <v>32</v>
      </c>
      <c r="AS93" s="164">
        <f t="shared" si="319"/>
        <v>33</v>
      </c>
      <c r="AT93" s="164">
        <f t="shared" si="319"/>
        <v>34</v>
      </c>
      <c r="AU93" s="164">
        <f t="shared" si="319"/>
        <v>35</v>
      </c>
      <c r="AV93" s="164">
        <f t="shared" si="319"/>
        <v>36</v>
      </c>
      <c r="AW93" s="164">
        <f t="shared" si="319"/>
        <v>37</v>
      </c>
      <c r="AX93" s="164">
        <f t="shared" si="319"/>
        <v>38</v>
      </c>
      <c r="AY93" s="164">
        <f t="shared" si="319"/>
        <v>39</v>
      </c>
      <c r="AZ93" s="164">
        <f t="shared" si="319"/>
        <v>40</v>
      </c>
      <c r="BA93" s="164">
        <f t="shared" si="319"/>
        <v>41</v>
      </c>
      <c r="BB93" s="164">
        <f t="shared" si="319"/>
        <v>42</v>
      </c>
      <c r="BC93" s="164">
        <f t="shared" si="319"/>
        <v>43</v>
      </c>
      <c r="BD93" s="164">
        <f t="shared" si="319"/>
        <v>44</v>
      </c>
      <c r="BE93" s="164">
        <f t="shared" si="319"/>
        <v>45</v>
      </c>
      <c r="BF93" s="164">
        <f t="shared" si="319"/>
        <v>46</v>
      </c>
      <c r="BG93" s="164">
        <f t="shared" si="319"/>
        <v>47</v>
      </c>
      <c r="BH93" s="164">
        <f t="shared" si="319"/>
        <v>48</v>
      </c>
      <c r="BI93" s="164">
        <f t="shared" si="319"/>
        <v>49</v>
      </c>
      <c r="BJ93" s="164">
        <f t="shared" si="319"/>
        <v>50</v>
      </c>
      <c r="BK93" s="33">
        <f t="shared" si="319"/>
        <v>51</v>
      </c>
    </row>
    <row r="94" spans="9:63">
      <c r="I94" s="31">
        <v>15</v>
      </c>
      <c r="L94" s="225">
        <f t="shared" si="317"/>
        <v>0</v>
      </c>
      <c r="M94" s="164">
        <f t="shared" si="319"/>
        <v>1</v>
      </c>
      <c r="N94" s="164">
        <f t="shared" si="319"/>
        <v>2</v>
      </c>
      <c r="O94" s="164">
        <f t="shared" si="319"/>
        <v>3</v>
      </c>
      <c r="P94" s="164">
        <f t="shared" si="319"/>
        <v>4</v>
      </c>
      <c r="Q94" s="164">
        <f t="shared" si="319"/>
        <v>5</v>
      </c>
      <c r="R94" s="164">
        <f t="shared" si="319"/>
        <v>6</v>
      </c>
      <c r="S94" s="164">
        <f t="shared" si="319"/>
        <v>7</v>
      </c>
      <c r="T94" s="164">
        <f t="shared" si="319"/>
        <v>8</v>
      </c>
      <c r="U94" s="164">
        <f t="shared" si="319"/>
        <v>9</v>
      </c>
      <c r="V94" s="164">
        <f t="shared" si="319"/>
        <v>10</v>
      </c>
      <c r="W94" s="164">
        <f t="shared" si="319"/>
        <v>11</v>
      </c>
      <c r="X94" s="164">
        <f t="shared" si="319"/>
        <v>12</v>
      </c>
      <c r="Y94" s="164">
        <f t="shared" si="319"/>
        <v>13</v>
      </c>
      <c r="Z94" s="164">
        <f t="shared" si="319"/>
        <v>14</v>
      </c>
      <c r="AA94" s="164">
        <f t="shared" si="319"/>
        <v>15</v>
      </c>
      <c r="AB94" s="164">
        <f t="shared" si="319"/>
        <v>16</v>
      </c>
      <c r="AC94" s="164">
        <f t="shared" si="319"/>
        <v>17</v>
      </c>
      <c r="AD94" s="164">
        <f t="shared" si="319"/>
        <v>18</v>
      </c>
      <c r="AE94" s="164">
        <f t="shared" si="319"/>
        <v>19</v>
      </c>
      <c r="AF94" s="164">
        <f t="shared" si="319"/>
        <v>20</v>
      </c>
      <c r="AG94" s="164">
        <f t="shared" si="319"/>
        <v>21</v>
      </c>
      <c r="AH94" s="164">
        <f t="shared" si="319"/>
        <v>22</v>
      </c>
      <c r="AI94" s="164">
        <f t="shared" si="319"/>
        <v>23</v>
      </c>
      <c r="AJ94" s="164">
        <f t="shared" si="319"/>
        <v>24</v>
      </c>
      <c r="AK94" s="164">
        <f t="shared" si="319"/>
        <v>25</v>
      </c>
      <c r="AL94" s="164">
        <f t="shared" si="319"/>
        <v>26</v>
      </c>
      <c r="AM94" s="164">
        <f t="shared" si="319"/>
        <v>27</v>
      </c>
      <c r="AN94" s="164">
        <f t="shared" si="319"/>
        <v>28</v>
      </c>
      <c r="AO94" s="164">
        <f t="shared" si="319"/>
        <v>29</v>
      </c>
      <c r="AP94" s="164">
        <f t="shared" si="319"/>
        <v>30</v>
      </c>
      <c r="AQ94" s="164">
        <f t="shared" si="319"/>
        <v>31</v>
      </c>
      <c r="AR94" s="164">
        <f t="shared" si="319"/>
        <v>32</v>
      </c>
      <c r="AS94" s="164">
        <f t="shared" si="319"/>
        <v>33</v>
      </c>
      <c r="AT94" s="164">
        <f t="shared" si="319"/>
        <v>34</v>
      </c>
      <c r="AU94" s="164">
        <f t="shared" si="319"/>
        <v>35</v>
      </c>
      <c r="AV94" s="164">
        <f t="shared" si="319"/>
        <v>36</v>
      </c>
      <c r="AW94" s="164">
        <f t="shared" si="319"/>
        <v>37</v>
      </c>
      <c r="AX94" s="164">
        <f t="shared" si="319"/>
        <v>38</v>
      </c>
      <c r="AY94" s="164">
        <f t="shared" si="319"/>
        <v>39</v>
      </c>
      <c r="AZ94" s="164">
        <f t="shared" si="319"/>
        <v>40</v>
      </c>
      <c r="BA94" s="164">
        <f t="shared" si="319"/>
        <v>41</v>
      </c>
      <c r="BB94" s="164">
        <f t="shared" si="319"/>
        <v>42</v>
      </c>
      <c r="BC94" s="164">
        <f t="shared" si="319"/>
        <v>43</v>
      </c>
      <c r="BD94" s="164">
        <f t="shared" si="319"/>
        <v>44</v>
      </c>
      <c r="BE94" s="164">
        <f t="shared" si="319"/>
        <v>45</v>
      </c>
      <c r="BF94" s="164">
        <f t="shared" si="319"/>
        <v>46</v>
      </c>
      <c r="BG94" s="164">
        <f t="shared" si="319"/>
        <v>47</v>
      </c>
      <c r="BH94" s="164">
        <f t="shared" si="319"/>
        <v>48</v>
      </c>
      <c r="BI94" s="164">
        <f t="shared" si="319"/>
        <v>49</v>
      </c>
      <c r="BJ94" s="164">
        <f t="shared" si="319"/>
        <v>50</v>
      </c>
      <c r="BK94" s="33">
        <f t="shared" si="319"/>
        <v>51</v>
      </c>
    </row>
    <row r="95" spans="9:63">
      <c r="I95" s="31">
        <v>16</v>
      </c>
      <c r="L95" s="225">
        <f t="shared" si="317"/>
        <v>0</v>
      </c>
      <c r="M95" s="164">
        <f t="shared" si="319"/>
        <v>1</v>
      </c>
      <c r="N95" s="164">
        <f t="shared" si="319"/>
        <v>2</v>
      </c>
      <c r="O95" s="164">
        <f t="shared" si="319"/>
        <v>3</v>
      </c>
      <c r="P95" s="164">
        <f t="shared" si="319"/>
        <v>4</v>
      </c>
      <c r="Q95" s="164">
        <f t="shared" si="319"/>
        <v>5</v>
      </c>
      <c r="R95" s="164">
        <f t="shared" si="319"/>
        <v>6</v>
      </c>
      <c r="S95" s="164">
        <f t="shared" si="319"/>
        <v>7</v>
      </c>
      <c r="T95" s="164">
        <f t="shared" si="319"/>
        <v>8</v>
      </c>
      <c r="U95" s="164">
        <f t="shared" si="319"/>
        <v>9</v>
      </c>
      <c r="V95" s="164">
        <f t="shared" si="319"/>
        <v>10</v>
      </c>
      <c r="W95" s="164">
        <f t="shared" si="319"/>
        <v>11</v>
      </c>
      <c r="X95" s="164">
        <f t="shared" si="319"/>
        <v>12</v>
      </c>
      <c r="Y95" s="164">
        <f t="shared" si="319"/>
        <v>13</v>
      </c>
      <c r="Z95" s="164">
        <f t="shared" si="319"/>
        <v>14</v>
      </c>
      <c r="AA95" s="164">
        <f t="shared" si="319"/>
        <v>15</v>
      </c>
      <c r="AB95" s="164">
        <f t="shared" ref="M95:BK100" si="320">IF($I95&lt;=AB$74,AA95+1,)</f>
        <v>16</v>
      </c>
      <c r="AC95" s="164">
        <f t="shared" si="320"/>
        <v>17</v>
      </c>
      <c r="AD95" s="164">
        <f t="shared" si="320"/>
        <v>18</v>
      </c>
      <c r="AE95" s="164">
        <f t="shared" si="320"/>
        <v>19</v>
      </c>
      <c r="AF95" s="164">
        <f t="shared" si="320"/>
        <v>20</v>
      </c>
      <c r="AG95" s="164">
        <f t="shared" si="320"/>
        <v>21</v>
      </c>
      <c r="AH95" s="164">
        <f t="shared" si="320"/>
        <v>22</v>
      </c>
      <c r="AI95" s="164">
        <f t="shared" si="320"/>
        <v>23</v>
      </c>
      <c r="AJ95" s="164">
        <f t="shared" si="320"/>
        <v>24</v>
      </c>
      <c r="AK95" s="164">
        <f t="shared" si="320"/>
        <v>25</v>
      </c>
      <c r="AL95" s="164">
        <f t="shared" si="320"/>
        <v>26</v>
      </c>
      <c r="AM95" s="164">
        <f t="shared" si="320"/>
        <v>27</v>
      </c>
      <c r="AN95" s="164">
        <f t="shared" si="320"/>
        <v>28</v>
      </c>
      <c r="AO95" s="164">
        <f t="shared" si="320"/>
        <v>29</v>
      </c>
      <c r="AP95" s="164">
        <f t="shared" si="320"/>
        <v>30</v>
      </c>
      <c r="AQ95" s="164">
        <f t="shared" si="320"/>
        <v>31</v>
      </c>
      <c r="AR95" s="164">
        <f t="shared" si="320"/>
        <v>32</v>
      </c>
      <c r="AS95" s="164">
        <f t="shared" si="320"/>
        <v>33</v>
      </c>
      <c r="AT95" s="164">
        <f t="shared" si="320"/>
        <v>34</v>
      </c>
      <c r="AU95" s="164">
        <f t="shared" si="320"/>
        <v>35</v>
      </c>
      <c r="AV95" s="164">
        <f t="shared" si="320"/>
        <v>36</v>
      </c>
      <c r="AW95" s="164">
        <f t="shared" si="320"/>
        <v>37</v>
      </c>
      <c r="AX95" s="164">
        <f t="shared" si="320"/>
        <v>38</v>
      </c>
      <c r="AY95" s="164">
        <f t="shared" si="320"/>
        <v>39</v>
      </c>
      <c r="AZ95" s="164">
        <f t="shared" si="320"/>
        <v>40</v>
      </c>
      <c r="BA95" s="164">
        <f t="shared" si="320"/>
        <v>41</v>
      </c>
      <c r="BB95" s="164">
        <f t="shared" si="320"/>
        <v>42</v>
      </c>
      <c r="BC95" s="164">
        <f t="shared" si="320"/>
        <v>43</v>
      </c>
      <c r="BD95" s="164">
        <f t="shared" si="320"/>
        <v>44</v>
      </c>
      <c r="BE95" s="164">
        <f t="shared" si="320"/>
        <v>45</v>
      </c>
      <c r="BF95" s="164">
        <f t="shared" si="320"/>
        <v>46</v>
      </c>
      <c r="BG95" s="164">
        <f t="shared" si="320"/>
        <v>47</v>
      </c>
      <c r="BH95" s="164">
        <f t="shared" si="320"/>
        <v>48</v>
      </c>
      <c r="BI95" s="164">
        <f t="shared" si="320"/>
        <v>49</v>
      </c>
      <c r="BJ95" s="164">
        <f t="shared" si="320"/>
        <v>50</v>
      </c>
      <c r="BK95" s="33">
        <f t="shared" si="320"/>
        <v>51</v>
      </c>
    </row>
    <row r="96" spans="9:63">
      <c r="I96" s="31">
        <v>17</v>
      </c>
      <c r="L96" s="225">
        <f t="shared" si="317"/>
        <v>0</v>
      </c>
      <c r="M96" s="164">
        <f t="shared" si="320"/>
        <v>0</v>
      </c>
      <c r="N96" s="164">
        <f t="shared" si="320"/>
        <v>1</v>
      </c>
      <c r="O96" s="164">
        <f t="shared" si="320"/>
        <v>2</v>
      </c>
      <c r="P96" s="164">
        <f t="shared" si="320"/>
        <v>3</v>
      </c>
      <c r="Q96" s="164">
        <f t="shared" si="320"/>
        <v>4</v>
      </c>
      <c r="R96" s="164">
        <f t="shared" si="320"/>
        <v>5</v>
      </c>
      <c r="S96" s="164">
        <f t="shared" si="320"/>
        <v>6</v>
      </c>
      <c r="T96" s="164">
        <f t="shared" si="320"/>
        <v>7</v>
      </c>
      <c r="U96" s="164">
        <f t="shared" si="320"/>
        <v>8</v>
      </c>
      <c r="V96" s="164">
        <f t="shared" si="320"/>
        <v>9</v>
      </c>
      <c r="W96" s="164">
        <f t="shared" si="320"/>
        <v>10</v>
      </c>
      <c r="X96" s="164">
        <f t="shared" si="320"/>
        <v>11</v>
      </c>
      <c r="Y96" s="164">
        <f t="shared" si="320"/>
        <v>12</v>
      </c>
      <c r="Z96" s="164">
        <f t="shared" si="320"/>
        <v>13</v>
      </c>
      <c r="AA96" s="164">
        <f t="shared" si="320"/>
        <v>14</v>
      </c>
      <c r="AB96" s="164">
        <f t="shared" si="320"/>
        <v>15</v>
      </c>
      <c r="AC96" s="164">
        <f t="shared" si="320"/>
        <v>16</v>
      </c>
      <c r="AD96" s="164">
        <f t="shared" si="320"/>
        <v>17</v>
      </c>
      <c r="AE96" s="164">
        <f t="shared" si="320"/>
        <v>18</v>
      </c>
      <c r="AF96" s="164">
        <f t="shared" si="320"/>
        <v>19</v>
      </c>
      <c r="AG96" s="164">
        <f t="shared" si="320"/>
        <v>20</v>
      </c>
      <c r="AH96" s="164">
        <f t="shared" si="320"/>
        <v>21</v>
      </c>
      <c r="AI96" s="164">
        <f t="shared" si="320"/>
        <v>22</v>
      </c>
      <c r="AJ96" s="164">
        <f t="shared" si="320"/>
        <v>23</v>
      </c>
      <c r="AK96" s="164">
        <f t="shared" si="320"/>
        <v>24</v>
      </c>
      <c r="AL96" s="164">
        <f t="shared" si="320"/>
        <v>25</v>
      </c>
      <c r="AM96" s="164">
        <f t="shared" si="320"/>
        <v>26</v>
      </c>
      <c r="AN96" s="164">
        <f t="shared" si="320"/>
        <v>27</v>
      </c>
      <c r="AO96" s="164">
        <f t="shared" si="320"/>
        <v>28</v>
      </c>
      <c r="AP96" s="164">
        <f t="shared" si="320"/>
        <v>29</v>
      </c>
      <c r="AQ96" s="164">
        <f t="shared" si="320"/>
        <v>30</v>
      </c>
      <c r="AR96" s="164">
        <f t="shared" si="320"/>
        <v>31</v>
      </c>
      <c r="AS96" s="164">
        <f t="shared" si="320"/>
        <v>32</v>
      </c>
      <c r="AT96" s="164">
        <f t="shared" si="320"/>
        <v>33</v>
      </c>
      <c r="AU96" s="164">
        <f t="shared" si="320"/>
        <v>34</v>
      </c>
      <c r="AV96" s="164">
        <f t="shared" si="320"/>
        <v>35</v>
      </c>
      <c r="AW96" s="164">
        <f t="shared" si="320"/>
        <v>36</v>
      </c>
      <c r="AX96" s="164">
        <f t="shared" si="320"/>
        <v>37</v>
      </c>
      <c r="AY96" s="164">
        <f t="shared" si="320"/>
        <v>38</v>
      </c>
      <c r="AZ96" s="164">
        <f t="shared" si="320"/>
        <v>39</v>
      </c>
      <c r="BA96" s="164">
        <f t="shared" si="320"/>
        <v>40</v>
      </c>
      <c r="BB96" s="164">
        <f t="shared" si="320"/>
        <v>41</v>
      </c>
      <c r="BC96" s="164">
        <f t="shared" si="320"/>
        <v>42</v>
      </c>
      <c r="BD96" s="164">
        <f t="shared" si="320"/>
        <v>43</v>
      </c>
      <c r="BE96" s="164">
        <f t="shared" si="320"/>
        <v>44</v>
      </c>
      <c r="BF96" s="164">
        <f t="shared" si="320"/>
        <v>45</v>
      </c>
      <c r="BG96" s="164">
        <f t="shared" si="320"/>
        <v>46</v>
      </c>
      <c r="BH96" s="164">
        <f t="shared" si="320"/>
        <v>47</v>
      </c>
      <c r="BI96" s="164">
        <f t="shared" si="320"/>
        <v>48</v>
      </c>
      <c r="BJ96" s="164">
        <f t="shared" si="320"/>
        <v>49</v>
      </c>
      <c r="BK96" s="33">
        <f t="shared" si="320"/>
        <v>50</v>
      </c>
    </row>
    <row r="97" spans="9:63">
      <c r="I97" s="31">
        <v>18</v>
      </c>
      <c r="L97" s="225">
        <f t="shared" si="317"/>
        <v>0</v>
      </c>
      <c r="M97" s="164">
        <f t="shared" si="320"/>
        <v>0</v>
      </c>
      <c r="N97" s="164">
        <f t="shared" si="320"/>
        <v>1</v>
      </c>
      <c r="O97" s="164">
        <f t="shared" si="320"/>
        <v>2</v>
      </c>
      <c r="P97" s="164">
        <f t="shared" si="320"/>
        <v>3</v>
      </c>
      <c r="Q97" s="164">
        <f t="shared" si="320"/>
        <v>4</v>
      </c>
      <c r="R97" s="164">
        <f t="shared" si="320"/>
        <v>5</v>
      </c>
      <c r="S97" s="164">
        <f t="shared" si="320"/>
        <v>6</v>
      </c>
      <c r="T97" s="164">
        <f t="shared" si="320"/>
        <v>7</v>
      </c>
      <c r="U97" s="164">
        <f t="shared" si="320"/>
        <v>8</v>
      </c>
      <c r="V97" s="164">
        <f t="shared" si="320"/>
        <v>9</v>
      </c>
      <c r="W97" s="164">
        <f t="shared" si="320"/>
        <v>10</v>
      </c>
      <c r="X97" s="164">
        <f t="shared" si="320"/>
        <v>11</v>
      </c>
      <c r="Y97" s="164">
        <f t="shared" si="320"/>
        <v>12</v>
      </c>
      <c r="Z97" s="164">
        <f t="shared" si="320"/>
        <v>13</v>
      </c>
      <c r="AA97" s="164">
        <f t="shared" si="320"/>
        <v>14</v>
      </c>
      <c r="AB97" s="164">
        <f t="shared" si="320"/>
        <v>15</v>
      </c>
      <c r="AC97" s="164">
        <f t="shared" si="320"/>
        <v>16</v>
      </c>
      <c r="AD97" s="164">
        <f t="shared" si="320"/>
        <v>17</v>
      </c>
      <c r="AE97" s="164">
        <f t="shared" si="320"/>
        <v>18</v>
      </c>
      <c r="AF97" s="164">
        <f t="shared" si="320"/>
        <v>19</v>
      </c>
      <c r="AG97" s="164">
        <f t="shared" si="320"/>
        <v>20</v>
      </c>
      <c r="AH97" s="164">
        <f t="shared" si="320"/>
        <v>21</v>
      </c>
      <c r="AI97" s="164">
        <f t="shared" si="320"/>
        <v>22</v>
      </c>
      <c r="AJ97" s="164">
        <f t="shared" si="320"/>
        <v>23</v>
      </c>
      <c r="AK97" s="164">
        <f t="shared" si="320"/>
        <v>24</v>
      </c>
      <c r="AL97" s="164">
        <f t="shared" si="320"/>
        <v>25</v>
      </c>
      <c r="AM97" s="164">
        <f t="shared" si="320"/>
        <v>26</v>
      </c>
      <c r="AN97" s="164">
        <f t="shared" si="320"/>
        <v>27</v>
      </c>
      <c r="AO97" s="164">
        <f t="shared" si="320"/>
        <v>28</v>
      </c>
      <c r="AP97" s="164">
        <f t="shared" si="320"/>
        <v>29</v>
      </c>
      <c r="AQ97" s="164">
        <f t="shared" si="320"/>
        <v>30</v>
      </c>
      <c r="AR97" s="164">
        <f t="shared" si="320"/>
        <v>31</v>
      </c>
      <c r="AS97" s="164">
        <f t="shared" si="320"/>
        <v>32</v>
      </c>
      <c r="AT97" s="164">
        <f t="shared" si="320"/>
        <v>33</v>
      </c>
      <c r="AU97" s="164">
        <f t="shared" si="320"/>
        <v>34</v>
      </c>
      <c r="AV97" s="164">
        <f t="shared" si="320"/>
        <v>35</v>
      </c>
      <c r="AW97" s="164">
        <f t="shared" si="320"/>
        <v>36</v>
      </c>
      <c r="AX97" s="164">
        <f t="shared" si="320"/>
        <v>37</v>
      </c>
      <c r="AY97" s="164">
        <f t="shared" si="320"/>
        <v>38</v>
      </c>
      <c r="AZ97" s="164">
        <f t="shared" si="320"/>
        <v>39</v>
      </c>
      <c r="BA97" s="164">
        <f t="shared" si="320"/>
        <v>40</v>
      </c>
      <c r="BB97" s="164">
        <f t="shared" si="320"/>
        <v>41</v>
      </c>
      <c r="BC97" s="164">
        <f t="shared" si="320"/>
        <v>42</v>
      </c>
      <c r="BD97" s="164">
        <f t="shared" si="320"/>
        <v>43</v>
      </c>
      <c r="BE97" s="164">
        <f t="shared" si="320"/>
        <v>44</v>
      </c>
      <c r="BF97" s="164">
        <f t="shared" si="320"/>
        <v>45</v>
      </c>
      <c r="BG97" s="164">
        <f t="shared" si="320"/>
        <v>46</v>
      </c>
      <c r="BH97" s="164">
        <f t="shared" si="320"/>
        <v>47</v>
      </c>
      <c r="BI97" s="164">
        <f t="shared" si="320"/>
        <v>48</v>
      </c>
      <c r="BJ97" s="164">
        <f t="shared" si="320"/>
        <v>49</v>
      </c>
      <c r="BK97" s="33">
        <f t="shared" si="320"/>
        <v>50</v>
      </c>
    </row>
    <row r="98" spans="9:63">
      <c r="I98" s="31">
        <v>19</v>
      </c>
      <c r="L98" s="225">
        <f t="shared" si="317"/>
        <v>0</v>
      </c>
      <c r="M98" s="164">
        <f t="shared" si="320"/>
        <v>0</v>
      </c>
      <c r="N98" s="164">
        <f t="shared" si="320"/>
        <v>1</v>
      </c>
      <c r="O98" s="164">
        <f t="shared" si="320"/>
        <v>2</v>
      </c>
      <c r="P98" s="164">
        <f t="shared" si="320"/>
        <v>3</v>
      </c>
      <c r="Q98" s="164">
        <f t="shared" si="320"/>
        <v>4</v>
      </c>
      <c r="R98" s="164">
        <f t="shared" si="320"/>
        <v>5</v>
      </c>
      <c r="S98" s="164">
        <f t="shared" si="320"/>
        <v>6</v>
      </c>
      <c r="T98" s="164">
        <f t="shared" si="320"/>
        <v>7</v>
      </c>
      <c r="U98" s="164">
        <f t="shared" si="320"/>
        <v>8</v>
      </c>
      <c r="V98" s="164">
        <f t="shared" si="320"/>
        <v>9</v>
      </c>
      <c r="W98" s="164">
        <f t="shared" si="320"/>
        <v>10</v>
      </c>
      <c r="X98" s="164">
        <f t="shared" si="320"/>
        <v>11</v>
      </c>
      <c r="Y98" s="164">
        <f t="shared" si="320"/>
        <v>12</v>
      </c>
      <c r="Z98" s="164">
        <f t="shared" si="320"/>
        <v>13</v>
      </c>
      <c r="AA98" s="164">
        <f t="shared" si="320"/>
        <v>14</v>
      </c>
      <c r="AB98" s="164">
        <f t="shared" si="320"/>
        <v>15</v>
      </c>
      <c r="AC98" s="164">
        <f t="shared" si="320"/>
        <v>16</v>
      </c>
      <c r="AD98" s="164">
        <f t="shared" si="320"/>
        <v>17</v>
      </c>
      <c r="AE98" s="164">
        <f t="shared" si="320"/>
        <v>18</v>
      </c>
      <c r="AF98" s="164">
        <f t="shared" si="320"/>
        <v>19</v>
      </c>
      <c r="AG98" s="164">
        <f t="shared" si="320"/>
        <v>20</v>
      </c>
      <c r="AH98" s="164">
        <f t="shared" si="320"/>
        <v>21</v>
      </c>
      <c r="AI98" s="164">
        <f t="shared" si="320"/>
        <v>22</v>
      </c>
      <c r="AJ98" s="164">
        <f t="shared" si="320"/>
        <v>23</v>
      </c>
      <c r="AK98" s="164">
        <f t="shared" si="320"/>
        <v>24</v>
      </c>
      <c r="AL98" s="164">
        <f t="shared" si="320"/>
        <v>25</v>
      </c>
      <c r="AM98" s="164">
        <f t="shared" si="320"/>
        <v>26</v>
      </c>
      <c r="AN98" s="164">
        <f t="shared" si="320"/>
        <v>27</v>
      </c>
      <c r="AO98" s="164">
        <f t="shared" si="320"/>
        <v>28</v>
      </c>
      <c r="AP98" s="164">
        <f t="shared" si="320"/>
        <v>29</v>
      </c>
      <c r="AQ98" s="164">
        <f t="shared" si="320"/>
        <v>30</v>
      </c>
      <c r="AR98" s="164">
        <f t="shared" si="320"/>
        <v>31</v>
      </c>
      <c r="AS98" s="164">
        <f t="shared" si="320"/>
        <v>32</v>
      </c>
      <c r="AT98" s="164">
        <f t="shared" si="320"/>
        <v>33</v>
      </c>
      <c r="AU98" s="164">
        <f t="shared" si="320"/>
        <v>34</v>
      </c>
      <c r="AV98" s="164">
        <f t="shared" si="320"/>
        <v>35</v>
      </c>
      <c r="AW98" s="164">
        <f t="shared" si="320"/>
        <v>36</v>
      </c>
      <c r="AX98" s="164">
        <f t="shared" si="320"/>
        <v>37</v>
      </c>
      <c r="AY98" s="164">
        <f t="shared" si="320"/>
        <v>38</v>
      </c>
      <c r="AZ98" s="164">
        <f t="shared" si="320"/>
        <v>39</v>
      </c>
      <c r="BA98" s="164">
        <f t="shared" si="320"/>
        <v>40</v>
      </c>
      <c r="BB98" s="164">
        <f t="shared" si="320"/>
        <v>41</v>
      </c>
      <c r="BC98" s="164">
        <f t="shared" si="320"/>
        <v>42</v>
      </c>
      <c r="BD98" s="164">
        <f t="shared" si="320"/>
        <v>43</v>
      </c>
      <c r="BE98" s="164">
        <f t="shared" si="320"/>
        <v>44</v>
      </c>
      <c r="BF98" s="164">
        <f t="shared" si="320"/>
        <v>45</v>
      </c>
      <c r="BG98" s="164">
        <f t="shared" si="320"/>
        <v>46</v>
      </c>
      <c r="BH98" s="164">
        <f t="shared" si="320"/>
        <v>47</v>
      </c>
      <c r="BI98" s="164">
        <f t="shared" si="320"/>
        <v>48</v>
      </c>
      <c r="BJ98" s="164">
        <f t="shared" si="320"/>
        <v>49</v>
      </c>
      <c r="BK98" s="33">
        <f t="shared" si="320"/>
        <v>50</v>
      </c>
    </row>
    <row r="99" spans="9:63">
      <c r="I99" s="31">
        <v>20</v>
      </c>
      <c r="L99" s="225">
        <f t="shared" si="317"/>
        <v>0</v>
      </c>
      <c r="M99" s="164">
        <f t="shared" si="320"/>
        <v>0</v>
      </c>
      <c r="N99" s="164">
        <f t="shared" si="320"/>
        <v>1</v>
      </c>
      <c r="O99" s="164">
        <f t="shared" si="320"/>
        <v>2</v>
      </c>
      <c r="P99" s="164">
        <f t="shared" si="320"/>
        <v>3</v>
      </c>
      <c r="Q99" s="164">
        <f t="shared" si="320"/>
        <v>4</v>
      </c>
      <c r="R99" s="164">
        <f t="shared" si="320"/>
        <v>5</v>
      </c>
      <c r="S99" s="164">
        <f t="shared" si="320"/>
        <v>6</v>
      </c>
      <c r="T99" s="164">
        <f t="shared" si="320"/>
        <v>7</v>
      </c>
      <c r="U99" s="164">
        <f t="shared" si="320"/>
        <v>8</v>
      </c>
      <c r="V99" s="164">
        <f t="shared" si="320"/>
        <v>9</v>
      </c>
      <c r="W99" s="164">
        <f t="shared" si="320"/>
        <v>10</v>
      </c>
      <c r="X99" s="164">
        <f t="shared" si="320"/>
        <v>11</v>
      </c>
      <c r="Y99" s="164">
        <f t="shared" si="320"/>
        <v>12</v>
      </c>
      <c r="Z99" s="164">
        <f t="shared" si="320"/>
        <v>13</v>
      </c>
      <c r="AA99" s="164">
        <f t="shared" si="320"/>
        <v>14</v>
      </c>
      <c r="AB99" s="164">
        <f t="shared" si="320"/>
        <v>15</v>
      </c>
      <c r="AC99" s="164">
        <f t="shared" si="320"/>
        <v>16</v>
      </c>
      <c r="AD99" s="164">
        <f t="shared" si="320"/>
        <v>17</v>
      </c>
      <c r="AE99" s="164">
        <f t="shared" si="320"/>
        <v>18</v>
      </c>
      <c r="AF99" s="164">
        <f t="shared" si="320"/>
        <v>19</v>
      </c>
      <c r="AG99" s="164">
        <f t="shared" si="320"/>
        <v>20</v>
      </c>
      <c r="AH99" s="164">
        <f t="shared" si="320"/>
        <v>21</v>
      </c>
      <c r="AI99" s="164">
        <f t="shared" si="320"/>
        <v>22</v>
      </c>
      <c r="AJ99" s="164">
        <f t="shared" si="320"/>
        <v>23</v>
      </c>
      <c r="AK99" s="164">
        <f t="shared" si="320"/>
        <v>24</v>
      </c>
      <c r="AL99" s="164">
        <f t="shared" si="320"/>
        <v>25</v>
      </c>
      <c r="AM99" s="164">
        <f t="shared" si="320"/>
        <v>26</v>
      </c>
      <c r="AN99" s="164">
        <f t="shared" si="320"/>
        <v>27</v>
      </c>
      <c r="AO99" s="164">
        <f t="shared" si="320"/>
        <v>28</v>
      </c>
      <c r="AP99" s="164">
        <f t="shared" si="320"/>
        <v>29</v>
      </c>
      <c r="AQ99" s="164">
        <f t="shared" si="320"/>
        <v>30</v>
      </c>
      <c r="AR99" s="164">
        <f t="shared" si="320"/>
        <v>31</v>
      </c>
      <c r="AS99" s="164">
        <f t="shared" si="320"/>
        <v>32</v>
      </c>
      <c r="AT99" s="164">
        <f t="shared" si="320"/>
        <v>33</v>
      </c>
      <c r="AU99" s="164">
        <f t="shared" si="320"/>
        <v>34</v>
      </c>
      <c r="AV99" s="164">
        <f t="shared" si="320"/>
        <v>35</v>
      </c>
      <c r="AW99" s="164">
        <f t="shared" si="320"/>
        <v>36</v>
      </c>
      <c r="AX99" s="164">
        <f t="shared" si="320"/>
        <v>37</v>
      </c>
      <c r="AY99" s="164">
        <f t="shared" si="320"/>
        <v>38</v>
      </c>
      <c r="AZ99" s="164">
        <f t="shared" si="320"/>
        <v>39</v>
      </c>
      <c r="BA99" s="164">
        <f t="shared" si="320"/>
        <v>40</v>
      </c>
      <c r="BB99" s="164">
        <f t="shared" si="320"/>
        <v>41</v>
      </c>
      <c r="BC99" s="164">
        <f t="shared" si="320"/>
        <v>42</v>
      </c>
      <c r="BD99" s="164">
        <f t="shared" si="320"/>
        <v>43</v>
      </c>
      <c r="BE99" s="164">
        <f t="shared" si="320"/>
        <v>44</v>
      </c>
      <c r="BF99" s="164">
        <f t="shared" si="320"/>
        <v>45</v>
      </c>
      <c r="BG99" s="164">
        <f t="shared" si="320"/>
        <v>46</v>
      </c>
      <c r="BH99" s="164">
        <f t="shared" si="320"/>
        <v>47</v>
      </c>
      <c r="BI99" s="164">
        <f t="shared" si="320"/>
        <v>48</v>
      </c>
      <c r="BJ99" s="164">
        <f t="shared" si="320"/>
        <v>49</v>
      </c>
      <c r="BK99" s="33">
        <f t="shared" si="320"/>
        <v>50</v>
      </c>
    </row>
    <row r="100" spans="9:63">
      <c r="I100" s="31">
        <v>21</v>
      </c>
      <c r="L100" s="225">
        <f t="shared" si="317"/>
        <v>0</v>
      </c>
      <c r="M100" s="164">
        <f t="shared" si="320"/>
        <v>0</v>
      </c>
      <c r="N100" s="164">
        <f t="shared" si="320"/>
        <v>0</v>
      </c>
      <c r="O100" s="164">
        <f t="shared" si="320"/>
        <v>1</v>
      </c>
      <c r="P100" s="164">
        <f t="shared" si="320"/>
        <v>2</v>
      </c>
      <c r="Q100" s="164">
        <f t="shared" si="320"/>
        <v>3</v>
      </c>
      <c r="R100" s="164">
        <f t="shared" si="320"/>
        <v>4</v>
      </c>
      <c r="S100" s="164">
        <f t="shared" si="320"/>
        <v>5</v>
      </c>
      <c r="T100" s="164">
        <f t="shared" si="320"/>
        <v>6</v>
      </c>
      <c r="U100" s="164">
        <f t="shared" si="320"/>
        <v>7</v>
      </c>
      <c r="V100" s="164">
        <f t="shared" si="320"/>
        <v>8</v>
      </c>
      <c r="W100" s="164">
        <f t="shared" si="320"/>
        <v>9</v>
      </c>
      <c r="X100" s="164">
        <f t="shared" si="320"/>
        <v>10</v>
      </c>
      <c r="Y100" s="164">
        <f t="shared" si="320"/>
        <v>11</v>
      </c>
      <c r="Z100" s="164">
        <f t="shared" si="320"/>
        <v>12</v>
      </c>
      <c r="AA100" s="164">
        <f t="shared" si="320"/>
        <v>13</v>
      </c>
      <c r="AB100" s="164">
        <f t="shared" ref="M100:BK105" si="321">IF($I100&lt;=AB$74,AA100+1,)</f>
        <v>14</v>
      </c>
      <c r="AC100" s="164">
        <f t="shared" si="321"/>
        <v>15</v>
      </c>
      <c r="AD100" s="164">
        <f t="shared" si="321"/>
        <v>16</v>
      </c>
      <c r="AE100" s="164">
        <f t="shared" si="321"/>
        <v>17</v>
      </c>
      <c r="AF100" s="164">
        <f t="shared" si="321"/>
        <v>18</v>
      </c>
      <c r="AG100" s="164">
        <f t="shared" si="321"/>
        <v>19</v>
      </c>
      <c r="AH100" s="164">
        <f t="shared" si="321"/>
        <v>20</v>
      </c>
      <c r="AI100" s="164">
        <f t="shared" si="321"/>
        <v>21</v>
      </c>
      <c r="AJ100" s="164">
        <f t="shared" si="321"/>
        <v>22</v>
      </c>
      <c r="AK100" s="164">
        <f t="shared" si="321"/>
        <v>23</v>
      </c>
      <c r="AL100" s="164">
        <f t="shared" si="321"/>
        <v>24</v>
      </c>
      <c r="AM100" s="164">
        <f t="shared" si="321"/>
        <v>25</v>
      </c>
      <c r="AN100" s="164">
        <f t="shared" si="321"/>
        <v>26</v>
      </c>
      <c r="AO100" s="164">
        <f t="shared" si="321"/>
        <v>27</v>
      </c>
      <c r="AP100" s="164">
        <f t="shared" si="321"/>
        <v>28</v>
      </c>
      <c r="AQ100" s="164">
        <f t="shared" si="321"/>
        <v>29</v>
      </c>
      <c r="AR100" s="164">
        <f t="shared" si="321"/>
        <v>30</v>
      </c>
      <c r="AS100" s="164">
        <f t="shared" si="321"/>
        <v>31</v>
      </c>
      <c r="AT100" s="164">
        <f t="shared" si="321"/>
        <v>32</v>
      </c>
      <c r="AU100" s="164">
        <f t="shared" si="321"/>
        <v>33</v>
      </c>
      <c r="AV100" s="164">
        <f t="shared" si="321"/>
        <v>34</v>
      </c>
      <c r="AW100" s="164">
        <f t="shared" si="321"/>
        <v>35</v>
      </c>
      <c r="AX100" s="164">
        <f t="shared" si="321"/>
        <v>36</v>
      </c>
      <c r="AY100" s="164">
        <f t="shared" si="321"/>
        <v>37</v>
      </c>
      <c r="AZ100" s="164">
        <f t="shared" si="321"/>
        <v>38</v>
      </c>
      <c r="BA100" s="164">
        <f t="shared" si="321"/>
        <v>39</v>
      </c>
      <c r="BB100" s="164">
        <f t="shared" si="321"/>
        <v>40</v>
      </c>
      <c r="BC100" s="164">
        <f t="shared" si="321"/>
        <v>41</v>
      </c>
      <c r="BD100" s="164">
        <f t="shared" si="321"/>
        <v>42</v>
      </c>
      <c r="BE100" s="164">
        <f t="shared" si="321"/>
        <v>43</v>
      </c>
      <c r="BF100" s="164">
        <f t="shared" si="321"/>
        <v>44</v>
      </c>
      <c r="BG100" s="164">
        <f t="shared" si="321"/>
        <v>45</v>
      </c>
      <c r="BH100" s="164">
        <f t="shared" si="321"/>
        <v>46</v>
      </c>
      <c r="BI100" s="164">
        <f t="shared" si="321"/>
        <v>47</v>
      </c>
      <c r="BJ100" s="164">
        <f t="shared" si="321"/>
        <v>48</v>
      </c>
      <c r="BK100" s="33">
        <f t="shared" si="321"/>
        <v>49</v>
      </c>
    </row>
    <row r="101" spans="9:63">
      <c r="I101" s="31">
        <v>22</v>
      </c>
      <c r="L101" s="225">
        <f t="shared" si="317"/>
        <v>0</v>
      </c>
      <c r="M101" s="164">
        <f t="shared" si="321"/>
        <v>0</v>
      </c>
      <c r="N101" s="164">
        <f t="shared" si="321"/>
        <v>0</v>
      </c>
      <c r="O101" s="164">
        <f t="shared" si="321"/>
        <v>1</v>
      </c>
      <c r="P101" s="164">
        <f t="shared" si="321"/>
        <v>2</v>
      </c>
      <c r="Q101" s="164">
        <f t="shared" si="321"/>
        <v>3</v>
      </c>
      <c r="R101" s="164">
        <f t="shared" si="321"/>
        <v>4</v>
      </c>
      <c r="S101" s="164">
        <f t="shared" si="321"/>
        <v>5</v>
      </c>
      <c r="T101" s="164">
        <f t="shared" si="321"/>
        <v>6</v>
      </c>
      <c r="U101" s="164">
        <f t="shared" si="321"/>
        <v>7</v>
      </c>
      <c r="V101" s="164">
        <f t="shared" si="321"/>
        <v>8</v>
      </c>
      <c r="W101" s="164">
        <f t="shared" si="321"/>
        <v>9</v>
      </c>
      <c r="X101" s="164">
        <f t="shared" si="321"/>
        <v>10</v>
      </c>
      <c r="Y101" s="164">
        <f t="shared" si="321"/>
        <v>11</v>
      </c>
      <c r="Z101" s="164">
        <f t="shared" si="321"/>
        <v>12</v>
      </c>
      <c r="AA101" s="164">
        <f t="shared" si="321"/>
        <v>13</v>
      </c>
      <c r="AB101" s="164">
        <f t="shared" si="321"/>
        <v>14</v>
      </c>
      <c r="AC101" s="164">
        <f t="shared" si="321"/>
        <v>15</v>
      </c>
      <c r="AD101" s="164">
        <f t="shared" si="321"/>
        <v>16</v>
      </c>
      <c r="AE101" s="164">
        <f t="shared" si="321"/>
        <v>17</v>
      </c>
      <c r="AF101" s="164">
        <f t="shared" si="321"/>
        <v>18</v>
      </c>
      <c r="AG101" s="164">
        <f t="shared" si="321"/>
        <v>19</v>
      </c>
      <c r="AH101" s="164">
        <f t="shared" si="321"/>
        <v>20</v>
      </c>
      <c r="AI101" s="164">
        <f t="shared" si="321"/>
        <v>21</v>
      </c>
      <c r="AJ101" s="164">
        <f t="shared" si="321"/>
        <v>22</v>
      </c>
      <c r="AK101" s="164">
        <f t="shared" si="321"/>
        <v>23</v>
      </c>
      <c r="AL101" s="164">
        <f t="shared" si="321"/>
        <v>24</v>
      </c>
      <c r="AM101" s="164">
        <f t="shared" si="321"/>
        <v>25</v>
      </c>
      <c r="AN101" s="164">
        <f t="shared" si="321"/>
        <v>26</v>
      </c>
      <c r="AO101" s="164">
        <f t="shared" si="321"/>
        <v>27</v>
      </c>
      <c r="AP101" s="164">
        <f t="shared" si="321"/>
        <v>28</v>
      </c>
      <c r="AQ101" s="164">
        <f t="shared" si="321"/>
        <v>29</v>
      </c>
      <c r="AR101" s="164">
        <f t="shared" si="321"/>
        <v>30</v>
      </c>
      <c r="AS101" s="164">
        <f t="shared" si="321"/>
        <v>31</v>
      </c>
      <c r="AT101" s="164">
        <f t="shared" si="321"/>
        <v>32</v>
      </c>
      <c r="AU101" s="164">
        <f t="shared" si="321"/>
        <v>33</v>
      </c>
      <c r="AV101" s="164">
        <f t="shared" si="321"/>
        <v>34</v>
      </c>
      <c r="AW101" s="164">
        <f t="shared" si="321"/>
        <v>35</v>
      </c>
      <c r="AX101" s="164">
        <f t="shared" si="321"/>
        <v>36</v>
      </c>
      <c r="AY101" s="164">
        <f t="shared" si="321"/>
        <v>37</v>
      </c>
      <c r="AZ101" s="164">
        <f t="shared" si="321"/>
        <v>38</v>
      </c>
      <c r="BA101" s="164">
        <f t="shared" si="321"/>
        <v>39</v>
      </c>
      <c r="BB101" s="164">
        <f t="shared" si="321"/>
        <v>40</v>
      </c>
      <c r="BC101" s="164">
        <f t="shared" si="321"/>
        <v>41</v>
      </c>
      <c r="BD101" s="164">
        <f t="shared" si="321"/>
        <v>42</v>
      </c>
      <c r="BE101" s="164">
        <f t="shared" si="321"/>
        <v>43</v>
      </c>
      <c r="BF101" s="164">
        <f t="shared" si="321"/>
        <v>44</v>
      </c>
      <c r="BG101" s="164">
        <f t="shared" si="321"/>
        <v>45</v>
      </c>
      <c r="BH101" s="164">
        <f t="shared" si="321"/>
        <v>46</v>
      </c>
      <c r="BI101" s="164">
        <f t="shared" si="321"/>
        <v>47</v>
      </c>
      <c r="BJ101" s="164">
        <f t="shared" si="321"/>
        <v>48</v>
      </c>
      <c r="BK101" s="33">
        <f t="shared" si="321"/>
        <v>49</v>
      </c>
    </row>
    <row r="102" spans="9:63">
      <c r="I102" s="31">
        <v>23</v>
      </c>
      <c r="L102" s="225">
        <f t="shared" si="317"/>
        <v>0</v>
      </c>
      <c r="M102" s="164">
        <f t="shared" si="321"/>
        <v>0</v>
      </c>
      <c r="N102" s="164">
        <f t="shared" si="321"/>
        <v>0</v>
      </c>
      <c r="O102" s="164">
        <f t="shared" si="321"/>
        <v>1</v>
      </c>
      <c r="P102" s="164">
        <f t="shared" si="321"/>
        <v>2</v>
      </c>
      <c r="Q102" s="164">
        <f t="shared" si="321"/>
        <v>3</v>
      </c>
      <c r="R102" s="164">
        <f t="shared" si="321"/>
        <v>4</v>
      </c>
      <c r="S102" s="164">
        <f t="shared" si="321"/>
        <v>5</v>
      </c>
      <c r="T102" s="164">
        <f t="shared" si="321"/>
        <v>6</v>
      </c>
      <c r="U102" s="164">
        <f t="shared" si="321"/>
        <v>7</v>
      </c>
      <c r="V102" s="164">
        <f t="shared" si="321"/>
        <v>8</v>
      </c>
      <c r="W102" s="164">
        <f t="shared" si="321"/>
        <v>9</v>
      </c>
      <c r="X102" s="164">
        <f t="shared" si="321"/>
        <v>10</v>
      </c>
      <c r="Y102" s="164">
        <f t="shared" si="321"/>
        <v>11</v>
      </c>
      <c r="Z102" s="164">
        <f t="shared" si="321"/>
        <v>12</v>
      </c>
      <c r="AA102" s="164">
        <f t="shared" si="321"/>
        <v>13</v>
      </c>
      <c r="AB102" s="164">
        <f t="shared" si="321"/>
        <v>14</v>
      </c>
      <c r="AC102" s="164">
        <f t="shared" si="321"/>
        <v>15</v>
      </c>
      <c r="AD102" s="164">
        <f t="shared" si="321"/>
        <v>16</v>
      </c>
      <c r="AE102" s="164">
        <f t="shared" si="321"/>
        <v>17</v>
      </c>
      <c r="AF102" s="164">
        <f t="shared" si="321"/>
        <v>18</v>
      </c>
      <c r="AG102" s="164">
        <f t="shared" si="321"/>
        <v>19</v>
      </c>
      <c r="AH102" s="164">
        <f t="shared" si="321"/>
        <v>20</v>
      </c>
      <c r="AI102" s="164">
        <f t="shared" si="321"/>
        <v>21</v>
      </c>
      <c r="AJ102" s="164">
        <f t="shared" si="321"/>
        <v>22</v>
      </c>
      <c r="AK102" s="164">
        <f t="shared" si="321"/>
        <v>23</v>
      </c>
      <c r="AL102" s="164">
        <f t="shared" si="321"/>
        <v>24</v>
      </c>
      <c r="AM102" s="164">
        <f t="shared" si="321"/>
        <v>25</v>
      </c>
      <c r="AN102" s="164">
        <f t="shared" si="321"/>
        <v>26</v>
      </c>
      <c r="AO102" s="164">
        <f t="shared" si="321"/>
        <v>27</v>
      </c>
      <c r="AP102" s="164">
        <f t="shared" si="321"/>
        <v>28</v>
      </c>
      <c r="AQ102" s="164">
        <f t="shared" si="321"/>
        <v>29</v>
      </c>
      <c r="AR102" s="164">
        <f t="shared" si="321"/>
        <v>30</v>
      </c>
      <c r="AS102" s="164">
        <f t="shared" si="321"/>
        <v>31</v>
      </c>
      <c r="AT102" s="164">
        <f t="shared" si="321"/>
        <v>32</v>
      </c>
      <c r="AU102" s="164">
        <f t="shared" si="321"/>
        <v>33</v>
      </c>
      <c r="AV102" s="164">
        <f t="shared" si="321"/>
        <v>34</v>
      </c>
      <c r="AW102" s="164">
        <f t="shared" si="321"/>
        <v>35</v>
      </c>
      <c r="AX102" s="164">
        <f t="shared" si="321"/>
        <v>36</v>
      </c>
      <c r="AY102" s="164">
        <f t="shared" si="321"/>
        <v>37</v>
      </c>
      <c r="AZ102" s="164">
        <f t="shared" si="321"/>
        <v>38</v>
      </c>
      <c r="BA102" s="164">
        <f t="shared" si="321"/>
        <v>39</v>
      </c>
      <c r="BB102" s="164">
        <f t="shared" si="321"/>
        <v>40</v>
      </c>
      <c r="BC102" s="164">
        <f t="shared" si="321"/>
        <v>41</v>
      </c>
      <c r="BD102" s="164">
        <f t="shared" si="321"/>
        <v>42</v>
      </c>
      <c r="BE102" s="164">
        <f t="shared" si="321"/>
        <v>43</v>
      </c>
      <c r="BF102" s="164">
        <f t="shared" si="321"/>
        <v>44</v>
      </c>
      <c r="BG102" s="164">
        <f t="shared" si="321"/>
        <v>45</v>
      </c>
      <c r="BH102" s="164">
        <f t="shared" si="321"/>
        <v>46</v>
      </c>
      <c r="BI102" s="164">
        <f t="shared" si="321"/>
        <v>47</v>
      </c>
      <c r="BJ102" s="164">
        <f t="shared" si="321"/>
        <v>48</v>
      </c>
      <c r="BK102" s="33">
        <f t="shared" si="321"/>
        <v>49</v>
      </c>
    </row>
    <row r="103" spans="9:63">
      <c r="I103" s="31">
        <v>24</v>
      </c>
      <c r="L103" s="225">
        <f t="shared" si="317"/>
        <v>0</v>
      </c>
      <c r="M103" s="164">
        <f t="shared" si="321"/>
        <v>0</v>
      </c>
      <c r="N103" s="164">
        <f t="shared" si="321"/>
        <v>0</v>
      </c>
      <c r="O103" s="164">
        <f t="shared" si="321"/>
        <v>1</v>
      </c>
      <c r="P103" s="164">
        <f t="shared" si="321"/>
        <v>2</v>
      </c>
      <c r="Q103" s="164">
        <f t="shared" si="321"/>
        <v>3</v>
      </c>
      <c r="R103" s="164">
        <f t="shared" si="321"/>
        <v>4</v>
      </c>
      <c r="S103" s="164">
        <f t="shared" si="321"/>
        <v>5</v>
      </c>
      <c r="T103" s="164">
        <f t="shared" si="321"/>
        <v>6</v>
      </c>
      <c r="U103" s="164">
        <f t="shared" si="321"/>
        <v>7</v>
      </c>
      <c r="V103" s="164">
        <f t="shared" si="321"/>
        <v>8</v>
      </c>
      <c r="W103" s="164">
        <f t="shared" si="321"/>
        <v>9</v>
      </c>
      <c r="X103" s="164">
        <f t="shared" si="321"/>
        <v>10</v>
      </c>
      <c r="Y103" s="164">
        <f t="shared" si="321"/>
        <v>11</v>
      </c>
      <c r="Z103" s="164">
        <f t="shared" si="321"/>
        <v>12</v>
      </c>
      <c r="AA103" s="164">
        <f t="shared" si="321"/>
        <v>13</v>
      </c>
      <c r="AB103" s="164">
        <f t="shared" si="321"/>
        <v>14</v>
      </c>
      <c r="AC103" s="164">
        <f t="shared" si="321"/>
        <v>15</v>
      </c>
      <c r="AD103" s="164">
        <f t="shared" si="321"/>
        <v>16</v>
      </c>
      <c r="AE103" s="164">
        <f t="shared" si="321"/>
        <v>17</v>
      </c>
      <c r="AF103" s="164">
        <f t="shared" si="321"/>
        <v>18</v>
      </c>
      <c r="AG103" s="164">
        <f t="shared" si="321"/>
        <v>19</v>
      </c>
      <c r="AH103" s="164">
        <f t="shared" si="321"/>
        <v>20</v>
      </c>
      <c r="AI103" s="164">
        <f t="shared" si="321"/>
        <v>21</v>
      </c>
      <c r="AJ103" s="164">
        <f t="shared" si="321"/>
        <v>22</v>
      </c>
      <c r="AK103" s="164">
        <f t="shared" si="321"/>
        <v>23</v>
      </c>
      <c r="AL103" s="164">
        <f t="shared" si="321"/>
        <v>24</v>
      </c>
      <c r="AM103" s="164">
        <f t="shared" si="321"/>
        <v>25</v>
      </c>
      <c r="AN103" s="164">
        <f t="shared" si="321"/>
        <v>26</v>
      </c>
      <c r="AO103" s="164">
        <f t="shared" si="321"/>
        <v>27</v>
      </c>
      <c r="AP103" s="164">
        <f t="shared" si="321"/>
        <v>28</v>
      </c>
      <c r="AQ103" s="164">
        <f t="shared" si="321"/>
        <v>29</v>
      </c>
      <c r="AR103" s="164">
        <f t="shared" si="321"/>
        <v>30</v>
      </c>
      <c r="AS103" s="164">
        <f t="shared" si="321"/>
        <v>31</v>
      </c>
      <c r="AT103" s="164">
        <f t="shared" si="321"/>
        <v>32</v>
      </c>
      <c r="AU103" s="164">
        <f t="shared" si="321"/>
        <v>33</v>
      </c>
      <c r="AV103" s="164">
        <f t="shared" si="321"/>
        <v>34</v>
      </c>
      <c r="AW103" s="164">
        <f t="shared" si="321"/>
        <v>35</v>
      </c>
      <c r="AX103" s="164">
        <f t="shared" si="321"/>
        <v>36</v>
      </c>
      <c r="AY103" s="164">
        <f t="shared" si="321"/>
        <v>37</v>
      </c>
      <c r="AZ103" s="164">
        <f t="shared" si="321"/>
        <v>38</v>
      </c>
      <c r="BA103" s="164">
        <f t="shared" si="321"/>
        <v>39</v>
      </c>
      <c r="BB103" s="164">
        <f t="shared" si="321"/>
        <v>40</v>
      </c>
      <c r="BC103" s="164">
        <f t="shared" si="321"/>
        <v>41</v>
      </c>
      <c r="BD103" s="164">
        <f t="shared" si="321"/>
        <v>42</v>
      </c>
      <c r="BE103" s="164">
        <f t="shared" si="321"/>
        <v>43</v>
      </c>
      <c r="BF103" s="164">
        <f t="shared" si="321"/>
        <v>44</v>
      </c>
      <c r="BG103" s="164">
        <f t="shared" si="321"/>
        <v>45</v>
      </c>
      <c r="BH103" s="164">
        <f t="shared" si="321"/>
        <v>46</v>
      </c>
      <c r="BI103" s="164">
        <f t="shared" si="321"/>
        <v>47</v>
      </c>
      <c r="BJ103" s="164">
        <f t="shared" si="321"/>
        <v>48</v>
      </c>
      <c r="BK103" s="33">
        <f t="shared" si="321"/>
        <v>49</v>
      </c>
    </row>
    <row r="104" spans="9:63">
      <c r="I104" s="31">
        <v>25</v>
      </c>
      <c r="L104" s="225">
        <f t="shared" si="317"/>
        <v>0</v>
      </c>
      <c r="M104" s="164">
        <f t="shared" si="321"/>
        <v>0</v>
      </c>
      <c r="N104" s="164">
        <f t="shared" si="321"/>
        <v>0</v>
      </c>
      <c r="O104" s="164">
        <f t="shared" si="321"/>
        <v>0</v>
      </c>
      <c r="P104" s="164">
        <f t="shared" si="321"/>
        <v>1</v>
      </c>
      <c r="Q104" s="164">
        <f t="shared" si="321"/>
        <v>2</v>
      </c>
      <c r="R104" s="164">
        <f t="shared" si="321"/>
        <v>3</v>
      </c>
      <c r="S104" s="164">
        <f t="shared" si="321"/>
        <v>4</v>
      </c>
      <c r="T104" s="164">
        <f t="shared" si="321"/>
        <v>5</v>
      </c>
      <c r="U104" s="164">
        <f t="shared" si="321"/>
        <v>6</v>
      </c>
      <c r="V104" s="164">
        <f t="shared" si="321"/>
        <v>7</v>
      </c>
      <c r="W104" s="164">
        <f t="shared" si="321"/>
        <v>8</v>
      </c>
      <c r="X104" s="164">
        <f t="shared" si="321"/>
        <v>9</v>
      </c>
      <c r="Y104" s="164">
        <f t="shared" si="321"/>
        <v>10</v>
      </c>
      <c r="Z104" s="164">
        <f t="shared" si="321"/>
        <v>11</v>
      </c>
      <c r="AA104" s="164">
        <f t="shared" si="321"/>
        <v>12</v>
      </c>
      <c r="AB104" s="164">
        <f t="shared" si="321"/>
        <v>13</v>
      </c>
      <c r="AC104" s="164">
        <f t="shared" si="321"/>
        <v>14</v>
      </c>
      <c r="AD104" s="164">
        <f t="shared" si="321"/>
        <v>15</v>
      </c>
      <c r="AE104" s="164">
        <f t="shared" si="321"/>
        <v>16</v>
      </c>
      <c r="AF104" s="164">
        <f t="shared" si="321"/>
        <v>17</v>
      </c>
      <c r="AG104" s="164">
        <f t="shared" si="321"/>
        <v>18</v>
      </c>
      <c r="AH104" s="164">
        <f t="shared" si="321"/>
        <v>19</v>
      </c>
      <c r="AI104" s="164">
        <f t="shared" si="321"/>
        <v>20</v>
      </c>
      <c r="AJ104" s="164">
        <f t="shared" si="321"/>
        <v>21</v>
      </c>
      <c r="AK104" s="164">
        <f t="shared" si="321"/>
        <v>22</v>
      </c>
      <c r="AL104" s="164">
        <f t="shared" si="321"/>
        <v>23</v>
      </c>
      <c r="AM104" s="164">
        <f t="shared" si="321"/>
        <v>24</v>
      </c>
      <c r="AN104" s="164">
        <f t="shared" si="321"/>
        <v>25</v>
      </c>
      <c r="AO104" s="164">
        <f t="shared" si="321"/>
        <v>26</v>
      </c>
      <c r="AP104" s="164">
        <f t="shared" si="321"/>
        <v>27</v>
      </c>
      <c r="AQ104" s="164">
        <f t="shared" si="321"/>
        <v>28</v>
      </c>
      <c r="AR104" s="164">
        <f t="shared" si="321"/>
        <v>29</v>
      </c>
      <c r="AS104" s="164">
        <f t="shared" si="321"/>
        <v>30</v>
      </c>
      <c r="AT104" s="164">
        <f t="shared" si="321"/>
        <v>31</v>
      </c>
      <c r="AU104" s="164">
        <f t="shared" si="321"/>
        <v>32</v>
      </c>
      <c r="AV104" s="164">
        <f t="shared" si="321"/>
        <v>33</v>
      </c>
      <c r="AW104" s="164">
        <f t="shared" si="321"/>
        <v>34</v>
      </c>
      <c r="AX104" s="164">
        <f t="shared" si="321"/>
        <v>35</v>
      </c>
      <c r="AY104" s="164">
        <f t="shared" si="321"/>
        <v>36</v>
      </c>
      <c r="AZ104" s="164">
        <f t="shared" si="321"/>
        <v>37</v>
      </c>
      <c r="BA104" s="164">
        <f t="shared" si="321"/>
        <v>38</v>
      </c>
      <c r="BB104" s="164">
        <f t="shared" si="321"/>
        <v>39</v>
      </c>
      <c r="BC104" s="164">
        <f t="shared" si="321"/>
        <v>40</v>
      </c>
      <c r="BD104" s="164">
        <f t="shared" si="321"/>
        <v>41</v>
      </c>
      <c r="BE104" s="164">
        <f t="shared" si="321"/>
        <v>42</v>
      </c>
      <c r="BF104" s="164">
        <f t="shared" si="321"/>
        <v>43</v>
      </c>
      <c r="BG104" s="164">
        <f t="shared" si="321"/>
        <v>44</v>
      </c>
      <c r="BH104" s="164">
        <f t="shared" si="321"/>
        <v>45</v>
      </c>
      <c r="BI104" s="164">
        <f t="shared" si="321"/>
        <v>46</v>
      </c>
      <c r="BJ104" s="164">
        <f t="shared" si="321"/>
        <v>47</v>
      </c>
      <c r="BK104" s="33">
        <f t="shared" si="321"/>
        <v>48</v>
      </c>
    </row>
    <row r="105" spans="9:63">
      <c r="I105" s="31">
        <v>26</v>
      </c>
      <c r="L105" s="225">
        <f t="shared" si="317"/>
        <v>0</v>
      </c>
      <c r="M105" s="164">
        <f t="shared" si="321"/>
        <v>0</v>
      </c>
      <c r="N105" s="164">
        <f t="shared" si="321"/>
        <v>0</v>
      </c>
      <c r="O105" s="164">
        <f t="shared" si="321"/>
        <v>0</v>
      </c>
      <c r="P105" s="164">
        <f t="shared" si="321"/>
        <v>1</v>
      </c>
      <c r="Q105" s="164">
        <f t="shared" si="321"/>
        <v>2</v>
      </c>
      <c r="R105" s="164">
        <f t="shared" si="321"/>
        <v>3</v>
      </c>
      <c r="S105" s="164">
        <f t="shared" si="321"/>
        <v>4</v>
      </c>
      <c r="T105" s="164">
        <f t="shared" si="321"/>
        <v>5</v>
      </c>
      <c r="U105" s="164">
        <f t="shared" si="321"/>
        <v>6</v>
      </c>
      <c r="V105" s="164">
        <f t="shared" si="321"/>
        <v>7</v>
      </c>
      <c r="W105" s="164">
        <f t="shared" si="321"/>
        <v>8</v>
      </c>
      <c r="X105" s="164">
        <f t="shared" si="321"/>
        <v>9</v>
      </c>
      <c r="Y105" s="164">
        <f t="shared" si="321"/>
        <v>10</v>
      </c>
      <c r="Z105" s="164">
        <f t="shared" si="321"/>
        <v>11</v>
      </c>
      <c r="AA105" s="164">
        <f t="shared" si="321"/>
        <v>12</v>
      </c>
      <c r="AB105" s="164">
        <f t="shared" ref="M105:BK110" si="322">IF($I105&lt;=AB$74,AA105+1,)</f>
        <v>13</v>
      </c>
      <c r="AC105" s="164">
        <f t="shared" si="322"/>
        <v>14</v>
      </c>
      <c r="AD105" s="164">
        <f t="shared" si="322"/>
        <v>15</v>
      </c>
      <c r="AE105" s="164">
        <f t="shared" si="322"/>
        <v>16</v>
      </c>
      <c r="AF105" s="164">
        <f t="shared" si="322"/>
        <v>17</v>
      </c>
      <c r="AG105" s="164">
        <f t="shared" si="322"/>
        <v>18</v>
      </c>
      <c r="AH105" s="164">
        <f t="shared" si="322"/>
        <v>19</v>
      </c>
      <c r="AI105" s="164">
        <f t="shared" si="322"/>
        <v>20</v>
      </c>
      <c r="AJ105" s="164">
        <f t="shared" si="322"/>
        <v>21</v>
      </c>
      <c r="AK105" s="164">
        <f t="shared" si="322"/>
        <v>22</v>
      </c>
      <c r="AL105" s="164">
        <f t="shared" si="322"/>
        <v>23</v>
      </c>
      <c r="AM105" s="164">
        <f t="shared" si="322"/>
        <v>24</v>
      </c>
      <c r="AN105" s="164">
        <f t="shared" si="322"/>
        <v>25</v>
      </c>
      <c r="AO105" s="164">
        <f t="shared" si="322"/>
        <v>26</v>
      </c>
      <c r="AP105" s="164">
        <f t="shared" si="322"/>
        <v>27</v>
      </c>
      <c r="AQ105" s="164">
        <f t="shared" si="322"/>
        <v>28</v>
      </c>
      <c r="AR105" s="164">
        <f t="shared" si="322"/>
        <v>29</v>
      </c>
      <c r="AS105" s="164">
        <f t="shared" si="322"/>
        <v>30</v>
      </c>
      <c r="AT105" s="164">
        <f t="shared" si="322"/>
        <v>31</v>
      </c>
      <c r="AU105" s="164">
        <f t="shared" si="322"/>
        <v>32</v>
      </c>
      <c r="AV105" s="164">
        <f t="shared" si="322"/>
        <v>33</v>
      </c>
      <c r="AW105" s="164">
        <f t="shared" si="322"/>
        <v>34</v>
      </c>
      <c r="AX105" s="164">
        <f t="shared" si="322"/>
        <v>35</v>
      </c>
      <c r="AY105" s="164">
        <f t="shared" si="322"/>
        <v>36</v>
      </c>
      <c r="AZ105" s="164">
        <f t="shared" si="322"/>
        <v>37</v>
      </c>
      <c r="BA105" s="164">
        <f t="shared" si="322"/>
        <v>38</v>
      </c>
      <c r="BB105" s="164">
        <f t="shared" si="322"/>
        <v>39</v>
      </c>
      <c r="BC105" s="164">
        <f t="shared" si="322"/>
        <v>40</v>
      </c>
      <c r="BD105" s="164">
        <f t="shared" si="322"/>
        <v>41</v>
      </c>
      <c r="BE105" s="164">
        <f t="shared" si="322"/>
        <v>42</v>
      </c>
      <c r="BF105" s="164">
        <f t="shared" si="322"/>
        <v>43</v>
      </c>
      <c r="BG105" s="164">
        <f t="shared" si="322"/>
        <v>44</v>
      </c>
      <c r="BH105" s="164">
        <f t="shared" si="322"/>
        <v>45</v>
      </c>
      <c r="BI105" s="164">
        <f t="shared" si="322"/>
        <v>46</v>
      </c>
      <c r="BJ105" s="164">
        <f t="shared" si="322"/>
        <v>47</v>
      </c>
      <c r="BK105" s="33">
        <f t="shared" si="322"/>
        <v>48</v>
      </c>
    </row>
    <row r="106" spans="9:63">
      <c r="I106" s="31">
        <v>27</v>
      </c>
      <c r="L106" s="225">
        <f t="shared" si="317"/>
        <v>0</v>
      </c>
      <c r="M106" s="164">
        <f t="shared" si="322"/>
        <v>0</v>
      </c>
      <c r="N106" s="164">
        <f t="shared" si="322"/>
        <v>0</v>
      </c>
      <c r="O106" s="164">
        <f t="shared" si="322"/>
        <v>0</v>
      </c>
      <c r="P106" s="164">
        <f t="shared" si="322"/>
        <v>1</v>
      </c>
      <c r="Q106" s="164">
        <f t="shared" si="322"/>
        <v>2</v>
      </c>
      <c r="R106" s="164">
        <f t="shared" si="322"/>
        <v>3</v>
      </c>
      <c r="S106" s="164">
        <f t="shared" si="322"/>
        <v>4</v>
      </c>
      <c r="T106" s="164">
        <f t="shared" si="322"/>
        <v>5</v>
      </c>
      <c r="U106" s="164">
        <f t="shared" si="322"/>
        <v>6</v>
      </c>
      <c r="V106" s="164">
        <f t="shared" si="322"/>
        <v>7</v>
      </c>
      <c r="W106" s="164">
        <f t="shared" si="322"/>
        <v>8</v>
      </c>
      <c r="X106" s="164">
        <f t="shared" si="322"/>
        <v>9</v>
      </c>
      <c r="Y106" s="164">
        <f t="shared" si="322"/>
        <v>10</v>
      </c>
      <c r="Z106" s="164">
        <f t="shared" si="322"/>
        <v>11</v>
      </c>
      <c r="AA106" s="164">
        <f t="shared" si="322"/>
        <v>12</v>
      </c>
      <c r="AB106" s="164">
        <f t="shared" si="322"/>
        <v>13</v>
      </c>
      <c r="AC106" s="164">
        <f t="shared" si="322"/>
        <v>14</v>
      </c>
      <c r="AD106" s="164">
        <f t="shared" si="322"/>
        <v>15</v>
      </c>
      <c r="AE106" s="164">
        <f t="shared" si="322"/>
        <v>16</v>
      </c>
      <c r="AF106" s="164">
        <f t="shared" si="322"/>
        <v>17</v>
      </c>
      <c r="AG106" s="164">
        <f t="shared" si="322"/>
        <v>18</v>
      </c>
      <c r="AH106" s="164">
        <f t="shared" si="322"/>
        <v>19</v>
      </c>
      <c r="AI106" s="164">
        <f t="shared" si="322"/>
        <v>20</v>
      </c>
      <c r="AJ106" s="164">
        <f t="shared" si="322"/>
        <v>21</v>
      </c>
      <c r="AK106" s="164">
        <f t="shared" si="322"/>
        <v>22</v>
      </c>
      <c r="AL106" s="164">
        <f t="shared" si="322"/>
        <v>23</v>
      </c>
      <c r="AM106" s="164">
        <f t="shared" si="322"/>
        <v>24</v>
      </c>
      <c r="AN106" s="164">
        <f t="shared" si="322"/>
        <v>25</v>
      </c>
      <c r="AO106" s="164">
        <f t="shared" si="322"/>
        <v>26</v>
      </c>
      <c r="AP106" s="164">
        <f t="shared" si="322"/>
        <v>27</v>
      </c>
      <c r="AQ106" s="164">
        <f t="shared" si="322"/>
        <v>28</v>
      </c>
      <c r="AR106" s="164">
        <f t="shared" si="322"/>
        <v>29</v>
      </c>
      <c r="AS106" s="164">
        <f t="shared" si="322"/>
        <v>30</v>
      </c>
      <c r="AT106" s="164">
        <f t="shared" si="322"/>
        <v>31</v>
      </c>
      <c r="AU106" s="164">
        <f t="shared" si="322"/>
        <v>32</v>
      </c>
      <c r="AV106" s="164">
        <f t="shared" si="322"/>
        <v>33</v>
      </c>
      <c r="AW106" s="164">
        <f t="shared" si="322"/>
        <v>34</v>
      </c>
      <c r="AX106" s="164">
        <f t="shared" si="322"/>
        <v>35</v>
      </c>
      <c r="AY106" s="164">
        <f t="shared" si="322"/>
        <v>36</v>
      </c>
      <c r="AZ106" s="164">
        <f t="shared" si="322"/>
        <v>37</v>
      </c>
      <c r="BA106" s="164">
        <f t="shared" si="322"/>
        <v>38</v>
      </c>
      <c r="BB106" s="164">
        <f t="shared" si="322"/>
        <v>39</v>
      </c>
      <c r="BC106" s="164">
        <f t="shared" si="322"/>
        <v>40</v>
      </c>
      <c r="BD106" s="164">
        <f t="shared" si="322"/>
        <v>41</v>
      </c>
      <c r="BE106" s="164">
        <f t="shared" si="322"/>
        <v>42</v>
      </c>
      <c r="BF106" s="164">
        <f t="shared" si="322"/>
        <v>43</v>
      </c>
      <c r="BG106" s="164">
        <f t="shared" si="322"/>
        <v>44</v>
      </c>
      <c r="BH106" s="164">
        <f t="shared" si="322"/>
        <v>45</v>
      </c>
      <c r="BI106" s="164">
        <f t="shared" si="322"/>
        <v>46</v>
      </c>
      <c r="BJ106" s="164">
        <f t="shared" si="322"/>
        <v>47</v>
      </c>
      <c r="BK106" s="33">
        <f t="shared" si="322"/>
        <v>48</v>
      </c>
    </row>
    <row r="107" spans="9:63">
      <c r="I107" s="31">
        <v>28</v>
      </c>
      <c r="L107" s="225">
        <f t="shared" si="317"/>
        <v>0</v>
      </c>
      <c r="M107" s="164">
        <f t="shared" si="322"/>
        <v>0</v>
      </c>
      <c r="N107" s="164">
        <f t="shared" si="322"/>
        <v>0</v>
      </c>
      <c r="O107" s="164">
        <f t="shared" si="322"/>
        <v>0</v>
      </c>
      <c r="P107" s="164">
        <f t="shared" si="322"/>
        <v>1</v>
      </c>
      <c r="Q107" s="164">
        <f t="shared" si="322"/>
        <v>2</v>
      </c>
      <c r="R107" s="164">
        <f t="shared" si="322"/>
        <v>3</v>
      </c>
      <c r="S107" s="164">
        <f t="shared" si="322"/>
        <v>4</v>
      </c>
      <c r="T107" s="164">
        <f t="shared" si="322"/>
        <v>5</v>
      </c>
      <c r="U107" s="164">
        <f t="shared" si="322"/>
        <v>6</v>
      </c>
      <c r="V107" s="164">
        <f t="shared" si="322"/>
        <v>7</v>
      </c>
      <c r="W107" s="164">
        <f t="shared" si="322"/>
        <v>8</v>
      </c>
      <c r="X107" s="164">
        <f t="shared" si="322"/>
        <v>9</v>
      </c>
      <c r="Y107" s="164">
        <f t="shared" si="322"/>
        <v>10</v>
      </c>
      <c r="Z107" s="164">
        <f t="shared" si="322"/>
        <v>11</v>
      </c>
      <c r="AA107" s="164">
        <f t="shared" si="322"/>
        <v>12</v>
      </c>
      <c r="AB107" s="164">
        <f t="shared" si="322"/>
        <v>13</v>
      </c>
      <c r="AC107" s="164">
        <f t="shared" si="322"/>
        <v>14</v>
      </c>
      <c r="AD107" s="164">
        <f t="shared" si="322"/>
        <v>15</v>
      </c>
      <c r="AE107" s="164">
        <f t="shared" si="322"/>
        <v>16</v>
      </c>
      <c r="AF107" s="164">
        <f t="shared" si="322"/>
        <v>17</v>
      </c>
      <c r="AG107" s="164">
        <f t="shared" si="322"/>
        <v>18</v>
      </c>
      <c r="AH107" s="164">
        <f t="shared" si="322"/>
        <v>19</v>
      </c>
      <c r="AI107" s="164">
        <f t="shared" si="322"/>
        <v>20</v>
      </c>
      <c r="AJ107" s="164">
        <f t="shared" si="322"/>
        <v>21</v>
      </c>
      <c r="AK107" s="164">
        <f t="shared" si="322"/>
        <v>22</v>
      </c>
      <c r="AL107" s="164">
        <f t="shared" si="322"/>
        <v>23</v>
      </c>
      <c r="AM107" s="164">
        <f t="shared" si="322"/>
        <v>24</v>
      </c>
      <c r="AN107" s="164">
        <f t="shared" si="322"/>
        <v>25</v>
      </c>
      <c r="AO107" s="164">
        <f t="shared" si="322"/>
        <v>26</v>
      </c>
      <c r="AP107" s="164">
        <f t="shared" si="322"/>
        <v>27</v>
      </c>
      <c r="AQ107" s="164">
        <f t="shared" si="322"/>
        <v>28</v>
      </c>
      <c r="AR107" s="164">
        <f t="shared" si="322"/>
        <v>29</v>
      </c>
      <c r="AS107" s="164">
        <f t="shared" si="322"/>
        <v>30</v>
      </c>
      <c r="AT107" s="164">
        <f t="shared" si="322"/>
        <v>31</v>
      </c>
      <c r="AU107" s="164">
        <f t="shared" si="322"/>
        <v>32</v>
      </c>
      <c r="AV107" s="164">
        <f t="shared" si="322"/>
        <v>33</v>
      </c>
      <c r="AW107" s="164">
        <f t="shared" si="322"/>
        <v>34</v>
      </c>
      <c r="AX107" s="164">
        <f t="shared" si="322"/>
        <v>35</v>
      </c>
      <c r="AY107" s="164">
        <f t="shared" si="322"/>
        <v>36</v>
      </c>
      <c r="AZ107" s="164">
        <f t="shared" si="322"/>
        <v>37</v>
      </c>
      <c r="BA107" s="164">
        <f t="shared" si="322"/>
        <v>38</v>
      </c>
      <c r="BB107" s="164">
        <f t="shared" si="322"/>
        <v>39</v>
      </c>
      <c r="BC107" s="164">
        <f t="shared" si="322"/>
        <v>40</v>
      </c>
      <c r="BD107" s="164">
        <f t="shared" si="322"/>
        <v>41</v>
      </c>
      <c r="BE107" s="164">
        <f t="shared" si="322"/>
        <v>42</v>
      </c>
      <c r="BF107" s="164">
        <f t="shared" si="322"/>
        <v>43</v>
      </c>
      <c r="BG107" s="164">
        <f t="shared" si="322"/>
        <v>44</v>
      </c>
      <c r="BH107" s="164">
        <f t="shared" si="322"/>
        <v>45</v>
      </c>
      <c r="BI107" s="164">
        <f t="shared" si="322"/>
        <v>46</v>
      </c>
      <c r="BJ107" s="164">
        <f t="shared" si="322"/>
        <v>47</v>
      </c>
      <c r="BK107" s="33">
        <f t="shared" si="322"/>
        <v>48</v>
      </c>
    </row>
    <row r="108" spans="9:63">
      <c r="I108" s="31">
        <v>29</v>
      </c>
      <c r="L108" s="225">
        <f t="shared" si="317"/>
        <v>0</v>
      </c>
      <c r="M108" s="164">
        <f t="shared" si="322"/>
        <v>0</v>
      </c>
      <c r="N108" s="164">
        <f t="shared" si="322"/>
        <v>0</v>
      </c>
      <c r="O108" s="164">
        <f t="shared" si="322"/>
        <v>0</v>
      </c>
      <c r="P108" s="164">
        <f t="shared" si="322"/>
        <v>0</v>
      </c>
      <c r="Q108" s="164">
        <f t="shared" si="322"/>
        <v>0</v>
      </c>
      <c r="R108" s="164">
        <f t="shared" si="322"/>
        <v>0</v>
      </c>
      <c r="S108" s="164">
        <f t="shared" si="322"/>
        <v>0</v>
      </c>
      <c r="T108" s="164">
        <f t="shared" si="322"/>
        <v>0</v>
      </c>
      <c r="U108" s="164">
        <f t="shared" si="322"/>
        <v>0</v>
      </c>
      <c r="V108" s="164">
        <f t="shared" si="322"/>
        <v>0</v>
      </c>
      <c r="W108" s="164">
        <f t="shared" si="322"/>
        <v>0</v>
      </c>
      <c r="X108" s="164">
        <f t="shared" si="322"/>
        <v>0</v>
      </c>
      <c r="Y108" s="164">
        <f t="shared" si="322"/>
        <v>0</v>
      </c>
      <c r="Z108" s="164">
        <f t="shared" si="322"/>
        <v>0</v>
      </c>
      <c r="AA108" s="164">
        <f t="shared" si="322"/>
        <v>0</v>
      </c>
      <c r="AB108" s="164">
        <f t="shared" si="322"/>
        <v>0</v>
      </c>
      <c r="AC108" s="164">
        <f t="shared" si="322"/>
        <v>0</v>
      </c>
      <c r="AD108" s="164">
        <f t="shared" si="322"/>
        <v>0</v>
      </c>
      <c r="AE108" s="164">
        <f t="shared" si="322"/>
        <v>0</v>
      </c>
      <c r="AF108" s="164">
        <f t="shared" si="322"/>
        <v>0</v>
      </c>
      <c r="AG108" s="164">
        <f t="shared" si="322"/>
        <v>0</v>
      </c>
      <c r="AH108" s="164">
        <f t="shared" si="322"/>
        <v>0</v>
      </c>
      <c r="AI108" s="164">
        <f t="shared" si="322"/>
        <v>0</v>
      </c>
      <c r="AJ108" s="164">
        <f t="shared" si="322"/>
        <v>0</v>
      </c>
      <c r="AK108" s="164">
        <f t="shared" si="322"/>
        <v>0</v>
      </c>
      <c r="AL108" s="164">
        <f t="shared" si="322"/>
        <v>0</v>
      </c>
      <c r="AM108" s="164">
        <f t="shared" si="322"/>
        <v>0</v>
      </c>
      <c r="AN108" s="164">
        <f t="shared" si="322"/>
        <v>0</v>
      </c>
      <c r="AO108" s="164">
        <f t="shared" si="322"/>
        <v>0</v>
      </c>
      <c r="AP108" s="164">
        <f t="shared" si="322"/>
        <v>0</v>
      </c>
      <c r="AQ108" s="164">
        <f t="shared" si="322"/>
        <v>0</v>
      </c>
      <c r="AR108" s="164">
        <f t="shared" si="322"/>
        <v>0</v>
      </c>
      <c r="AS108" s="164">
        <f t="shared" si="322"/>
        <v>0</v>
      </c>
      <c r="AT108" s="164">
        <f t="shared" si="322"/>
        <v>0</v>
      </c>
      <c r="AU108" s="164">
        <f t="shared" si="322"/>
        <v>0</v>
      </c>
      <c r="AV108" s="164">
        <f t="shared" si="322"/>
        <v>0</v>
      </c>
      <c r="AW108" s="164">
        <f t="shared" si="322"/>
        <v>0</v>
      </c>
      <c r="AX108" s="164">
        <f t="shared" si="322"/>
        <v>0</v>
      </c>
      <c r="AY108" s="164">
        <f t="shared" si="322"/>
        <v>0</v>
      </c>
      <c r="AZ108" s="164">
        <f t="shared" si="322"/>
        <v>0</v>
      </c>
      <c r="BA108" s="164">
        <f t="shared" si="322"/>
        <v>0</v>
      </c>
      <c r="BB108" s="164">
        <f t="shared" si="322"/>
        <v>0</v>
      </c>
      <c r="BC108" s="164">
        <f t="shared" si="322"/>
        <v>0</v>
      </c>
      <c r="BD108" s="164">
        <f t="shared" si="322"/>
        <v>0</v>
      </c>
      <c r="BE108" s="164">
        <f t="shared" si="322"/>
        <v>0</v>
      </c>
      <c r="BF108" s="164">
        <f t="shared" si="322"/>
        <v>0</v>
      </c>
      <c r="BG108" s="164">
        <f t="shared" si="322"/>
        <v>0</v>
      </c>
      <c r="BH108" s="164">
        <f t="shared" si="322"/>
        <v>0</v>
      </c>
      <c r="BI108" s="164">
        <f t="shared" si="322"/>
        <v>0</v>
      </c>
      <c r="BJ108" s="164">
        <f t="shared" si="322"/>
        <v>0</v>
      </c>
      <c r="BK108" s="33">
        <f t="shared" si="322"/>
        <v>0</v>
      </c>
    </row>
    <row r="109" spans="9:63">
      <c r="I109" s="31">
        <v>30</v>
      </c>
      <c r="L109" s="225">
        <f t="shared" si="317"/>
        <v>0</v>
      </c>
      <c r="M109" s="164">
        <f t="shared" si="322"/>
        <v>0</v>
      </c>
      <c r="N109" s="164">
        <f t="shared" si="322"/>
        <v>0</v>
      </c>
      <c r="O109" s="164">
        <f t="shared" si="322"/>
        <v>0</v>
      </c>
      <c r="P109" s="164">
        <f t="shared" si="322"/>
        <v>0</v>
      </c>
      <c r="Q109" s="164">
        <f t="shared" si="322"/>
        <v>0</v>
      </c>
      <c r="R109" s="164">
        <f t="shared" si="322"/>
        <v>0</v>
      </c>
      <c r="S109" s="164">
        <f t="shared" si="322"/>
        <v>0</v>
      </c>
      <c r="T109" s="164">
        <f t="shared" si="322"/>
        <v>0</v>
      </c>
      <c r="U109" s="164">
        <f t="shared" si="322"/>
        <v>0</v>
      </c>
      <c r="V109" s="164">
        <f t="shared" si="322"/>
        <v>0</v>
      </c>
      <c r="W109" s="164">
        <f t="shared" si="322"/>
        <v>0</v>
      </c>
      <c r="X109" s="164">
        <f t="shared" si="322"/>
        <v>0</v>
      </c>
      <c r="Y109" s="164">
        <f t="shared" si="322"/>
        <v>0</v>
      </c>
      <c r="Z109" s="164">
        <f t="shared" si="322"/>
        <v>0</v>
      </c>
      <c r="AA109" s="164">
        <f t="shared" si="322"/>
        <v>0</v>
      </c>
      <c r="AB109" s="164">
        <f t="shared" si="322"/>
        <v>0</v>
      </c>
      <c r="AC109" s="164">
        <f t="shared" si="322"/>
        <v>0</v>
      </c>
      <c r="AD109" s="164">
        <f t="shared" si="322"/>
        <v>0</v>
      </c>
      <c r="AE109" s="164">
        <f t="shared" si="322"/>
        <v>0</v>
      </c>
      <c r="AF109" s="164">
        <f t="shared" si="322"/>
        <v>0</v>
      </c>
      <c r="AG109" s="164">
        <f t="shared" si="322"/>
        <v>0</v>
      </c>
      <c r="AH109" s="164">
        <f t="shared" si="322"/>
        <v>0</v>
      </c>
      <c r="AI109" s="164">
        <f t="shared" si="322"/>
        <v>0</v>
      </c>
      <c r="AJ109" s="164">
        <f t="shared" si="322"/>
        <v>0</v>
      </c>
      <c r="AK109" s="164">
        <f t="shared" si="322"/>
        <v>0</v>
      </c>
      <c r="AL109" s="164">
        <f t="shared" si="322"/>
        <v>0</v>
      </c>
      <c r="AM109" s="164">
        <f t="shared" si="322"/>
        <v>0</v>
      </c>
      <c r="AN109" s="164">
        <f t="shared" si="322"/>
        <v>0</v>
      </c>
      <c r="AO109" s="164">
        <f t="shared" si="322"/>
        <v>0</v>
      </c>
      <c r="AP109" s="164">
        <f t="shared" si="322"/>
        <v>0</v>
      </c>
      <c r="AQ109" s="164">
        <f t="shared" si="322"/>
        <v>0</v>
      </c>
      <c r="AR109" s="164">
        <f t="shared" si="322"/>
        <v>0</v>
      </c>
      <c r="AS109" s="164">
        <f t="shared" si="322"/>
        <v>0</v>
      </c>
      <c r="AT109" s="164">
        <f t="shared" si="322"/>
        <v>0</v>
      </c>
      <c r="AU109" s="164">
        <f t="shared" si="322"/>
        <v>0</v>
      </c>
      <c r="AV109" s="164">
        <f t="shared" si="322"/>
        <v>0</v>
      </c>
      <c r="AW109" s="164">
        <f t="shared" si="322"/>
        <v>0</v>
      </c>
      <c r="AX109" s="164">
        <f t="shared" si="322"/>
        <v>0</v>
      </c>
      <c r="AY109" s="164">
        <f t="shared" si="322"/>
        <v>0</v>
      </c>
      <c r="AZ109" s="164">
        <f t="shared" si="322"/>
        <v>0</v>
      </c>
      <c r="BA109" s="164">
        <f t="shared" si="322"/>
        <v>0</v>
      </c>
      <c r="BB109" s="164">
        <f t="shared" si="322"/>
        <v>0</v>
      </c>
      <c r="BC109" s="164">
        <f t="shared" si="322"/>
        <v>0</v>
      </c>
      <c r="BD109" s="164">
        <f t="shared" si="322"/>
        <v>0</v>
      </c>
      <c r="BE109" s="164">
        <f t="shared" si="322"/>
        <v>0</v>
      </c>
      <c r="BF109" s="164">
        <f t="shared" si="322"/>
        <v>0</v>
      </c>
      <c r="BG109" s="164">
        <f t="shared" si="322"/>
        <v>0</v>
      </c>
      <c r="BH109" s="164">
        <f t="shared" si="322"/>
        <v>0</v>
      </c>
      <c r="BI109" s="164">
        <f t="shared" si="322"/>
        <v>0</v>
      </c>
      <c r="BJ109" s="164">
        <f t="shared" si="322"/>
        <v>0</v>
      </c>
      <c r="BK109" s="33">
        <f t="shared" si="322"/>
        <v>0</v>
      </c>
    </row>
    <row r="110" spans="9:63">
      <c r="I110" s="31">
        <v>31</v>
      </c>
      <c r="L110" s="225">
        <f t="shared" si="317"/>
        <v>0</v>
      </c>
      <c r="M110" s="164">
        <f t="shared" si="322"/>
        <v>0</v>
      </c>
      <c r="N110" s="164">
        <f t="shared" si="322"/>
        <v>0</v>
      </c>
      <c r="O110" s="164">
        <f t="shared" si="322"/>
        <v>0</v>
      </c>
      <c r="P110" s="164">
        <f t="shared" si="322"/>
        <v>0</v>
      </c>
      <c r="Q110" s="164">
        <f t="shared" si="322"/>
        <v>0</v>
      </c>
      <c r="R110" s="164">
        <f t="shared" si="322"/>
        <v>0</v>
      </c>
      <c r="S110" s="164">
        <f t="shared" si="322"/>
        <v>0</v>
      </c>
      <c r="T110" s="164">
        <f t="shared" si="322"/>
        <v>0</v>
      </c>
      <c r="U110" s="164">
        <f t="shared" si="322"/>
        <v>0</v>
      </c>
      <c r="V110" s="164">
        <f t="shared" si="322"/>
        <v>0</v>
      </c>
      <c r="W110" s="164">
        <f t="shared" si="322"/>
        <v>0</v>
      </c>
      <c r="X110" s="164">
        <f t="shared" si="322"/>
        <v>0</v>
      </c>
      <c r="Y110" s="164">
        <f t="shared" si="322"/>
        <v>0</v>
      </c>
      <c r="Z110" s="164">
        <f t="shared" si="322"/>
        <v>0</v>
      </c>
      <c r="AA110" s="164">
        <f t="shared" si="322"/>
        <v>0</v>
      </c>
      <c r="AB110" s="164">
        <f t="shared" ref="M110:BK115" si="323">IF($I110&lt;=AB$74,AA110+1,)</f>
        <v>0</v>
      </c>
      <c r="AC110" s="164">
        <f t="shared" si="323"/>
        <v>0</v>
      </c>
      <c r="AD110" s="164">
        <f t="shared" si="323"/>
        <v>0</v>
      </c>
      <c r="AE110" s="164">
        <f t="shared" si="323"/>
        <v>0</v>
      </c>
      <c r="AF110" s="164">
        <f t="shared" si="323"/>
        <v>0</v>
      </c>
      <c r="AG110" s="164">
        <f t="shared" si="323"/>
        <v>0</v>
      </c>
      <c r="AH110" s="164">
        <f t="shared" si="323"/>
        <v>0</v>
      </c>
      <c r="AI110" s="164">
        <f t="shared" si="323"/>
        <v>0</v>
      </c>
      <c r="AJ110" s="164">
        <f t="shared" si="323"/>
        <v>0</v>
      </c>
      <c r="AK110" s="164">
        <f t="shared" si="323"/>
        <v>0</v>
      </c>
      <c r="AL110" s="164">
        <f t="shared" si="323"/>
        <v>0</v>
      </c>
      <c r="AM110" s="164">
        <f t="shared" si="323"/>
        <v>0</v>
      </c>
      <c r="AN110" s="164">
        <f t="shared" si="323"/>
        <v>0</v>
      </c>
      <c r="AO110" s="164">
        <f t="shared" si="323"/>
        <v>0</v>
      </c>
      <c r="AP110" s="164">
        <f t="shared" si="323"/>
        <v>0</v>
      </c>
      <c r="AQ110" s="164">
        <f t="shared" si="323"/>
        <v>0</v>
      </c>
      <c r="AR110" s="164">
        <f t="shared" si="323"/>
        <v>0</v>
      </c>
      <c r="AS110" s="164">
        <f t="shared" si="323"/>
        <v>0</v>
      </c>
      <c r="AT110" s="164">
        <f t="shared" si="323"/>
        <v>0</v>
      </c>
      <c r="AU110" s="164">
        <f t="shared" si="323"/>
        <v>0</v>
      </c>
      <c r="AV110" s="164">
        <f t="shared" si="323"/>
        <v>0</v>
      </c>
      <c r="AW110" s="164">
        <f t="shared" si="323"/>
        <v>0</v>
      </c>
      <c r="AX110" s="164">
        <f t="shared" si="323"/>
        <v>0</v>
      </c>
      <c r="AY110" s="164">
        <f t="shared" si="323"/>
        <v>0</v>
      </c>
      <c r="AZ110" s="164">
        <f t="shared" si="323"/>
        <v>0</v>
      </c>
      <c r="BA110" s="164">
        <f t="shared" si="323"/>
        <v>0</v>
      </c>
      <c r="BB110" s="164">
        <f t="shared" si="323"/>
        <v>0</v>
      </c>
      <c r="BC110" s="164">
        <f t="shared" si="323"/>
        <v>0</v>
      </c>
      <c r="BD110" s="164">
        <f t="shared" si="323"/>
        <v>0</v>
      </c>
      <c r="BE110" s="164">
        <f t="shared" si="323"/>
        <v>0</v>
      </c>
      <c r="BF110" s="164">
        <f t="shared" si="323"/>
        <v>0</v>
      </c>
      <c r="BG110" s="164">
        <f t="shared" si="323"/>
        <v>0</v>
      </c>
      <c r="BH110" s="164">
        <f t="shared" si="323"/>
        <v>0</v>
      </c>
      <c r="BI110" s="164">
        <f t="shared" si="323"/>
        <v>0</v>
      </c>
      <c r="BJ110" s="164">
        <f t="shared" si="323"/>
        <v>0</v>
      </c>
      <c r="BK110" s="33">
        <f t="shared" si="323"/>
        <v>0</v>
      </c>
    </row>
    <row r="111" spans="9:63">
      <c r="I111" s="31">
        <v>32</v>
      </c>
      <c r="L111" s="225">
        <f t="shared" si="317"/>
        <v>0</v>
      </c>
      <c r="M111" s="164">
        <f t="shared" si="323"/>
        <v>0</v>
      </c>
      <c r="N111" s="164">
        <f t="shared" si="323"/>
        <v>0</v>
      </c>
      <c r="O111" s="164">
        <f t="shared" si="323"/>
        <v>0</v>
      </c>
      <c r="P111" s="164">
        <f t="shared" si="323"/>
        <v>0</v>
      </c>
      <c r="Q111" s="164">
        <f t="shared" si="323"/>
        <v>0</v>
      </c>
      <c r="R111" s="164">
        <f t="shared" si="323"/>
        <v>0</v>
      </c>
      <c r="S111" s="164">
        <f t="shared" si="323"/>
        <v>0</v>
      </c>
      <c r="T111" s="164">
        <f t="shared" si="323"/>
        <v>0</v>
      </c>
      <c r="U111" s="164">
        <f t="shared" si="323"/>
        <v>0</v>
      </c>
      <c r="V111" s="164">
        <f t="shared" si="323"/>
        <v>0</v>
      </c>
      <c r="W111" s="164">
        <f t="shared" si="323"/>
        <v>0</v>
      </c>
      <c r="X111" s="164">
        <f t="shared" si="323"/>
        <v>0</v>
      </c>
      <c r="Y111" s="164">
        <f t="shared" si="323"/>
        <v>0</v>
      </c>
      <c r="Z111" s="164">
        <f t="shared" si="323"/>
        <v>0</v>
      </c>
      <c r="AA111" s="164">
        <f t="shared" si="323"/>
        <v>0</v>
      </c>
      <c r="AB111" s="164">
        <f t="shared" si="323"/>
        <v>0</v>
      </c>
      <c r="AC111" s="164">
        <f t="shared" si="323"/>
        <v>0</v>
      </c>
      <c r="AD111" s="164">
        <f t="shared" si="323"/>
        <v>0</v>
      </c>
      <c r="AE111" s="164">
        <f t="shared" si="323"/>
        <v>0</v>
      </c>
      <c r="AF111" s="164">
        <f t="shared" si="323"/>
        <v>0</v>
      </c>
      <c r="AG111" s="164">
        <f t="shared" si="323"/>
        <v>0</v>
      </c>
      <c r="AH111" s="164">
        <f t="shared" si="323"/>
        <v>0</v>
      </c>
      <c r="AI111" s="164">
        <f t="shared" si="323"/>
        <v>0</v>
      </c>
      <c r="AJ111" s="164">
        <f t="shared" si="323"/>
        <v>0</v>
      </c>
      <c r="AK111" s="164">
        <f t="shared" si="323"/>
        <v>0</v>
      </c>
      <c r="AL111" s="164">
        <f t="shared" si="323"/>
        <v>0</v>
      </c>
      <c r="AM111" s="164">
        <f t="shared" si="323"/>
        <v>0</v>
      </c>
      <c r="AN111" s="164">
        <f t="shared" si="323"/>
        <v>0</v>
      </c>
      <c r="AO111" s="164">
        <f t="shared" si="323"/>
        <v>0</v>
      </c>
      <c r="AP111" s="164">
        <f t="shared" si="323"/>
        <v>0</v>
      </c>
      <c r="AQ111" s="164">
        <f t="shared" si="323"/>
        <v>0</v>
      </c>
      <c r="AR111" s="164">
        <f t="shared" si="323"/>
        <v>0</v>
      </c>
      <c r="AS111" s="164">
        <f t="shared" si="323"/>
        <v>0</v>
      </c>
      <c r="AT111" s="164">
        <f t="shared" si="323"/>
        <v>0</v>
      </c>
      <c r="AU111" s="164">
        <f t="shared" si="323"/>
        <v>0</v>
      </c>
      <c r="AV111" s="164">
        <f t="shared" si="323"/>
        <v>0</v>
      </c>
      <c r="AW111" s="164">
        <f t="shared" si="323"/>
        <v>0</v>
      </c>
      <c r="AX111" s="164">
        <f t="shared" si="323"/>
        <v>0</v>
      </c>
      <c r="AY111" s="164">
        <f t="shared" si="323"/>
        <v>0</v>
      </c>
      <c r="AZ111" s="164">
        <f t="shared" si="323"/>
        <v>0</v>
      </c>
      <c r="BA111" s="164">
        <f t="shared" si="323"/>
        <v>0</v>
      </c>
      <c r="BB111" s="164">
        <f t="shared" si="323"/>
        <v>0</v>
      </c>
      <c r="BC111" s="164">
        <f t="shared" si="323"/>
        <v>0</v>
      </c>
      <c r="BD111" s="164">
        <f t="shared" si="323"/>
        <v>0</v>
      </c>
      <c r="BE111" s="164">
        <f t="shared" si="323"/>
        <v>0</v>
      </c>
      <c r="BF111" s="164">
        <f t="shared" si="323"/>
        <v>0</v>
      </c>
      <c r="BG111" s="164">
        <f t="shared" si="323"/>
        <v>0</v>
      </c>
      <c r="BH111" s="164">
        <f t="shared" si="323"/>
        <v>0</v>
      </c>
      <c r="BI111" s="164">
        <f t="shared" si="323"/>
        <v>0</v>
      </c>
      <c r="BJ111" s="164">
        <f t="shared" si="323"/>
        <v>0</v>
      </c>
      <c r="BK111" s="33">
        <f t="shared" si="323"/>
        <v>0</v>
      </c>
    </row>
    <row r="112" spans="9:63">
      <c r="I112" s="31">
        <v>33</v>
      </c>
      <c r="L112" s="225">
        <f t="shared" si="317"/>
        <v>0</v>
      </c>
      <c r="M112" s="164">
        <f t="shared" si="323"/>
        <v>0</v>
      </c>
      <c r="N112" s="164">
        <f t="shared" si="323"/>
        <v>0</v>
      </c>
      <c r="O112" s="164">
        <f t="shared" si="323"/>
        <v>0</v>
      </c>
      <c r="P112" s="164">
        <f t="shared" si="323"/>
        <v>0</v>
      </c>
      <c r="Q112" s="164">
        <f t="shared" si="323"/>
        <v>0</v>
      </c>
      <c r="R112" s="164">
        <f t="shared" si="323"/>
        <v>0</v>
      </c>
      <c r="S112" s="164">
        <f t="shared" si="323"/>
        <v>0</v>
      </c>
      <c r="T112" s="164">
        <f t="shared" si="323"/>
        <v>0</v>
      </c>
      <c r="U112" s="164">
        <f t="shared" si="323"/>
        <v>0</v>
      </c>
      <c r="V112" s="164">
        <f t="shared" si="323"/>
        <v>0</v>
      </c>
      <c r="W112" s="164">
        <f t="shared" si="323"/>
        <v>0</v>
      </c>
      <c r="X112" s="164">
        <f t="shared" si="323"/>
        <v>0</v>
      </c>
      <c r="Y112" s="164">
        <f t="shared" si="323"/>
        <v>0</v>
      </c>
      <c r="Z112" s="164">
        <f t="shared" si="323"/>
        <v>0</v>
      </c>
      <c r="AA112" s="164">
        <f t="shared" si="323"/>
        <v>0</v>
      </c>
      <c r="AB112" s="164">
        <f t="shared" si="323"/>
        <v>0</v>
      </c>
      <c r="AC112" s="164">
        <f t="shared" si="323"/>
        <v>0</v>
      </c>
      <c r="AD112" s="164">
        <f t="shared" si="323"/>
        <v>0</v>
      </c>
      <c r="AE112" s="164">
        <f t="shared" si="323"/>
        <v>0</v>
      </c>
      <c r="AF112" s="164">
        <f t="shared" si="323"/>
        <v>0</v>
      </c>
      <c r="AG112" s="164">
        <f t="shared" si="323"/>
        <v>0</v>
      </c>
      <c r="AH112" s="164">
        <f t="shared" si="323"/>
        <v>0</v>
      </c>
      <c r="AI112" s="164">
        <f t="shared" si="323"/>
        <v>0</v>
      </c>
      <c r="AJ112" s="164">
        <f t="shared" si="323"/>
        <v>0</v>
      </c>
      <c r="AK112" s="164">
        <f t="shared" si="323"/>
        <v>0</v>
      </c>
      <c r="AL112" s="164">
        <f t="shared" si="323"/>
        <v>0</v>
      </c>
      <c r="AM112" s="164">
        <f t="shared" si="323"/>
        <v>0</v>
      </c>
      <c r="AN112" s="164">
        <f t="shared" si="323"/>
        <v>0</v>
      </c>
      <c r="AO112" s="164">
        <f t="shared" si="323"/>
        <v>0</v>
      </c>
      <c r="AP112" s="164">
        <f t="shared" si="323"/>
        <v>0</v>
      </c>
      <c r="AQ112" s="164">
        <f t="shared" si="323"/>
        <v>0</v>
      </c>
      <c r="AR112" s="164">
        <f t="shared" si="323"/>
        <v>0</v>
      </c>
      <c r="AS112" s="164">
        <f t="shared" si="323"/>
        <v>0</v>
      </c>
      <c r="AT112" s="164">
        <f t="shared" si="323"/>
        <v>0</v>
      </c>
      <c r="AU112" s="164">
        <f t="shared" si="323"/>
        <v>0</v>
      </c>
      <c r="AV112" s="164">
        <f t="shared" si="323"/>
        <v>0</v>
      </c>
      <c r="AW112" s="164">
        <f t="shared" si="323"/>
        <v>0</v>
      </c>
      <c r="AX112" s="164">
        <f t="shared" si="323"/>
        <v>0</v>
      </c>
      <c r="AY112" s="164">
        <f t="shared" si="323"/>
        <v>0</v>
      </c>
      <c r="AZ112" s="164">
        <f t="shared" si="323"/>
        <v>0</v>
      </c>
      <c r="BA112" s="164">
        <f t="shared" si="323"/>
        <v>0</v>
      </c>
      <c r="BB112" s="164">
        <f t="shared" si="323"/>
        <v>0</v>
      </c>
      <c r="BC112" s="164">
        <f t="shared" si="323"/>
        <v>0</v>
      </c>
      <c r="BD112" s="164">
        <f t="shared" si="323"/>
        <v>0</v>
      </c>
      <c r="BE112" s="164">
        <f t="shared" si="323"/>
        <v>0</v>
      </c>
      <c r="BF112" s="164">
        <f t="shared" si="323"/>
        <v>0</v>
      </c>
      <c r="BG112" s="164">
        <f t="shared" si="323"/>
        <v>0</v>
      </c>
      <c r="BH112" s="164">
        <f t="shared" si="323"/>
        <v>0</v>
      </c>
      <c r="BI112" s="164">
        <f t="shared" si="323"/>
        <v>0</v>
      </c>
      <c r="BJ112" s="164">
        <f t="shared" si="323"/>
        <v>0</v>
      </c>
      <c r="BK112" s="33">
        <f t="shared" si="323"/>
        <v>0</v>
      </c>
    </row>
    <row r="113" spans="9:63">
      <c r="I113" s="31">
        <v>34</v>
      </c>
      <c r="L113" s="225">
        <f t="shared" si="317"/>
        <v>0</v>
      </c>
      <c r="M113" s="164">
        <f t="shared" si="323"/>
        <v>0</v>
      </c>
      <c r="N113" s="164">
        <f t="shared" si="323"/>
        <v>0</v>
      </c>
      <c r="O113" s="164">
        <f t="shared" si="323"/>
        <v>0</v>
      </c>
      <c r="P113" s="164">
        <f t="shared" si="323"/>
        <v>0</v>
      </c>
      <c r="Q113" s="164">
        <f t="shared" si="323"/>
        <v>0</v>
      </c>
      <c r="R113" s="164">
        <f t="shared" si="323"/>
        <v>0</v>
      </c>
      <c r="S113" s="164">
        <f t="shared" si="323"/>
        <v>0</v>
      </c>
      <c r="T113" s="164">
        <f t="shared" si="323"/>
        <v>0</v>
      </c>
      <c r="U113" s="164">
        <f t="shared" si="323"/>
        <v>0</v>
      </c>
      <c r="V113" s="164">
        <f t="shared" si="323"/>
        <v>0</v>
      </c>
      <c r="W113" s="164">
        <f t="shared" si="323"/>
        <v>0</v>
      </c>
      <c r="X113" s="164">
        <f t="shared" si="323"/>
        <v>0</v>
      </c>
      <c r="Y113" s="164">
        <f t="shared" si="323"/>
        <v>0</v>
      </c>
      <c r="Z113" s="164">
        <f t="shared" si="323"/>
        <v>0</v>
      </c>
      <c r="AA113" s="164">
        <f t="shared" si="323"/>
        <v>0</v>
      </c>
      <c r="AB113" s="164">
        <f t="shared" si="323"/>
        <v>0</v>
      </c>
      <c r="AC113" s="164">
        <f t="shared" si="323"/>
        <v>0</v>
      </c>
      <c r="AD113" s="164">
        <f t="shared" si="323"/>
        <v>0</v>
      </c>
      <c r="AE113" s="164">
        <f t="shared" si="323"/>
        <v>0</v>
      </c>
      <c r="AF113" s="164">
        <f t="shared" si="323"/>
        <v>0</v>
      </c>
      <c r="AG113" s="164">
        <f t="shared" si="323"/>
        <v>0</v>
      </c>
      <c r="AH113" s="164">
        <f t="shared" si="323"/>
        <v>0</v>
      </c>
      <c r="AI113" s="164">
        <f t="shared" si="323"/>
        <v>0</v>
      </c>
      <c r="AJ113" s="164">
        <f t="shared" si="323"/>
        <v>0</v>
      </c>
      <c r="AK113" s="164">
        <f t="shared" si="323"/>
        <v>0</v>
      </c>
      <c r="AL113" s="164">
        <f t="shared" si="323"/>
        <v>0</v>
      </c>
      <c r="AM113" s="164">
        <f t="shared" si="323"/>
        <v>0</v>
      </c>
      <c r="AN113" s="164">
        <f t="shared" si="323"/>
        <v>0</v>
      </c>
      <c r="AO113" s="164">
        <f t="shared" si="323"/>
        <v>0</v>
      </c>
      <c r="AP113" s="164">
        <f t="shared" si="323"/>
        <v>0</v>
      </c>
      <c r="AQ113" s="164">
        <f t="shared" si="323"/>
        <v>0</v>
      </c>
      <c r="AR113" s="164">
        <f t="shared" si="323"/>
        <v>0</v>
      </c>
      <c r="AS113" s="164">
        <f t="shared" si="323"/>
        <v>0</v>
      </c>
      <c r="AT113" s="164">
        <f t="shared" si="323"/>
        <v>0</v>
      </c>
      <c r="AU113" s="164">
        <f t="shared" si="323"/>
        <v>0</v>
      </c>
      <c r="AV113" s="164">
        <f t="shared" si="323"/>
        <v>0</v>
      </c>
      <c r="AW113" s="164">
        <f t="shared" si="323"/>
        <v>0</v>
      </c>
      <c r="AX113" s="164">
        <f t="shared" si="323"/>
        <v>0</v>
      </c>
      <c r="AY113" s="164">
        <f t="shared" si="323"/>
        <v>0</v>
      </c>
      <c r="AZ113" s="164">
        <f t="shared" si="323"/>
        <v>0</v>
      </c>
      <c r="BA113" s="164">
        <f t="shared" si="323"/>
        <v>0</v>
      </c>
      <c r="BB113" s="164">
        <f t="shared" si="323"/>
        <v>0</v>
      </c>
      <c r="BC113" s="164">
        <f t="shared" si="323"/>
        <v>0</v>
      </c>
      <c r="BD113" s="164">
        <f t="shared" si="323"/>
        <v>0</v>
      </c>
      <c r="BE113" s="164">
        <f t="shared" si="323"/>
        <v>0</v>
      </c>
      <c r="BF113" s="164">
        <f t="shared" si="323"/>
        <v>0</v>
      </c>
      <c r="BG113" s="164">
        <f t="shared" si="323"/>
        <v>0</v>
      </c>
      <c r="BH113" s="164">
        <f t="shared" si="323"/>
        <v>0</v>
      </c>
      <c r="BI113" s="164">
        <f t="shared" si="323"/>
        <v>0</v>
      </c>
      <c r="BJ113" s="164">
        <f t="shared" si="323"/>
        <v>0</v>
      </c>
      <c r="BK113" s="33">
        <f t="shared" si="323"/>
        <v>0</v>
      </c>
    </row>
    <row r="114" spans="9:63">
      <c r="I114" s="31">
        <v>35</v>
      </c>
      <c r="L114" s="225">
        <f t="shared" si="317"/>
        <v>0</v>
      </c>
      <c r="M114" s="164">
        <f t="shared" si="323"/>
        <v>0</v>
      </c>
      <c r="N114" s="164">
        <f t="shared" si="323"/>
        <v>0</v>
      </c>
      <c r="O114" s="164">
        <f t="shared" si="323"/>
        <v>0</v>
      </c>
      <c r="P114" s="164">
        <f t="shared" si="323"/>
        <v>0</v>
      </c>
      <c r="Q114" s="164">
        <f t="shared" si="323"/>
        <v>0</v>
      </c>
      <c r="R114" s="164">
        <f t="shared" si="323"/>
        <v>0</v>
      </c>
      <c r="S114" s="164">
        <f t="shared" si="323"/>
        <v>0</v>
      </c>
      <c r="T114" s="164">
        <f t="shared" si="323"/>
        <v>0</v>
      </c>
      <c r="U114" s="164">
        <f t="shared" si="323"/>
        <v>0</v>
      </c>
      <c r="V114" s="164">
        <f t="shared" si="323"/>
        <v>0</v>
      </c>
      <c r="W114" s="164">
        <f t="shared" si="323"/>
        <v>0</v>
      </c>
      <c r="X114" s="164">
        <f t="shared" si="323"/>
        <v>0</v>
      </c>
      <c r="Y114" s="164">
        <f t="shared" si="323"/>
        <v>0</v>
      </c>
      <c r="Z114" s="164">
        <f t="shared" si="323"/>
        <v>0</v>
      </c>
      <c r="AA114" s="164">
        <f t="shared" si="323"/>
        <v>0</v>
      </c>
      <c r="AB114" s="164">
        <f t="shared" si="323"/>
        <v>0</v>
      </c>
      <c r="AC114" s="164">
        <f t="shared" si="323"/>
        <v>0</v>
      </c>
      <c r="AD114" s="164">
        <f t="shared" si="323"/>
        <v>0</v>
      </c>
      <c r="AE114" s="164">
        <f t="shared" si="323"/>
        <v>0</v>
      </c>
      <c r="AF114" s="164">
        <f t="shared" si="323"/>
        <v>0</v>
      </c>
      <c r="AG114" s="164">
        <f t="shared" si="323"/>
        <v>0</v>
      </c>
      <c r="AH114" s="164">
        <f t="shared" si="323"/>
        <v>0</v>
      </c>
      <c r="AI114" s="164">
        <f t="shared" si="323"/>
        <v>0</v>
      </c>
      <c r="AJ114" s="164">
        <f t="shared" si="323"/>
        <v>0</v>
      </c>
      <c r="AK114" s="164">
        <f t="shared" si="323"/>
        <v>0</v>
      </c>
      <c r="AL114" s="164">
        <f t="shared" si="323"/>
        <v>0</v>
      </c>
      <c r="AM114" s="164">
        <f t="shared" si="323"/>
        <v>0</v>
      </c>
      <c r="AN114" s="164">
        <f t="shared" si="323"/>
        <v>0</v>
      </c>
      <c r="AO114" s="164">
        <f t="shared" si="323"/>
        <v>0</v>
      </c>
      <c r="AP114" s="164">
        <f t="shared" si="323"/>
        <v>0</v>
      </c>
      <c r="AQ114" s="164">
        <f t="shared" si="323"/>
        <v>0</v>
      </c>
      <c r="AR114" s="164">
        <f t="shared" si="323"/>
        <v>0</v>
      </c>
      <c r="AS114" s="164">
        <f t="shared" si="323"/>
        <v>0</v>
      </c>
      <c r="AT114" s="164">
        <f t="shared" si="323"/>
        <v>0</v>
      </c>
      <c r="AU114" s="164">
        <f t="shared" si="323"/>
        <v>0</v>
      </c>
      <c r="AV114" s="164">
        <f t="shared" si="323"/>
        <v>0</v>
      </c>
      <c r="AW114" s="164">
        <f t="shared" si="323"/>
        <v>0</v>
      </c>
      <c r="AX114" s="164">
        <f t="shared" si="323"/>
        <v>0</v>
      </c>
      <c r="AY114" s="164">
        <f t="shared" si="323"/>
        <v>0</v>
      </c>
      <c r="AZ114" s="164">
        <f t="shared" si="323"/>
        <v>0</v>
      </c>
      <c r="BA114" s="164">
        <f t="shared" si="323"/>
        <v>0</v>
      </c>
      <c r="BB114" s="164">
        <f t="shared" si="323"/>
        <v>0</v>
      </c>
      <c r="BC114" s="164">
        <f t="shared" si="323"/>
        <v>0</v>
      </c>
      <c r="BD114" s="164">
        <f t="shared" si="323"/>
        <v>0</v>
      </c>
      <c r="BE114" s="164">
        <f t="shared" si="323"/>
        <v>0</v>
      </c>
      <c r="BF114" s="164">
        <f t="shared" si="323"/>
        <v>0</v>
      </c>
      <c r="BG114" s="164">
        <f t="shared" si="323"/>
        <v>0</v>
      </c>
      <c r="BH114" s="164">
        <f t="shared" si="323"/>
        <v>0</v>
      </c>
      <c r="BI114" s="164">
        <f t="shared" si="323"/>
        <v>0</v>
      </c>
      <c r="BJ114" s="164">
        <f t="shared" si="323"/>
        <v>0</v>
      </c>
      <c r="BK114" s="33">
        <f t="shared" si="323"/>
        <v>0</v>
      </c>
    </row>
    <row r="115" spans="9:63">
      <c r="I115" s="31">
        <v>36</v>
      </c>
      <c r="L115" s="225">
        <f t="shared" si="317"/>
        <v>0</v>
      </c>
      <c r="M115" s="164">
        <f t="shared" si="323"/>
        <v>0</v>
      </c>
      <c r="N115" s="164">
        <f t="shared" si="323"/>
        <v>0</v>
      </c>
      <c r="O115" s="164">
        <f t="shared" si="323"/>
        <v>0</v>
      </c>
      <c r="P115" s="164">
        <f t="shared" si="323"/>
        <v>0</v>
      </c>
      <c r="Q115" s="164">
        <f t="shared" si="323"/>
        <v>0</v>
      </c>
      <c r="R115" s="164">
        <f t="shared" si="323"/>
        <v>0</v>
      </c>
      <c r="S115" s="164">
        <f t="shared" si="323"/>
        <v>0</v>
      </c>
      <c r="T115" s="164">
        <f t="shared" si="323"/>
        <v>0</v>
      </c>
      <c r="U115" s="164">
        <f t="shared" si="323"/>
        <v>0</v>
      </c>
      <c r="V115" s="164">
        <f t="shared" si="323"/>
        <v>0</v>
      </c>
      <c r="W115" s="164">
        <f t="shared" si="323"/>
        <v>0</v>
      </c>
      <c r="X115" s="164">
        <f t="shared" si="323"/>
        <v>0</v>
      </c>
      <c r="Y115" s="164">
        <f t="shared" si="323"/>
        <v>0</v>
      </c>
      <c r="Z115" s="164">
        <f t="shared" si="323"/>
        <v>0</v>
      </c>
      <c r="AA115" s="164">
        <f t="shared" si="323"/>
        <v>0</v>
      </c>
      <c r="AB115" s="164">
        <f t="shared" ref="M115:BK120" si="324">IF($I115&lt;=AB$74,AA115+1,)</f>
        <v>0</v>
      </c>
      <c r="AC115" s="164">
        <f t="shared" si="324"/>
        <v>0</v>
      </c>
      <c r="AD115" s="164">
        <f t="shared" si="324"/>
        <v>0</v>
      </c>
      <c r="AE115" s="164">
        <f t="shared" si="324"/>
        <v>0</v>
      </c>
      <c r="AF115" s="164">
        <f t="shared" si="324"/>
        <v>0</v>
      </c>
      <c r="AG115" s="164">
        <f t="shared" si="324"/>
        <v>0</v>
      </c>
      <c r="AH115" s="164">
        <f t="shared" si="324"/>
        <v>0</v>
      </c>
      <c r="AI115" s="164">
        <f t="shared" si="324"/>
        <v>0</v>
      </c>
      <c r="AJ115" s="164">
        <f t="shared" si="324"/>
        <v>0</v>
      </c>
      <c r="AK115" s="164">
        <f t="shared" si="324"/>
        <v>0</v>
      </c>
      <c r="AL115" s="164">
        <f t="shared" si="324"/>
        <v>0</v>
      </c>
      <c r="AM115" s="164">
        <f t="shared" si="324"/>
        <v>0</v>
      </c>
      <c r="AN115" s="164">
        <f t="shared" si="324"/>
        <v>0</v>
      </c>
      <c r="AO115" s="164">
        <f t="shared" si="324"/>
        <v>0</v>
      </c>
      <c r="AP115" s="164">
        <f t="shared" si="324"/>
        <v>0</v>
      </c>
      <c r="AQ115" s="164">
        <f t="shared" si="324"/>
        <v>0</v>
      </c>
      <c r="AR115" s="164">
        <f t="shared" si="324"/>
        <v>0</v>
      </c>
      <c r="AS115" s="164">
        <f t="shared" si="324"/>
        <v>0</v>
      </c>
      <c r="AT115" s="164">
        <f t="shared" si="324"/>
        <v>0</v>
      </c>
      <c r="AU115" s="164">
        <f t="shared" si="324"/>
        <v>0</v>
      </c>
      <c r="AV115" s="164">
        <f t="shared" si="324"/>
        <v>0</v>
      </c>
      <c r="AW115" s="164">
        <f t="shared" si="324"/>
        <v>0</v>
      </c>
      <c r="AX115" s="164">
        <f t="shared" si="324"/>
        <v>0</v>
      </c>
      <c r="AY115" s="164">
        <f t="shared" si="324"/>
        <v>0</v>
      </c>
      <c r="AZ115" s="164">
        <f t="shared" si="324"/>
        <v>0</v>
      </c>
      <c r="BA115" s="164">
        <f t="shared" si="324"/>
        <v>0</v>
      </c>
      <c r="BB115" s="164">
        <f t="shared" si="324"/>
        <v>0</v>
      </c>
      <c r="BC115" s="164">
        <f t="shared" si="324"/>
        <v>0</v>
      </c>
      <c r="BD115" s="164">
        <f t="shared" si="324"/>
        <v>0</v>
      </c>
      <c r="BE115" s="164">
        <f t="shared" si="324"/>
        <v>0</v>
      </c>
      <c r="BF115" s="164">
        <f t="shared" si="324"/>
        <v>0</v>
      </c>
      <c r="BG115" s="164">
        <f t="shared" si="324"/>
        <v>0</v>
      </c>
      <c r="BH115" s="164">
        <f t="shared" si="324"/>
        <v>0</v>
      </c>
      <c r="BI115" s="164">
        <f t="shared" si="324"/>
        <v>0</v>
      </c>
      <c r="BJ115" s="164">
        <f t="shared" si="324"/>
        <v>0</v>
      </c>
      <c r="BK115" s="33">
        <f t="shared" si="324"/>
        <v>0</v>
      </c>
    </row>
    <row r="116" spans="9:63">
      <c r="I116" s="31">
        <v>37</v>
      </c>
      <c r="L116" s="225">
        <f t="shared" si="317"/>
        <v>0</v>
      </c>
      <c r="M116" s="164">
        <f t="shared" si="324"/>
        <v>0</v>
      </c>
      <c r="N116" s="164">
        <f t="shared" si="324"/>
        <v>0</v>
      </c>
      <c r="O116" s="164">
        <f t="shared" si="324"/>
        <v>0</v>
      </c>
      <c r="P116" s="164">
        <f t="shared" si="324"/>
        <v>0</v>
      </c>
      <c r="Q116" s="164">
        <f t="shared" si="324"/>
        <v>0</v>
      </c>
      <c r="R116" s="164">
        <f t="shared" si="324"/>
        <v>0</v>
      </c>
      <c r="S116" s="164">
        <f t="shared" si="324"/>
        <v>0</v>
      </c>
      <c r="T116" s="164">
        <f t="shared" si="324"/>
        <v>0</v>
      </c>
      <c r="U116" s="164">
        <f t="shared" si="324"/>
        <v>0</v>
      </c>
      <c r="V116" s="164">
        <f t="shared" si="324"/>
        <v>0</v>
      </c>
      <c r="W116" s="164">
        <f t="shared" si="324"/>
        <v>0</v>
      </c>
      <c r="X116" s="164">
        <f t="shared" si="324"/>
        <v>0</v>
      </c>
      <c r="Y116" s="164">
        <f t="shared" si="324"/>
        <v>0</v>
      </c>
      <c r="Z116" s="164">
        <f t="shared" si="324"/>
        <v>0</v>
      </c>
      <c r="AA116" s="164">
        <f t="shared" si="324"/>
        <v>0</v>
      </c>
      <c r="AB116" s="164">
        <f t="shared" si="324"/>
        <v>0</v>
      </c>
      <c r="AC116" s="164">
        <f t="shared" si="324"/>
        <v>0</v>
      </c>
      <c r="AD116" s="164">
        <f t="shared" si="324"/>
        <v>0</v>
      </c>
      <c r="AE116" s="164">
        <f t="shared" si="324"/>
        <v>0</v>
      </c>
      <c r="AF116" s="164">
        <f t="shared" si="324"/>
        <v>0</v>
      </c>
      <c r="AG116" s="164">
        <f t="shared" si="324"/>
        <v>0</v>
      </c>
      <c r="AH116" s="164">
        <f t="shared" si="324"/>
        <v>0</v>
      </c>
      <c r="AI116" s="164">
        <f t="shared" si="324"/>
        <v>0</v>
      </c>
      <c r="AJ116" s="164">
        <f t="shared" si="324"/>
        <v>0</v>
      </c>
      <c r="AK116" s="164">
        <f t="shared" si="324"/>
        <v>0</v>
      </c>
      <c r="AL116" s="164">
        <f t="shared" si="324"/>
        <v>0</v>
      </c>
      <c r="AM116" s="164">
        <f t="shared" si="324"/>
        <v>0</v>
      </c>
      <c r="AN116" s="164">
        <f t="shared" si="324"/>
        <v>0</v>
      </c>
      <c r="AO116" s="164">
        <f t="shared" si="324"/>
        <v>0</v>
      </c>
      <c r="AP116" s="164">
        <f t="shared" si="324"/>
        <v>0</v>
      </c>
      <c r="AQ116" s="164">
        <f t="shared" si="324"/>
        <v>0</v>
      </c>
      <c r="AR116" s="164">
        <f t="shared" si="324"/>
        <v>0</v>
      </c>
      <c r="AS116" s="164">
        <f t="shared" si="324"/>
        <v>0</v>
      </c>
      <c r="AT116" s="164">
        <f t="shared" si="324"/>
        <v>0</v>
      </c>
      <c r="AU116" s="164">
        <f t="shared" si="324"/>
        <v>0</v>
      </c>
      <c r="AV116" s="164">
        <f t="shared" si="324"/>
        <v>0</v>
      </c>
      <c r="AW116" s="164">
        <f t="shared" si="324"/>
        <v>0</v>
      </c>
      <c r="AX116" s="164">
        <f t="shared" si="324"/>
        <v>0</v>
      </c>
      <c r="AY116" s="164">
        <f t="shared" si="324"/>
        <v>0</v>
      </c>
      <c r="AZ116" s="164">
        <f t="shared" si="324"/>
        <v>0</v>
      </c>
      <c r="BA116" s="164">
        <f t="shared" si="324"/>
        <v>0</v>
      </c>
      <c r="BB116" s="164">
        <f t="shared" si="324"/>
        <v>0</v>
      </c>
      <c r="BC116" s="164">
        <f t="shared" si="324"/>
        <v>0</v>
      </c>
      <c r="BD116" s="164">
        <f t="shared" si="324"/>
        <v>0</v>
      </c>
      <c r="BE116" s="164">
        <f t="shared" si="324"/>
        <v>0</v>
      </c>
      <c r="BF116" s="164">
        <f t="shared" si="324"/>
        <v>0</v>
      </c>
      <c r="BG116" s="164">
        <f t="shared" si="324"/>
        <v>0</v>
      </c>
      <c r="BH116" s="164">
        <f t="shared" si="324"/>
        <v>0</v>
      </c>
      <c r="BI116" s="164">
        <f t="shared" si="324"/>
        <v>0</v>
      </c>
      <c r="BJ116" s="164">
        <f t="shared" si="324"/>
        <v>0</v>
      </c>
      <c r="BK116" s="33">
        <f t="shared" si="324"/>
        <v>0</v>
      </c>
    </row>
    <row r="117" spans="9:63">
      <c r="I117" s="31">
        <v>38</v>
      </c>
      <c r="L117" s="225">
        <f t="shared" si="317"/>
        <v>0</v>
      </c>
      <c r="M117" s="164">
        <f t="shared" si="324"/>
        <v>0</v>
      </c>
      <c r="N117" s="164">
        <f t="shared" si="324"/>
        <v>0</v>
      </c>
      <c r="O117" s="164">
        <f t="shared" si="324"/>
        <v>0</v>
      </c>
      <c r="P117" s="164">
        <f t="shared" si="324"/>
        <v>0</v>
      </c>
      <c r="Q117" s="164">
        <f t="shared" si="324"/>
        <v>0</v>
      </c>
      <c r="R117" s="164">
        <f t="shared" si="324"/>
        <v>0</v>
      </c>
      <c r="S117" s="164">
        <f t="shared" si="324"/>
        <v>0</v>
      </c>
      <c r="T117" s="164">
        <f t="shared" si="324"/>
        <v>0</v>
      </c>
      <c r="U117" s="164">
        <f t="shared" si="324"/>
        <v>0</v>
      </c>
      <c r="V117" s="164">
        <f t="shared" si="324"/>
        <v>0</v>
      </c>
      <c r="W117" s="164">
        <f t="shared" si="324"/>
        <v>0</v>
      </c>
      <c r="X117" s="164">
        <f t="shared" si="324"/>
        <v>0</v>
      </c>
      <c r="Y117" s="164">
        <f t="shared" si="324"/>
        <v>0</v>
      </c>
      <c r="Z117" s="164">
        <f t="shared" si="324"/>
        <v>0</v>
      </c>
      <c r="AA117" s="164">
        <f t="shared" si="324"/>
        <v>0</v>
      </c>
      <c r="AB117" s="164">
        <f t="shared" si="324"/>
        <v>0</v>
      </c>
      <c r="AC117" s="164">
        <f t="shared" si="324"/>
        <v>0</v>
      </c>
      <c r="AD117" s="164">
        <f t="shared" si="324"/>
        <v>0</v>
      </c>
      <c r="AE117" s="164">
        <f t="shared" si="324"/>
        <v>0</v>
      </c>
      <c r="AF117" s="164">
        <f t="shared" si="324"/>
        <v>0</v>
      </c>
      <c r="AG117" s="164">
        <f t="shared" si="324"/>
        <v>0</v>
      </c>
      <c r="AH117" s="164">
        <f t="shared" si="324"/>
        <v>0</v>
      </c>
      <c r="AI117" s="164">
        <f t="shared" si="324"/>
        <v>0</v>
      </c>
      <c r="AJ117" s="164">
        <f t="shared" si="324"/>
        <v>0</v>
      </c>
      <c r="AK117" s="164">
        <f t="shared" si="324"/>
        <v>0</v>
      </c>
      <c r="AL117" s="164">
        <f t="shared" si="324"/>
        <v>0</v>
      </c>
      <c r="AM117" s="164">
        <f t="shared" si="324"/>
        <v>0</v>
      </c>
      <c r="AN117" s="164">
        <f t="shared" si="324"/>
        <v>0</v>
      </c>
      <c r="AO117" s="164">
        <f t="shared" si="324"/>
        <v>0</v>
      </c>
      <c r="AP117" s="164">
        <f t="shared" si="324"/>
        <v>0</v>
      </c>
      <c r="AQ117" s="164">
        <f t="shared" si="324"/>
        <v>0</v>
      </c>
      <c r="AR117" s="164">
        <f t="shared" si="324"/>
        <v>0</v>
      </c>
      <c r="AS117" s="164">
        <f t="shared" si="324"/>
        <v>0</v>
      </c>
      <c r="AT117" s="164">
        <f t="shared" si="324"/>
        <v>0</v>
      </c>
      <c r="AU117" s="164">
        <f t="shared" si="324"/>
        <v>0</v>
      </c>
      <c r="AV117" s="164">
        <f t="shared" si="324"/>
        <v>0</v>
      </c>
      <c r="AW117" s="164">
        <f t="shared" si="324"/>
        <v>0</v>
      </c>
      <c r="AX117" s="164">
        <f t="shared" si="324"/>
        <v>0</v>
      </c>
      <c r="AY117" s="164">
        <f t="shared" si="324"/>
        <v>0</v>
      </c>
      <c r="AZ117" s="164">
        <f t="shared" si="324"/>
        <v>0</v>
      </c>
      <c r="BA117" s="164">
        <f t="shared" si="324"/>
        <v>0</v>
      </c>
      <c r="BB117" s="164">
        <f t="shared" si="324"/>
        <v>0</v>
      </c>
      <c r="BC117" s="164">
        <f t="shared" si="324"/>
        <v>0</v>
      </c>
      <c r="BD117" s="164">
        <f t="shared" si="324"/>
        <v>0</v>
      </c>
      <c r="BE117" s="164">
        <f t="shared" si="324"/>
        <v>0</v>
      </c>
      <c r="BF117" s="164">
        <f t="shared" si="324"/>
        <v>0</v>
      </c>
      <c r="BG117" s="164">
        <f t="shared" si="324"/>
        <v>0</v>
      </c>
      <c r="BH117" s="164">
        <f t="shared" si="324"/>
        <v>0</v>
      </c>
      <c r="BI117" s="164">
        <f t="shared" si="324"/>
        <v>0</v>
      </c>
      <c r="BJ117" s="164">
        <f t="shared" si="324"/>
        <v>0</v>
      </c>
      <c r="BK117" s="33">
        <f t="shared" si="324"/>
        <v>0</v>
      </c>
    </row>
    <row r="118" spans="9:63">
      <c r="I118" s="31">
        <v>39</v>
      </c>
      <c r="L118" s="225">
        <f t="shared" si="317"/>
        <v>0</v>
      </c>
      <c r="M118" s="164">
        <f t="shared" si="324"/>
        <v>0</v>
      </c>
      <c r="N118" s="164">
        <f t="shared" si="324"/>
        <v>0</v>
      </c>
      <c r="O118" s="164">
        <f t="shared" si="324"/>
        <v>0</v>
      </c>
      <c r="P118" s="164">
        <f t="shared" si="324"/>
        <v>0</v>
      </c>
      <c r="Q118" s="164">
        <f t="shared" si="324"/>
        <v>0</v>
      </c>
      <c r="R118" s="164">
        <f t="shared" si="324"/>
        <v>0</v>
      </c>
      <c r="S118" s="164">
        <f t="shared" si="324"/>
        <v>0</v>
      </c>
      <c r="T118" s="164">
        <f t="shared" si="324"/>
        <v>0</v>
      </c>
      <c r="U118" s="164">
        <f t="shared" si="324"/>
        <v>0</v>
      </c>
      <c r="V118" s="164">
        <f t="shared" si="324"/>
        <v>0</v>
      </c>
      <c r="W118" s="164">
        <f t="shared" si="324"/>
        <v>0</v>
      </c>
      <c r="X118" s="164">
        <f t="shared" si="324"/>
        <v>0</v>
      </c>
      <c r="Y118" s="164">
        <f t="shared" si="324"/>
        <v>0</v>
      </c>
      <c r="Z118" s="164">
        <f t="shared" si="324"/>
        <v>0</v>
      </c>
      <c r="AA118" s="164">
        <f t="shared" si="324"/>
        <v>0</v>
      </c>
      <c r="AB118" s="164">
        <f t="shared" si="324"/>
        <v>0</v>
      </c>
      <c r="AC118" s="164">
        <f t="shared" si="324"/>
        <v>0</v>
      </c>
      <c r="AD118" s="164">
        <f t="shared" si="324"/>
        <v>0</v>
      </c>
      <c r="AE118" s="164">
        <f t="shared" si="324"/>
        <v>0</v>
      </c>
      <c r="AF118" s="164">
        <f t="shared" si="324"/>
        <v>0</v>
      </c>
      <c r="AG118" s="164">
        <f t="shared" si="324"/>
        <v>0</v>
      </c>
      <c r="AH118" s="164">
        <f t="shared" si="324"/>
        <v>0</v>
      </c>
      <c r="AI118" s="164">
        <f t="shared" si="324"/>
        <v>0</v>
      </c>
      <c r="AJ118" s="164">
        <f t="shared" si="324"/>
        <v>0</v>
      </c>
      <c r="AK118" s="164">
        <f t="shared" si="324"/>
        <v>0</v>
      </c>
      <c r="AL118" s="164">
        <f t="shared" si="324"/>
        <v>0</v>
      </c>
      <c r="AM118" s="164">
        <f t="shared" si="324"/>
        <v>0</v>
      </c>
      <c r="AN118" s="164">
        <f t="shared" si="324"/>
        <v>0</v>
      </c>
      <c r="AO118" s="164">
        <f t="shared" si="324"/>
        <v>0</v>
      </c>
      <c r="AP118" s="164">
        <f t="shared" si="324"/>
        <v>0</v>
      </c>
      <c r="AQ118" s="164">
        <f t="shared" si="324"/>
        <v>0</v>
      </c>
      <c r="AR118" s="164">
        <f t="shared" si="324"/>
        <v>0</v>
      </c>
      <c r="AS118" s="164">
        <f t="shared" si="324"/>
        <v>0</v>
      </c>
      <c r="AT118" s="164">
        <f t="shared" si="324"/>
        <v>0</v>
      </c>
      <c r="AU118" s="164">
        <f t="shared" si="324"/>
        <v>0</v>
      </c>
      <c r="AV118" s="164">
        <f t="shared" si="324"/>
        <v>0</v>
      </c>
      <c r="AW118" s="164">
        <f t="shared" si="324"/>
        <v>0</v>
      </c>
      <c r="AX118" s="164">
        <f t="shared" si="324"/>
        <v>0</v>
      </c>
      <c r="AY118" s="164">
        <f t="shared" si="324"/>
        <v>0</v>
      </c>
      <c r="AZ118" s="164">
        <f t="shared" si="324"/>
        <v>0</v>
      </c>
      <c r="BA118" s="164">
        <f t="shared" si="324"/>
        <v>0</v>
      </c>
      <c r="BB118" s="164">
        <f t="shared" si="324"/>
        <v>0</v>
      </c>
      <c r="BC118" s="164">
        <f t="shared" si="324"/>
        <v>0</v>
      </c>
      <c r="BD118" s="164">
        <f t="shared" si="324"/>
        <v>0</v>
      </c>
      <c r="BE118" s="164">
        <f t="shared" si="324"/>
        <v>0</v>
      </c>
      <c r="BF118" s="164">
        <f t="shared" si="324"/>
        <v>0</v>
      </c>
      <c r="BG118" s="164">
        <f t="shared" si="324"/>
        <v>0</v>
      </c>
      <c r="BH118" s="164">
        <f t="shared" si="324"/>
        <v>0</v>
      </c>
      <c r="BI118" s="164">
        <f t="shared" si="324"/>
        <v>0</v>
      </c>
      <c r="BJ118" s="164">
        <f t="shared" si="324"/>
        <v>0</v>
      </c>
      <c r="BK118" s="33">
        <f t="shared" si="324"/>
        <v>0</v>
      </c>
    </row>
    <row r="119" spans="9:63">
      <c r="I119" s="31">
        <v>40</v>
      </c>
      <c r="L119" s="225">
        <f t="shared" si="317"/>
        <v>0</v>
      </c>
      <c r="M119" s="164">
        <f t="shared" si="324"/>
        <v>0</v>
      </c>
      <c r="N119" s="164">
        <f t="shared" si="324"/>
        <v>0</v>
      </c>
      <c r="O119" s="164">
        <f t="shared" si="324"/>
        <v>0</v>
      </c>
      <c r="P119" s="164">
        <f t="shared" si="324"/>
        <v>0</v>
      </c>
      <c r="Q119" s="164">
        <f t="shared" si="324"/>
        <v>0</v>
      </c>
      <c r="R119" s="164">
        <f t="shared" si="324"/>
        <v>0</v>
      </c>
      <c r="S119" s="164">
        <f t="shared" si="324"/>
        <v>0</v>
      </c>
      <c r="T119" s="164">
        <f t="shared" si="324"/>
        <v>0</v>
      </c>
      <c r="U119" s="164">
        <f t="shared" si="324"/>
        <v>0</v>
      </c>
      <c r="V119" s="164">
        <f t="shared" si="324"/>
        <v>0</v>
      </c>
      <c r="W119" s="164">
        <f t="shared" si="324"/>
        <v>0</v>
      </c>
      <c r="X119" s="164">
        <f t="shared" si="324"/>
        <v>0</v>
      </c>
      <c r="Y119" s="164">
        <f t="shared" si="324"/>
        <v>0</v>
      </c>
      <c r="Z119" s="164">
        <f t="shared" si="324"/>
        <v>0</v>
      </c>
      <c r="AA119" s="164">
        <f t="shared" si="324"/>
        <v>0</v>
      </c>
      <c r="AB119" s="164">
        <f t="shared" si="324"/>
        <v>0</v>
      </c>
      <c r="AC119" s="164">
        <f t="shared" si="324"/>
        <v>0</v>
      </c>
      <c r="AD119" s="164">
        <f t="shared" si="324"/>
        <v>0</v>
      </c>
      <c r="AE119" s="164">
        <f t="shared" si="324"/>
        <v>0</v>
      </c>
      <c r="AF119" s="164">
        <f t="shared" si="324"/>
        <v>0</v>
      </c>
      <c r="AG119" s="164">
        <f t="shared" si="324"/>
        <v>0</v>
      </c>
      <c r="AH119" s="164">
        <f t="shared" si="324"/>
        <v>0</v>
      </c>
      <c r="AI119" s="164">
        <f t="shared" si="324"/>
        <v>0</v>
      </c>
      <c r="AJ119" s="164">
        <f t="shared" si="324"/>
        <v>0</v>
      </c>
      <c r="AK119" s="164">
        <f t="shared" si="324"/>
        <v>0</v>
      </c>
      <c r="AL119" s="164">
        <f t="shared" si="324"/>
        <v>0</v>
      </c>
      <c r="AM119" s="164">
        <f t="shared" si="324"/>
        <v>0</v>
      </c>
      <c r="AN119" s="164">
        <f t="shared" si="324"/>
        <v>0</v>
      </c>
      <c r="AO119" s="164">
        <f t="shared" si="324"/>
        <v>0</v>
      </c>
      <c r="AP119" s="164">
        <f t="shared" si="324"/>
        <v>0</v>
      </c>
      <c r="AQ119" s="164">
        <f t="shared" si="324"/>
        <v>0</v>
      </c>
      <c r="AR119" s="164">
        <f t="shared" si="324"/>
        <v>0</v>
      </c>
      <c r="AS119" s="164">
        <f t="shared" si="324"/>
        <v>0</v>
      </c>
      <c r="AT119" s="164">
        <f t="shared" si="324"/>
        <v>0</v>
      </c>
      <c r="AU119" s="164">
        <f t="shared" si="324"/>
        <v>0</v>
      </c>
      <c r="AV119" s="164">
        <f t="shared" si="324"/>
        <v>0</v>
      </c>
      <c r="AW119" s="164">
        <f t="shared" si="324"/>
        <v>0</v>
      </c>
      <c r="AX119" s="164">
        <f t="shared" si="324"/>
        <v>0</v>
      </c>
      <c r="AY119" s="164">
        <f t="shared" si="324"/>
        <v>0</v>
      </c>
      <c r="AZ119" s="164">
        <f t="shared" si="324"/>
        <v>0</v>
      </c>
      <c r="BA119" s="164">
        <f t="shared" si="324"/>
        <v>0</v>
      </c>
      <c r="BB119" s="164">
        <f t="shared" si="324"/>
        <v>0</v>
      </c>
      <c r="BC119" s="164">
        <f t="shared" si="324"/>
        <v>0</v>
      </c>
      <c r="BD119" s="164">
        <f t="shared" si="324"/>
        <v>0</v>
      </c>
      <c r="BE119" s="164">
        <f t="shared" si="324"/>
        <v>0</v>
      </c>
      <c r="BF119" s="164">
        <f t="shared" si="324"/>
        <v>0</v>
      </c>
      <c r="BG119" s="164">
        <f t="shared" si="324"/>
        <v>0</v>
      </c>
      <c r="BH119" s="164">
        <f t="shared" si="324"/>
        <v>0</v>
      </c>
      <c r="BI119" s="164">
        <f t="shared" si="324"/>
        <v>0</v>
      </c>
      <c r="BJ119" s="164">
        <f t="shared" si="324"/>
        <v>0</v>
      </c>
      <c r="BK119" s="33">
        <f t="shared" si="324"/>
        <v>0</v>
      </c>
    </row>
    <row r="120" spans="9:63">
      <c r="I120" s="31">
        <v>41</v>
      </c>
      <c r="L120" s="225">
        <f t="shared" si="317"/>
        <v>0</v>
      </c>
      <c r="M120" s="164">
        <f t="shared" si="324"/>
        <v>0</v>
      </c>
      <c r="N120" s="164">
        <f t="shared" si="324"/>
        <v>0</v>
      </c>
      <c r="O120" s="164">
        <f t="shared" si="324"/>
        <v>0</v>
      </c>
      <c r="P120" s="164">
        <f t="shared" si="324"/>
        <v>0</v>
      </c>
      <c r="Q120" s="164">
        <f t="shared" si="324"/>
        <v>0</v>
      </c>
      <c r="R120" s="164">
        <f t="shared" si="324"/>
        <v>0</v>
      </c>
      <c r="S120" s="164">
        <f t="shared" si="324"/>
        <v>0</v>
      </c>
      <c r="T120" s="164">
        <f t="shared" si="324"/>
        <v>0</v>
      </c>
      <c r="U120" s="164">
        <f t="shared" si="324"/>
        <v>0</v>
      </c>
      <c r="V120" s="164">
        <f t="shared" si="324"/>
        <v>0</v>
      </c>
      <c r="W120" s="164">
        <f t="shared" si="324"/>
        <v>0</v>
      </c>
      <c r="X120" s="164">
        <f t="shared" si="324"/>
        <v>0</v>
      </c>
      <c r="Y120" s="164">
        <f t="shared" si="324"/>
        <v>0</v>
      </c>
      <c r="Z120" s="164">
        <f t="shared" si="324"/>
        <v>0</v>
      </c>
      <c r="AA120" s="164">
        <f t="shared" si="324"/>
        <v>0</v>
      </c>
      <c r="AB120" s="164">
        <f t="shared" ref="M120:BK125" si="325">IF($I120&lt;=AB$74,AA120+1,)</f>
        <v>0</v>
      </c>
      <c r="AC120" s="164">
        <f t="shared" si="325"/>
        <v>0</v>
      </c>
      <c r="AD120" s="164">
        <f t="shared" si="325"/>
        <v>0</v>
      </c>
      <c r="AE120" s="164">
        <f t="shared" si="325"/>
        <v>0</v>
      </c>
      <c r="AF120" s="164">
        <f t="shared" si="325"/>
        <v>0</v>
      </c>
      <c r="AG120" s="164">
        <f t="shared" si="325"/>
        <v>0</v>
      </c>
      <c r="AH120" s="164">
        <f t="shared" si="325"/>
        <v>0</v>
      </c>
      <c r="AI120" s="164">
        <f t="shared" si="325"/>
        <v>0</v>
      </c>
      <c r="AJ120" s="164">
        <f t="shared" si="325"/>
        <v>0</v>
      </c>
      <c r="AK120" s="164">
        <f t="shared" si="325"/>
        <v>0</v>
      </c>
      <c r="AL120" s="164">
        <f t="shared" si="325"/>
        <v>0</v>
      </c>
      <c r="AM120" s="164">
        <f t="shared" si="325"/>
        <v>0</v>
      </c>
      <c r="AN120" s="164">
        <f t="shared" si="325"/>
        <v>0</v>
      </c>
      <c r="AO120" s="164">
        <f t="shared" si="325"/>
        <v>0</v>
      </c>
      <c r="AP120" s="164">
        <f t="shared" si="325"/>
        <v>0</v>
      </c>
      <c r="AQ120" s="164">
        <f t="shared" si="325"/>
        <v>0</v>
      </c>
      <c r="AR120" s="164">
        <f t="shared" si="325"/>
        <v>0</v>
      </c>
      <c r="AS120" s="164">
        <f t="shared" si="325"/>
        <v>0</v>
      </c>
      <c r="AT120" s="164">
        <f t="shared" si="325"/>
        <v>0</v>
      </c>
      <c r="AU120" s="164">
        <f t="shared" si="325"/>
        <v>0</v>
      </c>
      <c r="AV120" s="164">
        <f t="shared" si="325"/>
        <v>0</v>
      </c>
      <c r="AW120" s="164">
        <f t="shared" si="325"/>
        <v>0</v>
      </c>
      <c r="AX120" s="164">
        <f t="shared" si="325"/>
        <v>0</v>
      </c>
      <c r="AY120" s="164">
        <f t="shared" si="325"/>
        <v>0</v>
      </c>
      <c r="AZ120" s="164">
        <f t="shared" si="325"/>
        <v>0</v>
      </c>
      <c r="BA120" s="164">
        <f t="shared" si="325"/>
        <v>0</v>
      </c>
      <c r="BB120" s="164">
        <f t="shared" si="325"/>
        <v>0</v>
      </c>
      <c r="BC120" s="164">
        <f t="shared" si="325"/>
        <v>0</v>
      </c>
      <c r="BD120" s="164">
        <f t="shared" si="325"/>
        <v>0</v>
      </c>
      <c r="BE120" s="164">
        <f t="shared" si="325"/>
        <v>0</v>
      </c>
      <c r="BF120" s="164">
        <f t="shared" si="325"/>
        <v>0</v>
      </c>
      <c r="BG120" s="164">
        <f t="shared" si="325"/>
        <v>0</v>
      </c>
      <c r="BH120" s="164">
        <f t="shared" si="325"/>
        <v>0</v>
      </c>
      <c r="BI120" s="164">
        <f t="shared" si="325"/>
        <v>0</v>
      </c>
      <c r="BJ120" s="164">
        <f t="shared" si="325"/>
        <v>0</v>
      </c>
      <c r="BK120" s="33">
        <f t="shared" si="325"/>
        <v>0</v>
      </c>
    </row>
    <row r="121" spans="9:63">
      <c r="I121" s="31">
        <v>42</v>
      </c>
      <c r="L121" s="225">
        <f t="shared" si="317"/>
        <v>0</v>
      </c>
      <c r="M121" s="164">
        <f t="shared" si="325"/>
        <v>0</v>
      </c>
      <c r="N121" s="164">
        <f t="shared" si="325"/>
        <v>0</v>
      </c>
      <c r="O121" s="164">
        <f t="shared" si="325"/>
        <v>0</v>
      </c>
      <c r="P121" s="164">
        <f t="shared" si="325"/>
        <v>0</v>
      </c>
      <c r="Q121" s="164">
        <f t="shared" si="325"/>
        <v>0</v>
      </c>
      <c r="R121" s="164">
        <f t="shared" si="325"/>
        <v>0</v>
      </c>
      <c r="S121" s="164">
        <f t="shared" si="325"/>
        <v>0</v>
      </c>
      <c r="T121" s="164">
        <f t="shared" si="325"/>
        <v>0</v>
      </c>
      <c r="U121" s="164">
        <f t="shared" si="325"/>
        <v>0</v>
      </c>
      <c r="V121" s="164">
        <f t="shared" si="325"/>
        <v>0</v>
      </c>
      <c r="W121" s="164">
        <f t="shared" si="325"/>
        <v>0</v>
      </c>
      <c r="X121" s="164">
        <f t="shared" si="325"/>
        <v>0</v>
      </c>
      <c r="Y121" s="164">
        <f t="shared" si="325"/>
        <v>0</v>
      </c>
      <c r="Z121" s="164">
        <f t="shared" si="325"/>
        <v>0</v>
      </c>
      <c r="AA121" s="164">
        <f t="shared" si="325"/>
        <v>0</v>
      </c>
      <c r="AB121" s="164">
        <f t="shared" si="325"/>
        <v>0</v>
      </c>
      <c r="AC121" s="164">
        <f t="shared" si="325"/>
        <v>0</v>
      </c>
      <c r="AD121" s="164">
        <f t="shared" si="325"/>
        <v>0</v>
      </c>
      <c r="AE121" s="164">
        <f t="shared" si="325"/>
        <v>0</v>
      </c>
      <c r="AF121" s="164">
        <f t="shared" si="325"/>
        <v>0</v>
      </c>
      <c r="AG121" s="164">
        <f t="shared" si="325"/>
        <v>0</v>
      </c>
      <c r="AH121" s="164">
        <f t="shared" si="325"/>
        <v>0</v>
      </c>
      <c r="AI121" s="164">
        <f t="shared" si="325"/>
        <v>0</v>
      </c>
      <c r="AJ121" s="164">
        <f t="shared" si="325"/>
        <v>0</v>
      </c>
      <c r="AK121" s="164">
        <f t="shared" si="325"/>
        <v>0</v>
      </c>
      <c r="AL121" s="164">
        <f t="shared" si="325"/>
        <v>0</v>
      </c>
      <c r="AM121" s="164">
        <f t="shared" si="325"/>
        <v>0</v>
      </c>
      <c r="AN121" s="164">
        <f t="shared" si="325"/>
        <v>0</v>
      </c>
      <c r="AO121" s="164">
        <f t="shared" si="325"/>
        <v>0</v>
      </c>
      <c r="AP121" s="164">
        <f t="shared" si="325"/>
        <v>0</v>
      </c>
      <c r="AQ121" s="164">
        <f t="shared" si="325"/>
        <v>0</v>
      </c>
      <c r="AR121" s="164">
        <f t="shared" si="325"/>
        <v>0</v>
      </c>
      <c r="AS121" s="164">
        <f t="shared" si="325"/>
        <v>0</v>
      </c>
      <c r="AT121" s="164">
        <f t="shared" si="325"/>
        <v>0</v>
      </c>
      <c r="AU121" s="164">
        <f t="shared" si="325"/>
        <v>0</v>
      </c>
      <c r="AV121" s="164">
        <f t="shared" si="325"/>
        <v>0</v>
      </c>
      <c r="AW121" s="164">
        <f t="shared" si="325"/>
        <v>0</v>
      </c>
      <c r="AX121" s="164">
        <f t="shared" si="325"/>
        <v>0</v>
      </c>
      <c r="AY121" s="164">
        <f t="shared" si="325"/>
        <v>0</v>
      </c>
      <c r="AZ121" s="164">
        <f t="shared" si="325"/>
        <v>0</v>
      </c>
      <c r="BA121" s="164">
        <f t="shared" si="325"/>
        <v>0</v>
      </c>
      <c r="BB121" s="164">
        <f t="shared" si="325"/>
        <v>0</v>
      </c>
      <c r="BC121" s="164">
        <f t="shared" si="325"/>
        <v>0</v>
      </c>
      <c r="BD121" s="164">
        <f t="shared" si="325"/>
        <v>0</v>
      </c>
      <c r="BE121" s="164">
        <f t="shared" si="325"/>
        <v>0</v>
      </c>
      <c r="BF121" s="164">
        <f t="shared" si="325"/>
        <v>0</v>
      </c>
      <c r="BG121" s="164">
        <f t="shared" si="325"/>
        <v>0</v>
      </c>
      <c r="BH121" s="164">
        <f t="shared" si="325"/>
        <v>0</v>
      </c>
      <c r="BI121" s="164">
        <f t="shared" si="325"/>
        <v>0</v>
      </c>
      <c r="BJ121" s="164">
        <f t="shared" si="325"/>
        <v>0</v>
      </c>
      <c r="BK121" s="33">
        <f t="shared" si="325"/>
        <v>0</v>
      </c>
    </row>
    <row r="122" spans="9:63">
      <c r="I122" s="31">
        <v>43</v>
      </c>
      <c r="L122" s="225">
        <f t="shared" si="317"/>
        <v>0</v>
      </c>
      <c r="M122" s="164">
        <f t="shared" si="325"/>
        <v>0</v>
      </c>
      <c r="N122" s="164">
        <f t="shared" si="325"/>
        <v>0</v>
      </c>
      <c r="O122" s="164">
        <f t="shared" si="325"/>
        <v>0</v>
      </c>
      <c r="P122" s="164">
        <f t="shared" si="325"/>
        <v>0</v>
      </c>
      <c r="Q122" s="164">
        <f t="shared" si="325"/>
        <v>0</v>
      </c>
      <c r="R122" s="164">
        <f t="shared" si="325"/>
        <v>0</v>
      </c>
      <c r="S122" s="164">
        <f t="shared" si="325"/>
        <v>0</v>
      </c>
      <c r="T122" s="164">
        <f t="shared" si="325"/>
        <v>0</v>
      </c>
      <c r="U122" s="164">
        <f t="shared" si="325"/>
        <v>0</v>
      </c>
      <c r="V122" s="164">
        <f t="shared" si="325"/>
        <v>0</v>
      </c>
      <c r="W122" s="164">
        <f t="shared" si="325"/>
        <v>0</v>
      </c>
      <c r="X122" s="164">
        <f t="shared" si="325"/>
        <v>0</v>
      </c>
      <c r="Y122" s="164">
        <f t="shared" si="325"/>
        <v>0</v>
      </c>
      <c r="Z122" s="164">
        <f t="shared" si="325"/>
        <v>0</v>
      </c>
      <c r="AA122" s="164">
        <f t="shared" si="325"/>
        <v>0</v>
      </c>
      <c r="AB122" s="164">
        <f t="shared" si="325"/>
        <v>0</v>
      </c>
      <c r="AC122" s="164">
        <f t="shared" si="325"/>
        <v>0</v>
      </c>
      <c r="AD122" s="164">
        <f t="shared" si="325"/>
        <v>0</v>
      </c>
      <c r="AE122" s="164">
        <f t="shared" si="325"/>
        <v>0</v>
      </c>
      <c r="AF122" s="164">
        <f t="shared" si="325"/>
        <v>0</v>
      </c>
      <c r="AG122" s="164">
        <f t="shared" si="325"/>
        <v>0</v>
      </c>
      <c r="AH122" s="164">
        <f t="shared" si="325"/>
        <v>0</v>
      </c>
      <c r="AI122" s="164">
        <f t="shared" si="325"/>
        <v>0</v>
      </c>
      <c r="AJ122" s="164">
        <f t="shared" si="325"/>
        <v>0</v>
      </c>
      <c r="AK122" s="164">
        <f t="shared" si="325"/>
        <v>0</v>
      </c>
      <c r="AL122" s="164">
        <f t="shared" si="325"/>
        <v>0</v>
      </c>
      <c r="AM122" s="164">
        <f t="shared" si="325"/>
        <v>0</v>
      </c>
      <c r="AN122" s="164">
        <f t="shared" si="325"/>
        <v>0</v>
      </c>
      <c r="AO122" s="164">
        <f t="shared" si="325"/>
        <v>0</v>
      </c>
      <c r="AP122" s="164">
        <f t="shared" si="325"/>
        <v>0</v>
      </c>
      <c r="AQ122" s="164">
        <f t="shared" si="325"/>
        <v>0</v>
      </c>
      <c r="AR122" s="164">
        <f t="shared" si="325"/>
        <v>0</v>
      </c>
      <c r="AS122" s="164">
        <f t="shared" si="325"/>
        <v>0</v>
      </c>
      <c r="AT122" s="164">
        <f t="shared" si="325"/>
        <v>0</v>
      </c>
      <c r="AU122" s="164">
        <f t="shared" si="325"/>
        <v>0</v>
      </c>
      <c r="AV122" s="164">
        <f t="shared" si="325"/>
        <v>0</v>
      </c>
      <c r="AW122" s="164">
        <f t="shared" si="325"/>
        <v>0</v>
      </c>
      <c r="AX122" s="164">
        <f t="shared" si="325"/>
        <v>0</v>
      </c>
      <c r="AY122" s="164">
        <f t="shared" si="325"/>
        <v>0</v>
      </c>
      <c r="AZ122" s="164">
        <f t="shared" si="325"/>
        <v>0</v>
      </c>
      <c r="BA122" s="164">
        <f t="shared" si="325"/>
        <v>0</v>
      </c>
      <c r="BB122" s="164">
        <f t="shared" si="325"/>
        <v>0</v>
      </c>
      <c r="BC122" s="164">
        <f t="shared" si="325"/>
        <v>0</v>
      </c>
      <c r="BD122" s="164">
        <f t="shared" si="325"/>
        <v>0</v>
      </c>
      <c r="BE122" s="164">
        <f t="shared" si="325"/>
        <v>0</v>
      </c>
      <c r="BF122" s="164">
        <f t="shared" si="325"/>
        <v>0</v>
      </c>
      <c r="BG122" s="164">
        <f t="shared" si="325"/>
        <v>0</v>
      </c>
      <c r="BH122" s="164">
        <f t="shared" si="325"/>
        <v>0</v>
      </c>
      <c r="BI122" s="164">
        <f t="shared" si="325"/>
        <v>0</v>
      </c>
      <c r="BJ122" s="164">
        <f t="shared" si="325"/>
        <v>0</v>
      </c>
      <c r="BK122" s="33">
        <f t="shared" si="325"/>
        <v>0</v>
      </c>
    </row>
    <row r="123" spans="9:63">
      <c r="I123" s="31">
        <v>44</v>
      </c>
      <c r="L123" s="225">
        <f t="shared" si="317"/>
        <v>0</v>
      </c>
      <c r="M123" s="164">
        <f t="shared" si="325"/>
        <v>0</v>
      </c>
      <c r="N123" s="164">
        <f t="shared" si="325"/>
        <v>0</v>
      </c>
      <c r="O123" s="164">
        <f t="shared" si="325"/>
        <v>0</v>
      </c>
      <c r="P123" s="164">
        <f t="shared" si="325"/>
        <v>0</v>
      </c>
      <c r="Q123" s="164">
        <f t="shared" si="325"/>
        <v>0</v>
      </c>
      <c r="R123" s="164">
        <f t="shared" si="325"/>
        <v>0</v>
      </c>
      <c r="S123" s="164">
        <f t="shared" si="325"/>
        <v>0</v>
      </c>
      <c r="T123" s="164">
        <f t="shared" si="325"/>
        <v>0</v>
      </c>
      <c r="U123" s="164">
        <f t="shared" si="325"/>
        <v>0</v>
      </c>
      <c r="V123" s="164">
        <f t="shared" si="325"/>
        <v>0</v>
      </c>
      <c r="W123" s="164">
        <f t="shared" si="325"/>
        <v>0</v>
      </c>
      <c r="X123" s="164">
        <f t="shared" si="325"/>
        <v>0</v>
      </c>
      <c r="Y123" s="164">
        <f t="shared" si="325"/>
        <v>0</v>
      </c>
      <c r="Z123" s="164">
        <f t="shared" si="325"/>
        <v>0</v>
      </c>
      <c r="AA123" s="164">
        <f t="shared" si="325"/>
        <v>0</v>
      </c>
      <c r="AB123" s="164">
        <f t="shared" si="325"/>
        <v>0</v>
      </c>
      <c r="AC123" s="164">
        <f t="shared" si="325"/>
        <v>0</v>
      </c>
      <c r="AD123" s="164">
        <f t="shared" si="325"/>
        <v>0</v>
      </c>
      <c r="AE123" s="164">
        <f t="shared" si="325"/>
        <v>0</v>
      </c>
      <c r="AF123" s="164">
        <f t="shared" si="325"/>
        <v>0</v>
      </c>
      <c r="AG123" s="164">
        <f t="shared" si="325"/>
        <v>0</v>
      </c>
      <c r="AH123" s="164">
        <f t="shared" si="325"/>
        <v>0</v>
      </c>
      <c r="AI123" s="164">
        <f t="shared" si="325"/>
        <v>0</v>
      </c>
      <c r="AJ123" s="164">
        <f t="shared" si="325"/>
        <v>0</v>
      </c>
      <c r="AK123" s="164">
        <f t="shared" si="325"/>
        <v>0</v>
      </c>
      <c r="AL123" s="164">
        <f t="shared" si="325"/>
        <v>0</v>
      </c>
      <c r="AM123" s="164">
        <f t="shared" si="325"/>
        <v>0</v>
      </c>
      <c r="AN123" s="164">
        <f t="shared" si="325"/>
        <v>0</v>
      </c>
      <c r="AO123" s="164">
        <f t="shared" si="325"/>
        <v>0</v>
      </c>
      <c r="AP123" s="164">
        <f t="shared" si="325"/>
        <v>0</v>
      </c>
      <c r="AQ123" s="164">
        <f t="shared" si="325"/>
        <v>0</v>
      </c>
      <c r="AR123" s="164">
        <f t="shared" si="325"/>
        <v>0</v>
      </c>
      <c r="AS123" s="164">
        <f t="shared" si="325"/>
        <v>0</v>
      </c>
      <c r="AT123" s="164">
        <f t="shared" si="325"/>
        <v>0</v>
      </c>
      <c r="AU123" s="164">
        <f t="shared" si="325"/>
        <v>0</v>
      </c>
      <c r="AV123" s="164">
        <f t="shared" si="325"/>
        <v>0</v>
      </c>
      <c r="AW123" s="164">
        <f t="shared" si="325"/>
        <v>0</v>
      </c>
      <c r="AX123" s="164">
        <f t="shared" si="325"/>
        <v>0</v>
      </c>
      <c r="AY123" s="164">
        <f t="shared" si="325"/>
        <v>0</v>
      </c>
      <c r="AZ123" s="164">
        <f t="shared" si="325"/>
        <v>0</v>
      </c>
      <c r="BA123" s="164">
        <f t="shared" si="325"/>
        <v>0</v>
      </c>
      <c r="BB123" s="164">
        <f t="shared" si="325"/>
        <v>0</v>
      </c>
      <c r="BC123" s="164">
        <f t="shared" si="325"/>
        <v>0</v>
      </c>
      <c r="BD123" s="164">
        <f t="shared" si="325"/>
        <v>0</v>
      </c>
      <c r="BE123" s="164">
        <f t="shared" si="325"/>
        <v>0</v>
      </c>
      <c r="BF123" s="164">
        <f t="shared" si="325"/>
        <v>0</v>
      </c>
      <c r="BG123" s="164">
        <f t="shared" si="325"/>
        <v>0</v>
      </c>
      <c r="BH123" s="164">
        <f t="shared" si="325"/>
        <v>0</v>
      </c>
      <c r="BI123" s="164">
        <f t="shared" si="325"/>
        <v>0</v>
      </c>
      <c r="BJ123" s="164">
        <f t="shared" si="325"/>
        <v>0</v>
      </c>
      <c r="BK123" s="33">
        <f t="shared" si="325"/>
        <v>0</v>
      </c>
    </row>
    <row r="124" spans="9:63">
      <c r="I124" s="31">
        <v>45</v>
      </c>
      <c r="L124" s="225">
        <f t="shared" si="317"/>
        <v>0</v>
      </c>
      <c r="M124" s="164">
        <f t="shared" si="325"/>
        <v>0</v>
      </c>
      <c r="N124" s="164">
        <f t="shared" si="325"/>
        <v>0</v>
      </c>
      <c r="O124" s="164">
        <f t="shared" si="325"/>
        <v>0</v>
      </c>
      <c r="P124" s="164">
        <f t="shared" si="325"/>
        <v>0</v>
      </c>
      <c r="Q124" s="164">
        <f t="shared" si="325"/>
        <v>0</v>
      </c>
      <c r="R124" s="164">
        <f t="shared" si="325"/>
        <v>0</v>
      </c>
      <c r="S124" s="164">
        <f t="shared" si="325"/>
        <v>0</v>
      </c>
      <c r="T124" s="164">
        <f t="shared" si="325"/>
        <v>0</v>
      </c>
      <c r="U124" s="164">
        <f t="shared" si="325"/>
        <v>0</v>
      </c>
      <c r="V124" s="164">
        <f t="shared" si="325"/>
        <v>0</v>
      </c>
      <c r="W124" s="164">
        <f t="shared" si="325"/>
        <v>0</v>
      </c>
      <c r="X124" s="164">
        <f t="shared" si="325"/>
        <v>0</v>
      </c>
      <c r="Y124" s="164">
        <f t="shared" si="325"/>
        <v>0</v>
      </c>
      <c r="Z124" s="164">
        <f t="shared" si="325"/>
        <v>0</v>
      </c>
      <c r="AA124" s="164">
        <f t="shared" si="325"/>
        <v>0</v>
      </c>
      <c r="AB124" s="164">
        <f t="shared" si="325"/>
        <v>0</v>
      </c>
      <c r="AC124" s="164">
        <f t="shared" si="325"/>
        <v>0</v>
      </c>
      <c r="AD124" s="164">
        <f t="shared" si="325"/>
        <v>0</v>
      </c>
      <c r="AE124" s="164">
        <f t="shared" si="325"/>
        <v>0</v>
      </c>
      <c r="AF124" s="164">
        <f t="shared" si="325"/>
        <v>0</v>
      </c>
      <c r="AG124" s="164">
        <f t="shared" si="325"/>
        <v>0</v>
      </c>
      <c r="AH124" s="164">
        <f t="shared" si="325"/>
        <v>0</v>
      </c>
      <c r="AI124" s="164">
        <f t="shared" si="325"/>
        <v>0</v>
      </c>
      <c r="AJ124" s="164">
        <f t="shared" si="325"/>
        <v>0</v>
      </c>
      <c r="AK124" s="164">
        <f t="shared" si="325"/>
        <v>0</v>
      </c>
      <c r="AL124" s="164">
        <f t="shared" si="325"/>
        <v>0</v>
      </c>
      <c r="AM124" s="164">
        <f t="shared" si="325"/>
        <v>0</v>
      </c>
      <c r="AN124" s="164">
        <f t="shared" si="325"/>
        <v>0</v>
      </c>
      <c r="AO124" s="164">
        <f t="shared" si="325"/>
        <v>0</v>
      </c>
      <c r="AP124" s="164">
        <f t="shared" si="325"/>
        <v>0</v>
      </c>
      <c r="AQ124" s="164">
        <f t="shared" si="325"/>
        <v>0</v>
      </c>
      <c r="AR124" s="164">
        <f t="shared" si="325"/>
        <v>0</v>
      </c>
      <c r="AS124" s="164">
        <f t="shared" si="325"/>
        <v>0</v>
      </c>
      <c r="AT124" s="164">
        <f t="shared" si="325"/>
        <v>0</v>
      </c>
      <c r="AU124" s="164">
        <f t="shared" si="325"/>
        <v>0</v>
      </c>
      <c r="AV124" s="164">
        <f t="shared" si="325"/>
        <v>0</v>
      </c>
      <c r="AW124" s="164">
        <f t="shared" si="325"/>
        <v>0</v>
      </c>
      <c r="AX124" s="164">
        <f t="shared" si="325"/>
        <v>0</v>
      </c>
      <c r="AY124" s="164">
        <f t="shared" si="325"/>
        <v>0</v>
      </c>
      <c r="AZ124" s="164">
        <f t="shared" si="325"/>
        <v>0</v>
      </c>
      <c r="BA124" s="164">
        <f t="shared" si="325"/>
        <v>0</v>
      </c>
      <c r="BB124" s="164">
        <f t="shared" si="325"/>
        <v>0</v>
      </c>
      <c r="BC124" s="164">
        <f t="shared" si="325"/>
        <v>0</v>
      </c>
      <c r="BD124" s="164">
        <f t="shared" si="325"/>
        <v>0</v>
      </c>
      <c r="BE124" s="164">
        <f t="shared" si="325"/>
        <v>0</v>
      </c>
      <c r="BF124" s="164">
        <f t="shared" si="325"/>
        <v>0</v>
      </c>
      <c r="BG124" s="164">
        <f t="shared" si="325"/>
        <v>0</v>
      </c>
      <c r="BH124" s="164">
        <f t="shared" si="325"/>
        <v>0</v>
      </c>
      <c r="BI124" s="164">
        <f t="shared" si="325"/>
        <v>0</v>
      </c>
      <c r="BJ124" s="164">
        <f t="shared" si="325"/>
        <v>0</v>
      </c>
      <c r="BK124" s="33">
        <f t="shared" si="325"/>
        <v>0</v>
      </c>
    </row>
    <row r="125" spans="9:63">
      <c r="I125" s="31">
        <v>46</v>
      </c>
      <c r="L125" s="225">
        <f t="shared" si="317"/>
        <v>0</v>
      </c>
      <c r="M125" s="164">
        <f t="shared" si="325"/>
        <v>0</v>
      </c>
      <c r="N125" s="164">
        <f t="shared" si="325"/>
        <v>0</v>
      </c>
      <c r="O125" s="164">
        <f t="shared" si="325"/>
        <v>0</v>
      </c>
      <c r="P125" s="164">
        <f t="shared" si="325"/>
        <v>0</v>
      </c>
      <c r="Q125" s="164">
        <f t="shared" si="325"/>
        <v>0</v>
      </c>
      <c r="R125" s="164">
        <f t="shared" si="325"/>
        <v>0</v>
      </c>
      <c r="S125" s="164">
        <f t="shared" si="325"/>
        <v>0</v>
      </c>
      <c r="T125" s="164">
        <f t="shared" si="325"/>
        <v>0</v>
      </c>
      <c r="U125" s="164">
        <f t="shared" si="325"/>
        <v>0</v>
      </c>
      <c r="V125" s="164">
        <f t="shared" si="325"/>
        <v>0</v>
      </c>
      <c r="W125" s="164">
        <f t="shared" si="325"/>
        <v>0</v>
      </c>
      <c r="X125" s="164">
        <f t="shared" si="325"/>
        <v>0</v>
      </c>
      <c r="Y125" s="164">
        <f t="shared" si="325"/>
        <v>0</v>
      </c>
      <c r="Z125" s="164">
        <f t="shared" si="325"/>
        <v>0</v>
      </c>
      <c r="AA125" s="164">
        <f t="shared" si="325"/>
        <v>0</v>
      </c>
      <c r="AB125" s="164">
        <f t="shared" ref="M125:BK130" si="326">IF($I125&lt;=AB$74,AA125+1,)</f>
        <v>0</v>
      </c>
      <c r="AC125" s="164">
        <f t="shared" si="326"/>
        <v>0</v>
      </c>
      <c r="AD125" s="164">
        <f t="shared" si="326"/>
        <v>0</v>
      </c>
      <c r="AE125" s="164">
        <f t="shared" si="326"/>
        <v>0</v>
      </c>
      <c r="AF125" s="164">
        <f t="shared" si="326"/>
        <v>0</v>
      </c>
      <c r="AG125" s="164">
        <f t="shared" si="326"/>
        <v>0</v>
      </c>
      <c r="AH125" s="164">
        <f t="shared" si="326"/>
        <v>0</v>
      </c>
      <c r="AI125" s="164">
        <f t="shared" si="326"/>
        <v>0</v>
      </c>
      <c r="AJ125" s="164">
        <f t="shared" si="326"/>
        <v>0</v>
      </c>
      <c r="AK125" s="164">
        <f t="shared" si="326"/>
        <v>0</v>
      </c>
      <c r="AL125" s="164">
        <f t="shared" si="326"/>
        <v>0</v>
      </c>
      <c r="AM125" s="164">
        <f t="shared" si="326"/>
        <v>0</v>
      </c>
      <c r="AN125" s="164">
        <f t="shared" si="326"/>
        <v>0</v>
      </c>
      <c r="AO125" s="164">
        <f t="shared" si="326"/>
        <v>0</v>
      </c>
      <c r="AP125" s="164">
        <f t="shared" si="326"/>
        <v>0</v>
      </c>
      <c r="AQ125" s="164">
        <f t="shared" si="326"/>
        <v>0</v>
      </c>
      <c r="AR125" s="164">
        <f t="shared" si="326"/>
        <v>0</v>
      </c>
      <c r="AS125" s="164">
        <f t="shared" si="326"/>
        <v>0</v>
      </c>
      <c r="AT125" s="164">
        <f t="shared" si="326"/>
        <v>0</v>
      </c>
      <c r="AU125" s="164">
        <f t="shared" si="326"/>
        <v>0</v>
      </c>
      <c r="AV125" s="164">
        <f t="shared" si="326"/>
        <v>0</v>
      </c>
      <c r="AW125" s="164">
        <f t="shared" si="326"/>
        <v>0</v>
      </c>
      <c r="AX125" s="164">
        <f t="shared" si="326"/>
        <v>0</v>
      </c>
      <c r="AY125" s="164">
        <f t="shared" si="326"/>
        <v>0</v>
      </c>
      <c r="AZ125" s="164">
        <f t="shared" si="326"/>
        <v>0</v>
      </c>
      <c r="BA125" s="164">
        <f t="shared" si="326"/>
        <v>0</v>
      </c>
      <c r="BB125" s="164">
        <f t="shared" si="326"/>
        <v>0</v>
      </c>
      <c r="BC125" s="164">
        <f t="shared" si="326"/>
        <v>0</v>
      </c>
      <c r="BD125" s="164">
        <f t="shared" si="326"/>
        <v>0</v>
      </c>
      <c r="BE125" s="164">
        <f t="shared" si="326"/>
        <v>0</v>
      </c>
      <c r="BF125" s="164">
        <f t="shared" si="326"/>
        <v>0</v>
      </c>
      <c r="BG125" s="164">
        <f t="shared" si="326"/>
        <v>0</v>
      </c>
      <c r="BH125" s="164">
        <f t="shared" si="326"/>
        <v>0</v>
      </c>
      <c r="BI125" s="164">
        <f t="shared" si="326"/>
        <v>0</v>
      </c>
      <c r="BJ125" s="164">
        <f t="shared" si="326"/>
        <v>0</v>
      </c>
      <c r="BK125" s="33">
        <f t="shared" si="326"/>
        <v>0</v>
      </c>
    </row>
    <row r="126" spans="9:63">
      <c r="I126" s="31">
        <v>47</v>
      </c>
      <c r="L126" s="225">
        <f t="shared" si="317"/>
        <v>0</v>
      </c>
      <c r="M126" s="164">
        <f t="shared" si="326"/>
        <v>0</v>
      </c>
      <c r="N126" s="164">
        <f t="shared" si="326"/>
        <v>0</v>
      </c>
      <c r="O126" s="164">
        <f t="shared" si="326"/>
        <v>0</v>
      </c>
      <c r="P126" s="164">
        <f t="shared" si="326"/>
        <v>0</v>
      </c>
      <c r="Q126" s="164">
        <f t="shared" si="326"/>
        <v>0</v>
      </c>
      <c r="R126" s="164">
        <f t="shared" si="326"/>
        <v>0</v>
      </c>
      <c r="S126" s="164">
        <f t="shared" si="326"/>
        <v>0</v>
      </c>
      <c r="T126" s="164">
        <f t="shared" si="326"/>
        <v>0</v>
      </c>
      <c r="U126" s="164">
        <f t="shared" si="326"/>
        <v>0</v>
      </c>
      <c r="V126" s="164">
        <f t="shared" si="326"/>
        <v>0</v>
      </c>
      <c r="W126" s="164">
        <f t="shared" si="326"/>
        <v>0</v>
      </c>
      <c r="X126" s="164">
        <f t="shared" si="326"/>
        <v>0</v>
      </c>
      <c r="Y126" s="164">
        <f t="shared" si="326"/>
        <v>0</v>
      </c>
      <c r="Z126" s="164">
        <f t="shared" si="326"/>
        <v>0</v>
      </c>
      <c r="AA126" s="164">
        <f t="shared" si="326"/>
        <v>0</v>
      </c>
      <c r="AB126" s="164">
        <f t="shared" si="326"/>
        <v>0</v>
      </c>
      <c r="AC126" s="164">
        <f t="shared" si="326"/>
        <v>0</v>
      </c>
      <c r="AD126" s="164">
        <f t="shared" si="326"/>
        <v>0</v>
      </c>
      <c r="AE126" s="164">
        <f t="shared" si="326"/>
        <v>0</v>
      </c>
      <c r="AF126" s="164">
        <f t="shared" si="326"/>
        <v>0</v>
      </c>
      <c r="AG126" s="164">
        <f t="shared" si="326"/>
        <v>0</v>
      </c>
      <c r="AH126" s="164">
        <f t="shared" si="326"/>
        <v>0</v>
      </c>
      <c r="AI126" s="164">
        <f t="shared" si="326"/>
        <v>0</v>
      </c>
      <c r="AJ126" s="164">
        <f t="shared" si="326"/>
        <v>0</v>
      </c>
      <c r="AK126" s="164">
        <f t="shared" si="326"/>
        <v>0</v>
      </c>
      <c r="AL126" s="164">
        <f t="shared" si="326"/>
        <v>0</v>
      </c>
      <c r="AM126" s="164">
        <f t="shared" si="326"/>
        <v>0</v>
      </c>
      <c r="AN126" s="164">
        <f t="shared" si="326"/>
        <v>0</v>
      </c>
      <c r="AO126" s="164">
        <f t="shared" si="326"/>
        <v>0</v>
      </c>
      <c r="AP126" s="164">
        <f t="shared" si="326"/>
        <v>0</v>
      </c>
      <c r="AQ126" s="164">
        <f t="shared" si="326"/>
        <v>0</v>
      </c>
      <c r="AR126" s="164">
        <f t="shared" si="326"/>
        <v>0</v>
      </c>
      <c r="AS126" s="164">
        <f t="shared" si="326"/>
        <v>0</v>
      </c>
      <c r="AT126" s="164">
        <f t="shared" si="326"/>
        <v>0</v>
      </c>
      <c r="AU126" s="164">
        <f t="shared" si="326"/>
        <v>0</v>
      </c>
      <c r="AV126" s="164">
        <f t="shared" si="326"/>
        <v>0</v>
      </c>
      <c r="AW126" s="164">
        <f t="shared" si="326"/>
        <v>0</v>
      </c>
      <c r="AX126" s="164">
        <f t="shared" si="326"/>
        <v>0</v>
      </c>
      <c r="AY126" s="164">
        <f t="shared" si="326"/>
        <v>0</v>
      </c>
      <c r="AZ126" s="164">
        <f t="shared" si="326"/>
        <v>0</v>
      </c>
      <c r="BA126" s="164">
        <f t="shared" si="326"/>
        <v>0</v>
      </c>
      <c r="BB126" s="164">
        <f t="shared" si="326"/>
        <v>0</v>
      </c>
      <c r="BC126" s="164">
        <f t="shared" si="326"/>
        <v>0</v>
      </c>
      <c r="BD126" s="164">
        <f t="shared" si="326"/>
        <v>0</v>
      </c>
      <c r="BE126" s="164">
        <f t="shared" si="326"/>
        <v>0</v>
      </c>
      <c r="BF126" s="164">
        <f t="shared" si="326"/>
        <v>0</v>
      </c>
      <c r="BG126" s="164">
        <f t="shared" si="326"/>
        <v>0</v>
      </c>
      <c r="BH126" s="164">
        <f t="shared" si="326"/>
        <v>0</v>
      </c>
      <c r="BI126" s="164">
        <f t="shared" si="326"/>
        <v>0</v>
      </c>
      <c r="BJ126" s="164">
        <f t="shared" si="326"/>
        <v>0</v>
      </c>
      <c r="BK126" s="33">
        <f t="shared" si="326"/>
        <v>0</v>
      </c>
    </row>
    <row r="127" spans="9:63">
      <c r="I127" s="31">
        <v>48</v>
      </c>
      <c r="L127" s="225">
        <f t="shared" si="317"/>
        <v>0</v>
      </c>
      <c r="M127" s="164">
        <f t="shared" si="326"/>
        <v>0</v>
      </c>
      <c r="N127" s="164">
        <f t="shared" si="326"/>
        <v>0</v>
      </c>
      <c r="O127" s="164">
        <f t="shared" si="326"/>
        <v>0</v>
      </c>
      <c r="P127" s="164">
        <f t="shared" si="326"/>
        <v>0</v>
      </c>
      <c r="Q127" s="164">
        <f t="shared" si="326"/>
        <v>0</v>
      </c>
      <c r="R127" s="164">
        <f t="shared" si="326"/>
        <v>0</v>
      </c>
      <c r="S127" s="164">
        <f t="shared" si="326"/>
        <v>0</v>
      </c>
      <c r="T127" s="164">
        <f t="shared" si="326"/>
        <v>0</v>
      </c>
      <c r="U127" s="164">
        <f t="shared" si="326"/>
        <v>0</v>
      </c>
      <c r="V127" s="164">
        <f t="shared" si="326"/>
        <v>0</v>
      </c>
      <c r="W127" s="164">
        <f t="shared" si="326"/>
        <v>0</v>
      </c>
      <c r="X127" s="164">
        <f t="shared" si="326"/>
        <v>0</v>
      </c>
      <c r="Y127" s="164">
        <f t="shared" si="326"/>
        <v>0</v>
      </c>
      <c r="Z127" s="164">
        <f t="shared" si="326"/>
        <v>0</v>
      </c>
      <c r="AA127" s="164">
        <f t="shared" si="326"/>
        <v>0</v>
      </c>
      <c r="AB127" s="164">
        <f t="shared" si="326"/>
        <v>0</v>
      </c>
      <c r="AC127" s="164">
        <f t="shared" si="326"/>
        <v>0</v>
      </c>
      <c r="AD127" s="164">
        <f t="shared" si="326"/>
        <v>0</v>
      </c>
      <c r="AE127" s="164">
        <f t="shared" si="326"/>
        <v>0</v>
      </c>
      <c r="AF127" s="164">
        <f t="shared" si="326"/>
        <v>0</v>
      </c>
      <c r="AG127" s="164">
        <f t="shared" si="326"/>
        <v>0</v>
      </c>
      <c r="AH127" s="164">
        <f t="shared" si="326"/>
        <v>0</v>
      </c>
      <c r="AI127" s="164">
        <f t="shared" si="326"/>
        <v>0</v>
      </c>
      <c r="AJ127" s="164">
        <f t="shared" si="326"/>
        <v>0</v>
      </c>
      <c r="AK127" s="164">
        <f t="shared" si="326"/>
        <v>0</v>
      </c>
      <c r="AL127" s="164">
        <f t="shared" si="326"/>
        <v>0</v>
      </c>
      <c r="AM127" s="164">
        <f t="shared" si="326"/>
        <v>0</v>
      </c>
      <c r="AN127" s="164">
        <f t="shared" si="326"/>
        <v>0</v>
      </c>
      <c r="AO127" s="164">
        <f t="shared" si="326"/>
        <v>0</v>
      </c>
      <c r="AP127" s="164">
        <f t="shared" si="326"/>
        <v>0</v>
      </c>
      <c r="AQ127" s="164">
        <f t="shared" si="326"/>
        <v>0</v>
      </c>
      <c r="AR127" s="164">
        <f t="shared" si="326"/>
        <v>0</v>
      </c>
      <c r="AS127" s="164">
        <f t="shared" si="326"/>
        <v>0</v>
      </c>
      <c r="AT127" s="164">
        <f t="shared" si="326"/>
        <v>0</v>
      </c>
      <c r="AU127" s="164">
        <f t="shared" si="326"/>
        <v>0</v>
      </c>
      <c r="AV127" s="164">
        <f t="shared" si="326"/>
        <v>0</v>
      </c>
      <c r="AW127" s="164">
        <f t="shared" si="326"/>
        <v>0</v>
      </c>
      <c r="AX127" s="164">
        <f t="shared" si="326"/>
        <v>0</v>
      </c>
      <c r="AY127" s="164">
        <f t="shared" si="326"/>
        <v>0</v>
      </c>
      <c r="AZ127" s="164">
        <f t="shared" si="326"/>
        <v>0</v>
      </c>
      <c r="BA127" s="164">
        <f t="shared" si="326"/>
        <v>0</v>
      </c>
      <c r="BB127" s="164">
        <f t="shared" si="326"/>
        <v>0</v>
      </c>
      <c r="BC127" s="164">
        <f t="shared" si="326"/>
        <v>0</v>
      </c>
      <c r="BD127" s="164">
        <f t="shared" si="326"/>
        <v>0</v>
      </c>
      <c r="BE127" s="164">
        <f t="shared" si="326"/>
        <v>0</v>
      </c>
      <c r="BF127" s="164">
        <f t="shared" si="326"/>
        <v>0</v>
      </c>
      <c r="BG127" s="164">
        <f t="shared" si="326"/>
        <v>0</v>
      </c>
      <c r="BH127" s="164">
        <f t="shared" si="326"/>
        <v>0</v>
      </c>
      <c r="BI127" s="164">
        <f t="shared" si="326"/>
        <v>0</v>
      </c>
      <c r="BJ127" s="164">
        <f t="shared" si="326"/>
        <v>0</v>
      </c>
      <c r="BK127" s="33">
        <f t="shared" si="326"/>
        <v>0</v>
      </c>
    </row>
    <row r="128" spans="9:63">
      <c r="I128" s="31">
        <v>49</v>
      </c>
      <c r="L128" s="225">
        <f t="shared" si="317"/>
        <v>0</v>
      </c>
      <c r="M128" s="164">
        <f t="shared" si="326"/>
        <v>0</v>
      </c>
      <c r="N128" s="164">
        <f t="shared" si="326"/>
        <v>0</v>
      </c>
      <c r="O128" s="164">
        <f t="shared" si="326"/>
        <v>0</v>
      </c>
      <c r="P128" s="164">
        <f t="shared" si="326"/>
        <v>0</v>
      </c>
      <c r="Q128" s="164">
        <f t="shared" si="326"/>
        <v>0</v>
      </c>
      <c r="R128" s="164">
        <f t="shared" si="326"/>
        <v>0</v>
      </c>
      <c r="S128" s="164">
        <f t="shared" si="326"/>
        <v>0</v>
      </c>
      <c r="T128" s="164">
        <f t="shared" si="326"/>
        <v>0</v>
      </c>
      <c r="U128" s="164">
        <f t="shared" si="326"/>
        <v>0</v>
      </c>
      <c r="V128" s="164">
        <f t="shared" si="326"/>
        <v>0</v>
      </c>
      <c r="W128" s="164">
        <f t="shared" si="326"/>
        <v>0</v>
      </c>
      <c r="X128" s="164">
        <f t="shared" si="326"/>
        <v>0</v>
      </c>
      <c r="Y128" s="164">
        <f t="shared" si="326"/>
        <v>0</v>
      </c>
      <c r="Z128" s="164">
        <f t="shared" si="326"/>
        <v>0</v>
      </c>
      <c r="AA128" s="164">
        <f t="shared" si="326"/>
        <v>0</v>
      </c>
      <c r="AB128" s="164">
        <f t="shared" si="326"/>
        <v>0</v>
      </c>
      <c r="AC128" s="164">
        <f t="shared" si="326"/>
        <v>0</v>
      </c>
      <c r="AD128" s="164">
        <f t="shared" si="326"/>
        <v>0</v>
      </c>
      <c r="AE128" s="164">
        <f t="shared" si="326"/>
        <v>0</v>
      </c>
      <c r="AF128" s="164">
        <f t="shared" si="326"/>
        <v>0</v>
      </c>
      <c r="AG128" s="164">
        <f t="shared" si="326"/>
        <v>0</v>
      </c>
      <c r="AH128" s="164">
        <f t="shared" si="326"/>
        <v>0</v>
      </c>
      <c r="AI128" s="164">
        <f t="shared" si="326"/>
        <v>0</v>
      </c>
      <c r="AJ128" s="164">
        <f t="shared" si="326"/>
        <v>0</v>
      </c>
      <c r="AK128" s="164">
        <f t="shared" si="326"/>
        <v>0</v>
      </c>
      <c r="AL128" s="164">
        <f t="shared" si="326"/>
        <v>0</v>
      </c>
      <c r="AM128" s="164">
        <f t="shared" si="326"/>
        <v>0</v>
      </c>
      <c r="AN128" s="164">
        <f t="shared" si="326"/>
        <v>0</v>
      </c>
      <c r="AO128" s="164">
        <f t="shared" si="326"/>
        <v>0</v>
      </c>
      <c r="AP128" s="164">
        <f t="shared" si="326"/>
        <v>0</v>
      </c>
      <c r="AQ128" s="164">
        <f t="shared" si="326"/>
        <v>0</v>
      </c>
      <c r="AR128" s="164">
        <f t="shared" si="326"/>
        <v>0</v>
      </c>
      <c r="AS128" s="164">
        <f t="shared" si="326"/>
        <v>0</v>
      </c>
      <c r="AT128" s="164">
        <f t="shared" si="326"/>
        <v>0</v>
      </c>
      <c r="AU128" s="164">
        <f t="shared" si="326"/>
        <v>0</v>
      </c>
      <c r="AV128" s="164">
        <f t="shared" si="326"/>
        <v>0</v>
      </c>
      <c r="AW128" s="164">
        <f t="shared" si="326"/>
        <v>0</v>
      </c>
      <c r="AX128" s="164">
        <f t="shared" si="326"/>
        <v>0</v>
      </c>
      <c r="AY128" s="164">
        <f t="shared" si="326"/>
        <v>0</v>
      </c>
      <c r="AZ128" s="164">
        <f t="shared" si="326"/>
        <v>0</v>
      </c>
      <c r="BA128" s="164">
        <f t="shared" si="326"/>
        <v>0</v>
      </c>
      <c r="BB128" s="164">
        <f t="shared" si="326"/>
        <v>0</v>
      </c>
      <c r="BC128" s="164">
        <f t="shared" si="326"/>
        <v>0</v>
      </c>
      <c r="BD128" s="164">
        <f t="shared" si="326"/>
        <v>0</v>
      </c>
      <c r="BE128" s="164">
        <f t="shared" si="326"/>
        <v>0</v>
      </c>
      <c r="BF128" s="164">
        <f t="shared" si="326"/>
        <v>0</v>
      </c>
      <c r="BG128" s="164">
        <f t="shared" si="326"/>
        <v>0</v>
      </c>
      <c r="BH128" s="164">
        <f t="shared" si="326"/>
        <v>0</v>
      </c>
      <c r="BI128" s="164">
        <f t="shared" si="326"/>
        <v>0</v>
      </c>
      <c r="BJ128" s="164">
        <f t="shared" si="326"/>
        <v>0</v>
      </c>
      <c r="BK128" s="33">
        <f t="shared" si="326"/>
        <v>0</v>
      </c>
    </row>
    <row r="129" spans="9:63">
      <c r="I129" s="31">
        <v>50</v>
      </c>
      <c r="L129" s="225">
        <f t="shared" si="317"/>
        <v>0</v>
      </c>
      <c r="M129" s="164">
        <f t="shared" si="326"/>
        <v>0</v>
      </c>
      <c r="N129" s="164">
        <f t="shared" si="326"/>
        <v>0</v>
      </c>
      <c r="O129" s="164">
        <f t="shared" si="326"/>
        <v>0</v>
      </c>
      <c r="P129" s="164">
        <f t="shared" si="326"/>
        <v>0</v>
      </c>
      <c r="Q129" s="164">
        <f t="shared" si="326"/>
        <v>0</v>
      </c>
      <c r="R129" s="164">
        <f t="shared" si="326"/>
        <v>0</v>
      </c>
      <c r="S129" s="164">
        <f t="shared" si="326"/>
        <v>0</v>
      </c>
      <c r="T129" s="164">
        <f t="shared" si="326"/>
        <v>0</v>
      </c>
      <c r="U129" s="164">
        <f t="shared" si="326"/>
        <v>0</v>
      </c>
      <c r="V129" s="164">
        <f t="shared" si="326"/>
        <v>0</v>
      </c>
      <c r="W129" s="164">
        <f t="shared" si="326"/>
        <v>0</v>
      </c>
      <c r="X129" s="164">
        <f t="shared" si="326"/>
        <v>0</v>
      </c>
      <c r="Y129" s="164">
        <f t="shared" si="326"/>
        <v>0</v>
      </c>
      <c r="Z129" s="164">
        <f t="shared" si="326"/>
        <v>0</v>
      </c>
      <c r="AA129" s="164">
        <f t="shared" si="326"/>
        <v>0</v>
      </c>
      <c r="AB129" s="164">
        <f t="shared" si="326"/>
        <v>0</v>
      </c>
      <c r="AC129" s="164">
        <f t="shared" si="326"/>
        <v>0</v>
      </c>
      <c r="AD129" s="164">
        <f t="shared" si="326"/>
        <v>0</v>
      </c>
      <c r="AE129" s="164">
        <f t="shared" si="326"/>
        <v>0</v>
      </c>
      <c r="AF129" s="164">
        <f t="shared" si="326"/>
        <v>0</v>
      </c>
      <c r="AG129" s="164">
        <f t="shared" si="326"/>
        <v>0</v>
      </c>
      <c r="AH129" s="164">
        <f t="shared" si="326"/>
        <v>0</v>
      </c>
      <c r="AI129" s="164">
        <f t="shared" si="326"/>
        <v>0</v>
      </c>
      <c r="AJ129" s="164">
        <f t="shared" si="326"/>
        <v>0</v>
      </c>
      <c r="AK129" s="164">
        <f t="shared" si="326"/>
        <v>0</v>
      </c>
      <c r="AL129" s="164">
        <f t="shared" si="326"/>
        <v>0</v>
      </c>
      <c r="AM129" s="164">
        <f t="shared" si="326"/>
        <v>0</v>
      </c>
      <c r="AN129" s="164">
        <f t="shared" si="326"/>
        <v>0</v>
      </c>
      <c r="AO129" s="164">
        <f t="shared" si="326"/>
        <v>0</v>
      </c>
      <c r="AP129" s="164">
        <f t="shared" si="326"/>
        <v>0</v>
      </c>
      <c r="AQ129" s="164">
        <f t="shared" si="326"/>
        <v>0</v>
      </c>
      <c r="AR129" s="164">
        <f t="shared" si="326"/>
        <v>0</v>
      </c>
      <c r="AS129" s="164">
        <f t="shared" si="326"/>
        <v>0</v>
      </c>
      <c r="AT129" s="164">
        <f t="shared" si="326"/>
        <v>0</v>
      </c>
      <c r="AU129" s="164">
        <f t="shared" si="326"/>
        <v>0</v>
      </c>
      <c r="AV129" s="164">
        <f t="shared" si="326"/>
        <v>0</v>
      </c>
      <c r="AW129" s="164">
        <f t="shared" si="326"/>
        <v>0</v>
      </c>
      <c r="AX129" s="164">
        <f t="shared" si="326"/>
        <v>0</v>
      </c>
      <c r="AY129" s="164">
        <f t="shared" si="326"/>
        <v>0</v>
      </c>
      <c r="AZ129" s="164">
        <f t="shared" si="326"/>
        <v>0</v>
      </c>
      <c r="BA129" s="164">
        <f t="shared" si="326"/>
        <v>0</v>
      </c>
      <c r="BB129" s="164">
        <f t="shared" si="326"/>
        <v>0</v>
      </c>
      <c r="BC129" s="164">
        <f t="shared" si="326"/>
        <v>0</v>
      </c>
      <c r="BD129" s="164">
        <f t="shared" si="326"/>
        <v>0</v>
      </c>
      <c r="BE129" s="164">
        <f t="shared" si="326"/>
        <v>0</v>
      </c>
      <c r="BF129" s="164">
        <f t="shared" si="326"/>
        <v>0</v>
      </c>
      <c r="BG129" s="164">
        <f t="shared" si="326"/>
        <v>0</v>
      </c>
      <c r="BH129" s="164">
        <f t="shared" si="326"/>
        <v>0</v>
      </c>
      <c r="BI129" s="164">
        <f t="shared" si="326"/>
        <v>0</v>
      </c>
      <c r="BJ129" s="164">
        <f t="shared" si="326"/>
        <v>0</v>
      </c>
      <c r="BK129" s="33">
        <f t="shared" si="326"/>
        <v>0</v>
      </c>
    </row>
    <row r="130" spans="9:63">
      <c r="I130" s="31">
        <v>51</v>
      </c>
      <c r="L130" s="225">
        <f t="shared" si="317"/>
        <v>0</v>
      </c>
      <c r="M130" s="164">
        <f t="shared" si="326"/>
        <v>0</v>
      </c>
      <c r="N130" s="164">
        <f t="shared" si="326"/>
        <v>0</v>
      </c>
      <c r="O130" s="164">
        <f t="shared" si="326"/>
        <v>0</v>
      </c>
      <c r="P130" s="164">
        <f t="shared" si="326"/>
        <v>0</v>
      </c>
      <c r="Q130" s="164">
        <f t="shared" si="326"/>
        <v>0</v>
      </c>
      <c r="R130" s="164">
        <f t="shared" si="326"/>
        <v>0</v>
      </c>
      <c r="S130" s="164">
        <f t="shared" si="326"/>
        <v>0</v>
      </c>
      <c r="T130" s="164">
        <f t="shared" si="326"/>
        <v>0</v>
      </c>
      <c r="U130" s="164">
        <f t="shared" si="326"/>
        <v>0</v>
      </c>
      <c r="V130" s="164">
        <f t="shared" si="326"/>
        <v>0</v>
      </c>
      <c r="W130" s="164">
        <f t="shared" si="326"/>
        <v>0</v>
      </c>
      <c r="X130" s="164">
        <f t="shared" si="326"/>
        <v>0</v>
      </c>
      <c r="Y130" s="164">
        <f t="shared" si="326"/>
        <v>0</v>
      </c>
      <c r="Z130" s="164">
        <f t="shared" si="326"/>
        <v>0</v>
      </c>
      <c r="AA130" s="164">
        <f t="shared" si="326"/>
        <v>0</v>
      </c>
      <c r="AB130" s="164">
        <f t="shared" ref="M130:BK135" si="327">IF($I130&lt;=AB$74,AA130+1,)</f>
        <v>0</v>
      </c>
      <c r="AC130" s="164">
        <f t="shared" si="327"/>
        <v>0</v>
      </c>
      <c r="AD130" s="164">
        <f t="shared" si="327"/>
        <v>0</v>
      </c>
      <c r="AE130" s="164">
        <f t="shared" si="327"/>
        <v>0</v>
      </c>
      <c r="AF130" s="164">
        <f t="shared" si="327"/>
        <v>0</v>
      </c>
      <c r="AG130" s="164">
        <f t="shared" si="327"/>
        <v>0</v>
      </c>
      <c r="AH130" s="164">
        <f t="shared" si="327"/>
        <v>0</v>
      </c>
      <c r="AI130" s="164">
        <f t="shared" si="327"/>
        <v>0</v>
      </c>
      <c r="AJ130" s="164">
        <f t="shared" si="327"/>
        <v>0</v>
      </c>
      <c r="AK130" s="164">
        <f t="shared" si="327"/>
        <v>0</v>
      </c>
      <c r="AL130" s="164">
        <f t="shared" si="327"/>
        <v>0</v>
      </c>
      <c r="AM130" s="164">
        <f t="shared" si="327"/>
        <v>0</v>
      </c>
      <c r="AN130" s="164">
        <f t="shared" si="327"/>
        <v>0</v>
      </c>
      <c r="AO130" s="164">
        <f t="shared" si="327"/>
        <v>0</v>
      </c>
      <c r="AP130" s="164">
        <f t="shared" si="327"/>
        <v>0</v>
      </c>
      <c r="AQ130" s="164">
        <f t="shared" si="327"/>
        <v>0</v>
      </c>
      <c r="AR130" s="164">
        <f t="shared" si="327"/>
        <v>0</v>
      </c>
      <c r="AS130" s="164">
        <f t="shared" si="327"/>
        <v>0</v>
      </c>
      <c r="AT130" s="164">
        <f t="shared" si="327"/>
        <v>0</v>
      </c>
      <c r="AU130" s="164">
        <f t="shared" si="327"/>
        <v>0</v>
      </c>
      <c r="AV130" s="164">
        <f t="shared" si="327"/>
        <v>0</v>
      </c>
      <c r="AW130" s="164">
        <f t="shared" si="327"/>
        <v>0</v>
      </c>
      <c r="AX130" s="164">
        <f t="shared" si="327"/>
        <v>0</v>
      </c>
      <c r="AY130" s="164">
        <f t="shared" si="327"/>
        <v>0</v>
      </c>
      <c r="AZ130" s="164">
        <f t="shared" si="327"/>
        <v>0</v>
      </c>
      <c r="BA130" s="164">
        <f t="shared" si="327"/>
        <v>0</v>
      </c>
      <c r="BB130" s="164">
        <f t="shared" si="327"/>
        <v>0</v>
      </c>
      <c r="BC130" s="164">
        <f t="shared" si="327"/>
        <v>0</v>
      </c>
      <c r="BD130" s="164">
        <f t="shared" si="327"/>
        <v>0</v>
      </c>
      <c r="BE130" s="164">
        <f t="shared" si="327"/>
        <v>0</v>
      </c>
      <c r="BF130" s="164">
        <f t="shared" si="327"/>
        <v>0</v>
      </c>
      <c r="BG130" s="164">
        <f t="shared" si="327"/>
        <v>0</v>
      </c>
      <c r="BH130" s="164">
        <f t="shared" si="327"/>
        <v>0</v>
      </c>
      <c r="BI130" s="164">
        <f t="shared" si="327"/>
        <v>0</v>
      </c>
      <c r="BJ130" s="164">
        <f t="shared" si="327"/>
        <v>0</v>
      </c>
      <c r="BK130" s="33">
        <f t="shared" si="327"/>
        <v>0</v>
      </c>
    </row>
    <row r="131" spans="9:63">
      <c r="I131" s="31">
        <v>52</v>
      </c>
      <c r="L131" s="225">
        <f t="shared" si="317"/>
        <v>0</v>
      </c>
      <c r="M131" s="164">
        <f t="shared" si="327"/>
        <v>0</v>
      </c>
      <c r="N131" s="164">
        <f t="shared" si="327"/>
        <v>0</v>
      </c>
      <c r="O131" s="164">
        <f t="shared" si="327"/>
        <v>0</v>
      </c>
      <c r="P131" s="164">
        <f t="shared" si="327"/>
        <v>0</v>
      </c>
      <c r="Q131" s="164">
        <f t="shared" si="327"/>
        <v>0</v>
      </c>
      <c r="R131" s="164">
        <f t="shared" si="327"/>
        <v>0</v>
      </c>
      <c r="S131" s="164">
        <f t="shared" si="327"/>
        <v>0</v>
      </c>
      <c r="T131" s="164">
        <f t="shared" si="327"/>
        <v>0</v>
      </c>
      <c r="U131" s="164">
        <f t="shared" si="327"/>
        <v>0</v>
      </c>
      <c r="V131" s="164">
        <f t="shared" si="327"/>
        <v>0</v>
      </c>
      <c r="W131" s="164">
        <f t="shared" si="327"/>
        <v>0</v>
      </c>
      <c r="X131" s="164">
        <f t="shared" si="327"/>
        <v>0</v>
      </c>
      <c r="Y131" s="164">
        <f t="shared" si="327"/>
        <v>0</v>
      </c>
      <c r="Z131" s="164">
        <f t="shared" si="327"/>
        <v>0</v>
      </c>
      <c r="AA131" s="164">
        <f t="shared" si="327"/>
        <v>0</v>
      </c>
      <c r="AB131" s="164">
        <f t="shared" si="327"/>
        <v>0</v>
      </c>
      <c r="AC131" s="164">
        <f t="shared" si="327"/>
        <v>0</v>
      </c>
      <c r="AD131" s="164">
        <f t="shared" si="327"/>
        <v>0</v>
      </c>
      <c r="AE131" s="164">
        <f t="shared" si="327"/>
        <v>0</v>
      </c>
      <c r="AF131" s="164">
        <f t="shared" si="327"/>
        <v>0</v>
      </c>
      <c r="AG131" s="164">
        <f t="shared" si="327"/>
        <v>0</v>
      </c>
      <c r="AH131" s="164">
        <f t="shared" si="327"/>
        <v>0</v>
      </c>
      <c r="AI131" s="164">
        <f t="shared" si="327"/>
        <v>0</v>
      </c>
      <c r="AJ131" s="164">
        <f t="shared" si="327"/>
        <v>0</v>
      </c>
      <c r="AK131" s="164">
        <f t="shared" si="327"/>
        <v>0</v>
      </c>
      <c r="AL131" s="164">
        <f t="shared" si="327"/>
        <v>0</v>
      </c>
      <c r="AM131" s="164">
        <f t="shared" si="327"/>
        <v>0</v>
      </c>
      <c r="AN131" s="164">
        <f t="shared" si="327"/>
        <v>0</v>
      </c>
      <c r="AO131" s="164">
        <f t="shared" si="327"/>
        <v>0</v>
      </c>
      <c r="AP131" s="164">
        <f t="shared" si="327"/>
        <v>0</v>
      </c>
      <c r="AQ131" s="164">
        <f t="shared" si="327"/>
        <v>0</v>
      </c>
      <c r="AR131" s="164">
        <f t="shared" si="327"/>
        <v>0</v>
      </c>
      <c r="AS131" s="164">
        <f t="shared" si="327"/>
        <v>0</v>
      </c>
      <c r="AT131" s="164">
        <f t="shared" si="327"/>
        <v>0</v>
      </c>
      <c r="AU131" s="164">
        <f t="shared" si="327"/>
        <v>0</v>
      </c>
      <c r="AV131" s="164">
        <f t="shared" si="327"/>
        <v>0</v>
      </c>
      <c r="AW131" s="164">
        <f t="shared" si="327"/>
        <v>0</v>
      </c>
      <c r="AX131" s="164">
        <f t="shared" si="327"/>
        <v>0</v>
      </c>
      <c r="AY131" s="164">
        <f t="shared" si="327"/>
        <v>0</v>
      </c>
      <c r="AZ131" s="164">
        <f t="shared" si="327"/>
        <v>0</v>
      </c>
      <c r="BA131" s="164">
        <f t="shared" si="327"/>
        <v>0</v>
      </c>
      <c r="BB131" s="164">
        <f t="shared" si="327"/>
        <v>0</v>
      </c>
      <c r="BC131" s="164">
        <f t="shared" si="327"/>
        <v>0</v>
      </c>
      <c r="BD131" s="164">
        <f t="shared" si="327"/>
        <v>0</v>
      </c>
      <c r="BE131" s="164">
        <f t="shared" si="327"/>
        <v>0</v>
      </c>
      <c r="BF131" s="164">
        <f t="shared" si="327"/>
        <v>0</v>
      </c>
      <c r="BG131" s="164">
        <f t="shared" si="327"/>
        <v>0</v>
      </c>
      <c r="BH131" s="164">
        <f t="shared" si="327"/>
        <v>0</v>
      </c>
      <c r="BI131" s="164">
        <f t="shared" si="327"/>
        <v>0</v>
      </c>
      <c r="BJ131" s="164">
        <f t="shared" si="327"/>
        <v>0</v>
      </c>
      <c r="BK131" s="33">
        <f t="shared" si="327"/>
        <v>0</v>
      </c>
    </row>
    <row r="132" spans="9:63">
      <c r="I132" s="31">
        <v>53</v>
      </c>
      <c r="L132" s="225">
        <f t="shared" si="317"/>
        <v>0</v>
      </c>
      <c r="M132" s="164">
        <f t="shared" si="327"/>
        <v>0</v>
      </c>
      <c r="N132" s="164">
        <f t="shared" si="327"/>
        <v>0</v>
      </c>
      <c r="O132" s="164">
        <f t="shared" si="327"/>
        <v>0</v>
      </c>
      <c r="P132" s="164">
        <f t="shared" si="327"/>
        <v>0</v>
      </c>
      <c r="Q132" s="164">
        <f t="shared" si="327"/>
        <v>0</v>
      </c>
      <c r="R132" s="164">
        <f t="shared" si="327"/>
        <v>0</v>
      </c>
      <c r="S132" s="164">
        <f t="shared" si="327"/>
        <v>0</v>
      </c>
      <c r="T132" s="164">
        <f t="shared" si="327"/>
        <v>0</v>
      </c>
      <c r="U132" s="164">
        <f t="shared" si="327"/>
        <v>0</v>
      </c>
      <c r="V132" s="164">
        <f t="shared" si="327"/>
        <v>0</v>
      </c>
      <c r="W132" s="164">
        <f t="shared" si="327"/>
        <v>0</v>
      </c>
      <c r="X132" s="164">
        <f t="shared" si="327"/>
        <v>0</v>
      </c>
      <c r="Y132" s="164">
        <f t="shared" si="327"/>
        <v>0</v>
      </c>
      <c r="Z132" s="164">
        <f t="shared" si="327"/>
        <v>0</v>
      </c>
      <c r="AA132" s="164">
        <f t="shared" si="327"/>
        <v>0</v>
      </c>
      <c r="AB132" s="164">
        <f t="shared" si="327"/>
        <v>0</v>
      </c>
      <c r="AC132" s="164">
        <f t="shared" si="327"/>
        <v>0</v>
      </c>
      <c r="AD132" s="164">
        <f t="shared" si="327"/>
        <v>0</v>
      </c>
      <c r="AE132" s="164">
        <f t="shared" si="327"/>
        <v>0</v>
      </c>
      <c r="AF132" s="164">
        <f t="shared" si="327"/>
        <v>0</v>
      </c>
      <c r="AG132" s="164">
        <f t="shared" si="327"/>
        <v>0</v>
      </c>
      <c r="AH132" s="164">
        <f t="shared" si="327"/>
        <v>0</v>
      </c>
      <c r="AI132" s="164">
        <f t="shared" si="327"/>
        <v>0</v>
      </c>
      <c r="AJ132" s="164">
        <f t="shared" si="327"/>
        <v>0</v>
      </c>
      <c r="AK132" s="164">
        <f t="shared" si="327"/>
        <v>0</v>
      </c>
      <c r="AL132" s="164">
        <f t="shared" si="327"/>
        <v>0</v>
      </c>
      <c r="AM132" s="164">
        <f t="shared" si="327"/>
        <v>0</v>
      </c>
      <c r="AN132" s="164">
        <f t="shared" si="327"/>
        <v>0</v>
      </c>
      <c r="AO132" s="164">
        <f t="shared" si="327"/>
        <v>0</v>
      </c>
      <c r="AP132" s="164">
        <f t="shared" si="327"/>
        <v>0</v>
      </c>
      <c r="AQ132" s="164">
        <f t="shared" si="327"/>
        <v>0</v>
      </c>
      <c r="AR132" s="164">
        <f t="shared" si="327"/>
        <v>0</v>
      </c>
      <c r="AS132" s="164">
        <f t="shared" si="327"/>
        <v>0</v>
      </c>
      <c r="AT132" s="164">
        <f t="shared" si="327"/>
        <v>0</v>
      </c>
      <c r="AU132" s="164">
        <f t="shared" si="327"/>
        <v>0</v>
      </c>
      <c r="AV132" s="164">
        <f t="shared" si="327"/>
        <v>0</v>
      </c>
      <c r="AW132" s="164">
        <f t="shared" si="327"/>
        <v>0</v>
      </c>
      <c r="AX132" s="164">
        <f t="shared" si="327"/>
        <v>0</v>
      </c>
      <c r="AY132" s="164">
        <f t="shared" si="327"/>
        <v>0</v>
      </c>
      <c r="AZ132" s="164">
        <f t="shared" si="327"/>
        <v>0</v>
      </c>
      <c r="BA132" s="164">
        <f t="shared" si="327"/>
        <v>0</v>
      </c>
      <c r="BB132" s="164">
        <f t="shared" si="327"/>
        <v>0</v>
      </c>
      <c r="BC132" s="164">
        <f t="shared" si="327"/>
        <v>0</v>
      </c>
      <c r="BD132" s="164">
        <f t="shared" si="327"/>
        <v>0</v>
      </c>
      <c r="BE132" s="164">
        <f t="shared" si="327"/>
        <v>0</v>
      </c>
      <c r="BF132" s="164">
        <f t="shared" si="327"/>
        <v>0</v>
      </c>
      <c r="BG132" s="164">
        <f t="shared" si="327"/>
        <v>0</v>
      </c>
      <c r="BH132" s="164">
        <f t="shared" si="327"/>
        <v>0</v>
      </c>
      <c r="BI132" s="164">
        <f t="shared" si="327"/>
        <v>0</v>
      </c>
      <c r="BJ132" s="164">
        <f t="shared" si="327"/>
        <v>0</v>
      </c>
      <c r="BK132" s="33">
        <f t="shared" si="327"/>
        <v>0</v>
      </c>
    </row>
    <row r="133" spans="9:63">
      <c r="I133" s="31">
        <v>54</v>
      </c>
      <c r="L133" s="225">
        <f t="shared" si="317"/>
        <v>0</v>
      </c>
      <c r="M133" s="164">
        <f t="shared" si="327"/>
        <v>0</v>
      </c>
      <c r="N133" s="164">
        <f t="shared" si="327"/>
        <v>0</v>
      </c>
      <c r="O133" s="164">
        <f t="shared" si="327"/>
        <v>0</v>
      </c>
      <c r="P133" s="164">
        <f t="shared" si="327"/>
        <v>0</v>
      </c>
      <c r="Q133" s="164">
        <f t="shared" si="327"/>
        <v>0</v>
      </c>
      <c r="R133" s="164">
        <f t="shared" si="327"/>
        <v>0</v>
      </c>
      <c r="S133" s="164">
        <f t="shared" si="327"/>
        <v>0</v>
      </c>
      <c r="T133" s="164">
        <f t="shared" si="327"/>
        <v>0</v>
      </c>
      <c r="U133" s="164">
        <f t="shared" si="327"/>
        <v>0</v>
      </c>
      <c r="V133" s="164">
        <f t="shared" si="327"/>
        <v>0</v>
      </c>
      <c r="W133" s="164">
        <f t="shared" si="327"/>
        <v>0</v>
      </c>
      <c r="X133" s="164">
        <f t="shared" si="327"/>
        <v>0</v>
      </c>
      <c r="Y133" s="164">
        <f t="shared" si="327"/>
        <v>0</v>
      </c>
      <c r="Z133" s="164">
        <f t="shared" si="327"/>
        <v>0</v>
      </c>
      <c r="AA133" s="164">
        <f t="shared" si="327"/>
        <v>0</v>
      </c>
      <c r="AB133" s="164">
        <f t="shared" si="327"/>
        <v>0</v>
      </c>
      <c r="AC133" s="164">
        <f t="shared" si="327"/>
        <v>0</v>
      </c>
      <c r="AD133" s="164">
        <f t="shared" si="327"/>
        <v>0</v>
      </c>
      <c r="AE133" s="164">
        <f t="shared" si="327"/>
        <v>0</v>
      </c>
      <c r="AF133" s="164">
        <f t="shared" si="327"/>
        <v>0</v>
      </c>
      <c r="AG133" s="164">
        <f t="shared" si="327"/>
        <v>0</v>
      </c>
      <c r="AH133" s="164">
        <f t="shared" si="327"/>
        <v>0</v>
      </c>
      <c r="AI133" s="164">
        <f t="shared" si="327"/>
        <v>0</v>
      </c>
      <c r="AJ133" s="164">
        <f t="shared" si="327"/>
        <v>0</v>
      </c>
      <c r="AK133" s="164">
        <f t="shared" si="327"/>
        <v>0</v>
      </c>
      <c r="AL133" s="164">
        <f t="shared" si="327"/>
        <v>0</v>
      </c>
      <c r="AM133" s="164">
        <f t="shared" si="327"/>
        <v>0</v>
      </c>
      <c r="AN133" s="164">
        <f t="shared" si="327"/>
        <v>0</v>
      </c>
      <c r="AO133" s="164">
        <f t="shared" si="327"/>
        <v>0</v>
      </c>
      <c r="AP133" s="164">
        <f t="shared" si="327"/>
        <v>0</v>
      </c>
      <c r="AQ133" s="164">
        <f t="shared" si="327"/>
        <v>0</v>
      </c>
      <c r="AR133" s="164">
        <f t="shared" si="327"/>
        <v>0</v>
      </c>
      <c r="AS133" s="164">
        <f t="shared" si="327"/>
        <v>0</v>
      </c>
      <c r="AT133" s="164">
        <f t="shared" si="327"/>
        <v>0</v>
      </c>
      <c r="AU133" s="164">
        <f t="shared" si="327"/>
        <v>0</v>
      </c>
      <c r="AV133" s="164">
        <f t="shared" si="327"/>
        <v>0</v>
      </c>
      <c r="AW133" s="164">
        <f t="shared" si="327"/>
        <v>0</v>
      </c>
      <c r="AX133" s="164">
        <f t="shared" si="327"/>
        <v>0</v>
      </c>
      <c r="AY133" s="164">
        <f t="shared" si="327"/>
        <v>0</v>
      </c>
      <c r="AZ133" s="164">
        <f t="shared" si="327"/>
        <v>0</v>
      </c>
      <c r="BA133" s="164">
        <f t="shared" si="327"/>
        <v>0</v>
      </c>
      <c r="BB133" s="164">
        <f t="shared" si="327"/>
        <v>0</v>
      </c>
      <c r="BC133" s="164">
        <f t="shared" si="327"/>
        <v>0</v>
      </c>
      <c r="BD133" s="164">
        <f t="shared" si="327"/>
        <v>0</v>
      </c>
      <c r="BE133" s="164">
        <f t="shared" si="327"/>
        <v>0</v>
      </c>
      <c r="BF133" s="164">
        <f t="shared" si="327"/>
        <v>0</v>
      </c>
      <c r="BG133" s="164">
        <f t="shared" si="327"/>
        <v>0</v>
      </c>
      <c r="BH133" s="164">
        <f t="shared" si="327"/>
        <v>0</v>
      </c>
      <c r="BI133" s="164">
        <f t="shared" si="327"/>
        <v>0</v>
      </c>
      <c r="BJ133" s="164">
        <f t="shared" si="327"/>
        <v>0</v>
      </c>
      <c r="BK133" s="33">
        <f t="shared" si="327"/>
        <v>0</v>
      </c>
    </row>
    <row r="134" spans="9:63">
      <c r="I134" s="31">
        <v>55</v>
      </c>
      <c r="L134" s="225">
        <f t="shared" si="317"/>
        <v>0</v>
      </c>
      <c r="M134" s="164">
        <f t="shared" si="327"/>
        <v>0</v>
      </c>
      <c r="N134" s="164">
        <f t="shared" si="327"/>
        <v>0</v>
      </c>
      <c r="O134" s="164">
        <f t="shared" si="327"/>
        <v>0</v>
      </c>
      <c r="P134" s="164">
        <f t="shared" si="327"/>
        <v>0</v>
      </c>
      <c r="Q134" s="164">
        <f t="shared" si="327"/>
        <v>0</v>
      </c>
      <c r="R134" s="164">
        <f t="shared" si="327"/>
        <v>0</v>
      </c>
      <c r="S134" s="164">
        <f t="shared" si="327"/>
        <v>0</v>
      </c>
      <c r="T134" s="164">
        <f t="shared" si="327"/>
        <v>0</v>
      </c>
      <c r="U134" s="164">
        <f t="shared" si="327"/>
        <v>0</v>
      </c>
      <c r="V134" s="164">
        <f t="shared" si="327"/>
        <v>0</v>
      </c>
      <c r="W134" s="164">
        <f t="shared" si="327"/>
        <v>0</v>
      </c>
      <c r="X134" s="164">
        <f t="shared" si="327"/>
        <v>0</v>
      </c>
      <c r="Y134" s="164">
        <f t="shared" si="327"/>
        <v>0</v>
      </c>
      <c r="Z134" s="164">
        <f t="shared" si="327"/>
        <v>0</v>
      </c>
      <c r="AA134" s="164">
        <f t="shared" si="327"/>
        <v>0</v>
      </c>
      <c r="AB134" s="164">
        <f t="shared" si="327"/>
        <v>0</v>
      </c>
      <c r="AC134" s="164">
        <f t="shared" si="327"/>
        <v>0</v>
      </c>
      <c r="AD134" s="164">
        <f t="shared" si="327"/>
        <v>0</v>
      </c>
      <c r="AE134" s="164">
        <f t="shared" si="327"/>
        <v>0</v>
      </c>
      <c r="AF134" s="164">
        <f t="shared" si="327"/>
        <v>0</v>
      </c>
      <c r="AG134" s="164">
        <f t="shared" si="327"/>
        <v>0</v>
      </c>
      <c r="AH134" s="164">
        <f t="shared" si="327"/>
        <v>0</v>
      </c>
      <c r="AI134" s="164">
        <f t="shared" si="327"/>
        <v>0</v>
      </c>
      <c r="AJ134" s="164">
        <f t="shared" si="327"/>
        <v>0</v>
      </c>
      <c r="AK134" s="164">
        <f t="shared" si="327"/>
        <v>0</v>
      </c>
      <c r="AL134" s="164">
        <f t="shared" si="327"/>
        <v>0</v>
      </c>
      <c r="AM134" s="164">
        <f t="shared" si="327"/>
        <v>0</v>
      </c>
      <c r="AN134" s="164">
        <f t="shared" si="327"/>
        <v>0</v>
      </c>
      <c r="AO134" s="164">
        <f t="shared" si="327"/>
        <v>0</v>
      </c>
      <c r="AP134" s="164">
        <f t="shared" si="327"/>
        <v>0</v>
      </c>
      <c r="AQ134" s="164">
        <f t="shared" si="327"/>
        <v>0</v>
      </c>
      <c r="AR134" s="164">
        <f t="shared" si="327"/>
        <v>0</v>
      </c>
      <c r="AS134" s="164">
        <f t="shared" si="327"/>
        <v>0</v>
      </c>
      <c r="AT134" s="164">
        <f t="shared" si="327"/>
        <v>0</v>
      </c>
      <c r="AU134" s="164">
        <f t="shared" si="327"/>
        <v>0</v>
      </c>
      <c r="AV134" s="164">
        <f t="shared" si="327"/>
        <v>0</v>
      </c>
      <c r="AW134" s="164">
        <f t="shared" si="327"/>
        <v>0</v>
      </c>
      <c r="AX134" s="164">
        <f t="shared" si="327"/>
        <v>0</v>
      </c>
      <c r="AY134" s="164">
        <f t="shared" si="327"/>
        <v>0</v>
      </c>
      <c r="AZ134" s="164">
        <f t="shared" si="327"/>
        <v>0</v>
      </c>
      <c r="BA134" s="164">
        <f t="shared" si="327"/>
        <v>0</v>
      </c>
      <c r="BB134" s="164">
        <f t="shared" si="327"/>
        <v>0</v>
      </c>
      <c r="BC134" s="164">
        <f t="shared" si="327"/>
        <v>0</v>
      </c>
      <c r="BD134" s="164">
        <f t="shared" si="327"/>
        <v>0</v>
      </c>
      <c r="BE134" s="164">
        <f t="shared" si="327"/>
        <v>0</v>
      </c>
      <c r="BF134" s="164">
        <f t="shared" si="327"/>
        <v>0</v>
      </c>
      <c r="BG134" s="164">
        <f t="shared" si="327"/>
        <v>0</v>
      </c>
      <c r="BH134" s="164">
        <f t="shared" si="327"/>
        <v>0</v>
      </c>
      <c r="BI134" s="164">
        <f t="shared" si="327"/>
        <v>0</v>
      </c>
      <c r="BJ134" s="164">
        <f t="shared" si="327"/>
        <v>0</v>
      </c>
      <c r="BK134" s="33">
        <f t="shared" si="327"/>
        <v>0</v>
      </c>
    </row>
    <row r="135" spans="9:63">
      <c r="I135" s="31">
        <v>56</v>
      </c>
      <c r="L135" s="225">
        <f t="shared" si="317"/>
        <v>0</v>
      </c>
      <c r="M135" s="164">
        <f t="shared" si="327"/>
        <v>0</v>
      </c>
      <c r="N135" s="164">
        <f t="shared" si="327"/>
        <v>0</v>
      </c>
      <c r="O135" s="164">
        <f t="shared" si="327"/>
        <v>0</v>
      </c>
      <c r="P135" s="164">
        <f t="shared" si="327"/>
        <v>0</v>
      </c>
      <c r="Q135" s="164">
        <f t="shared" si="327"/>
        <v>0</v>
      </c>
      <c r="R135" s="164">
        <f t="shared" si="327"/>
        <v>0</v>
      </c>
      <c r="S135" s="164">
        <f t="shared" si="327"/>
        <v>0</v>
      </c>
      <c r="T135" s="164">
        <f t="shared" si="327"/>
        <v>0</v>
      </c>
      <c r="U135" s="164">
        <f t="shared" si="327"/>
        <v>0</v>
      </c>
      <c r="V135" s="164">
        <f t="shared" si="327"/>
        <v>0</v>
      </c>
      <c r="W135" s="164">
        <f t="shared" si="327"/>
        <v>0</v>
      </c>
      <c r="X135" s="164">
        <f t="shared" si="327"/>
        <v>0</v>
      </c>
      <c r="Y135" s="164">
        <f t="shared" si="327"/>
        <v>0</v>
      </c>
      <c r="Z135" s="164">
        <f t="shared" si="327"/>
        <v>0</v>
      </c>
      <c r="AA135" s="164">
        <f t="shared" si="327"/>
        <v>0</v>
      </c>
      <c r="AB135" s="164">
        <f t="shared" ref="M135:BK140" si="328">IF($I135&lt;=AB$74,AA135+1,)</f>
        <v>0</v>
      </c>
      <c r="AC135" s="164">
        <f t="shared" si="328"/>
        <v>0</v>
      </c>
      <c r="AD135" s="164">
        <f t="shared" si="328"/>
        <v>0</v>
      </c>
      <c r="AE135" s="164">
        <f t="shared" si="328"/>
        <v>0</v>
      </c>
      <c r="AF135" s="164">
        <f t="shared" si="328"/>
        <v>0</v>
      </c>
      <c r="AG135" s="164">
        <f t="shared" si="328"/>
        <v>0</v>
      </c>
      <c r="AH135" s="164">
        <f t="shared" si="328"/>
        <v>0</v>
      </c>
      <c r="AI135" s="164">
        <f t="shared" si="328"/>
        <v>0</v>
      </c>
      <c r="AJ135" s="164">
        <f t="shared" si="328"/>
        <v>0</v>
      </c>
      <c r="AK135" s="164">
        <f t="shared" si="328"/>
        <v>0</v>
      </c>
      <c r="AL135" s="164">
        <f t="shared" si="328"/>
        <v>0</v>
      </c>
      <c r="AM135" s="164">
        <f t="shared" si="328"/>
        <v>0</v>
      </c>
      <c r="AN135" s="164">
        <f t="shared" si="328"/>
        <v>0</v>
      </c>
      <c r="AO135" s="164">
        <f t="shared" si="328"/>
        <v>0</v>
      </c>
      <c r="AP135" s="164">
        <f t="shared" si="328"/>
        <v>0</v>
      </c>
      <c r="AQ135" s="164">
        <f t="shared" si="328"/>
        <v>0</v>
      </c>
      <c r="AR135" s="164">
        <f t="shared" si="328"/>
        <v>0</v>
      </c>
      <c r="AS135" s="164">
        <f t="shared" si="328"/>
        <v>0</v>
      </c>
      <c r="AT135" s="164">
        <f t="shared" si="328"/>
        <v>0</v>
      </c>
      <c r="AU135" s="164">
        <f t="shared" si="328"/>
        <v>0</v>
      </c>
      <c r="AV135" s="164">
        <f t="shared" si="328"/>
        <v>0</v>
      </c>
      <c r="AW135" s="164">
        <f t="shared" si="328"/>
        <v>0</v>
      </c>
      <c r="AX135" s="164">
        <f t="shared" si="328"/>
        <v>0</v>
      </c>
      <c r="AY135" s="164">
        <f t="shared" si="328"/>
        <v>0</v>
      </c>
      <c r="AZ135" s="164">
        <f t="shared" si="328"/>
        <v>0</v>
      </c>
      <c r="BA135" s="164">
        <f t="shared" si="328"/>
        <v>0</v>
      </c>
      <c r="BB135" s="164">
        <f t="shared" si="328"/>
        <v>0</v>
      </c>
      <c r="BC135" s="164">
        <f t="shared" si="328"/>
        <v>0</v>
      </c>
      <c r="BD135" s="164">
        <f t="shared" si="328"/>
        <v>0</v>
      </c>
      <c r="BE135" s="164">
        <f t="shared" si="328"/>
        <v>0</v>
      </c>
      <c r="BF135" s="164">
        <f t="shared" si="328"/>
        <v>0</v>
      </c>
      <c r="BG135" s="164">
        <f t="shared" si="328"/>
        <v>0</v>
      </c>
      <c r="BH135" s="164">
        <f t="shared" si="328"/>
        <v>0</v>
      </c>
      <c r="BI135" s="164">
        <f t="shared" si="328"/>
        <v>0</v>
      </c>
      <c r="BJ135" s="164">
        <f t="shared" si="328"/>
        <v>0</v>
      </c>
      <c r="BK135" s="33">
        <f t="shared" si="328"/>
        <v>0</v>
      </c>
    </row>
    <row r="136" spans="9:63">
      <c r="I136" s="31">
        <v>57</v>
      </c>
      <c r="L136" s="225">
        <f t="shared" si="317"/>
        <v>0</v>
      </c>
      <c r="M136" s="164">
        <f t="shared" si="328"/>
        <v>0</v>
      </c>
      <c r="N136" s="164">
        <f t="shared" si="328"/>
        <v>0</v>
      </c>
      <c r="O136" s="164">
        <f t="shared" si="328"/>
        <v>0</v>
      </c>
      <c r="P136" s="164">
        <f t="shared" si="328"/>
        <v>0</v>
      </c>
      <c r="Q136" s="164">
        <f t="shared" si="328"/>
        <v>0</v>
      </c>
      <c r="R136" s="164">
        <f t="shared" si="328"/>
        <v>0</v>
      </c>
      <c r="S136" s="164">
        <f t="shared" si="328"/>
        <v>0</v>
      </c>
      <c r="T136" s="164">
        <f t="shared" si="328"/>
        <v>0</v>
      </c>
      <c r="U136" s="164">
        <f t="shared" si="328"/>
        <v>0</v>
      </c>
      <c r="V136" s="164">
        <f t="shared" si="328"/>
        <v>0</v>
      </c>
      <c r="W136" s="164">
        <f t="shared" si="328"/>
        <v>0</v>
      </c>
      <c r="X136" s="164">
        <f t="shared" si="328"/>
        <v>0</v>
      </c>
      <c r="Y136" s="164">
        <f t="shared" si="328"/>
        <v>0</v>
      </c>
      <c r="Z136" s="164">
        <f t="shared" si="328"/>
        <v>0</v>
      </c>
      <c r="AA136" s="164">
        <f t="shared" si="328"/>
        <v>0</v>
      </c>
      <c r="AB136" s="164">
        <f t="shared" si="328"/>
        <v>0</v>
      </c>
      <c r="AC136" s="164">
        <f t="shared" si="328"/>
        <v>0</v>
      </c>
      <c r="AD136" s="164">
        <f t="shared" si="328"/>
        <v>0</v>
      </c>
      <c r="AE136" s="164">
        <f t="shared" si="328"/>
        <v>0</v>
      </c>
      <c r="AF136" s="164">
        <f t="shared" si="328"/>
        <v>0</v>
      </c>
      <c r="AG136" s="164">
        <f t="shared" si="328"/>
        <v>0</v>
      </c>
      <c r="AH136" s="164">
        <f t="shared" si="328"/>
        <v>0</v>
      </c>
      <c r="AI136" s="164">
        <f t="shared" si="328"/>
        <v>0</v>
      </c>
      <c r="AJ136" s="164">
        <f t="shared" si="328"/>
        <v>0</v>
      </c>
      <c r="AK136" s="164">
        <f t="shared" si="328"/>
        <v>0</v>
      </c>
      <c r="AL136" s="164">
        <f t="shared" si="328"/>
        <v>0</v>
      </c>
      <c r="AM136" s="164">
        <f t="shared" si="328"/>
        <v>0</v>
      </c>
      <c r="AN136" s="164">
        <f t="shared" si="328"/>
        <v>0</v>
      </c>
      <c r="AO136" s="164">
        <f t="shared" si="328"/>
        <v>0</v>
      </c>
      <c r="AP136" s="164">
        <f t="shared" si="328"/>
        <v>0</v>
      </c>
      <c r="AQ136" s="164">
        <f t="shared" si="328"/>
        <v>0</v>
      </c>
      <c r="AR136" s="164">
        <f t="shared" si="328"/>
        <v>0</v>
      </c>
      <c r="AS136" s="164">
        <f t="shared" si="328"/>
        <v>0</v>
      </c>
      <c r="AT136" s="164">
        <f t="shared" si="328"/>
        <v>0</v>
      </c>
      <c r="AU136" s="164">
        <f t="shared" si="328"/>
        <v>0</v>
      </c>
      <c r="AV136" s="164">
        <f t="shared" si="328"/>
        <v>0</v>
      </c>
      <c r="AW136" s="164">
        <f t="shared" si="328"/>
        <v>0</v>
      </c>
      <c r="AX136" s="164">
        <f t="shared" si="328"/>
        <v>0</v>
      </c>
      <c r="AY136" s="164">
        <f t="shared" si="328"/>
        <v>0</v>
      </c>
      <c r="AZ136" s="164">
        <f t="shared" si="328"/>
        <v>0</v>
      </c>
      <c r="BA136" s="164">
        <f t="shared" si="328"/>
        <v>0</v>
      </c>
      <c r="BB136" s="164">
        <f t="shared" si="328"/>
        <v>0</v>
      </c>
      <c r="BC136" s="164">
        <f t="shared" si="328"/>
        <v>0</v>
      </c>
      <c r="BD136" s="164">
        <f t="shared" si="328"/>
        <v>0</v>
      </c>
      <c r="BE136" s="164">
        <f t="shared" si="328"/>
        <v>0</v>
      </c>
      <c r="BF136" s="164">
        <f t="shared" si="328"/>
        <v>0</v>
      </c>
      <c r="BG136" s="164">
        <f t="shared" si="328"/>
        <v>0</v>
      </c>
      <c r="BH136" s="164">
        <f t="shared" si="328"/>
        <v>0</v>
      </c>
      <c r="BI136" s="164">
        <f t="shared" si="328"/>
        <v>0</v>
      </c>
      <c r="BJ136" s="164">
        <f t="shared" si="328"/>
        <v>0</v>
      </c>
      <c r="BK136" s="33">
        <f t="shared" si="328"/>
        <v>0</v>
      </c>
    </row>
    <row r="137" spans="9:63">
      <c r="I137" s="31">
        <v>58</v>
      </c>
      <c r="L137" s="225">
        <f t="shared" si="317"/>
        <v>0</v>
      </c>
      <c r="M137" s="164">
        <f t="shared" si="328"/>
        <v>0</v>
      </c>
      <c r="N137" s="164">
        <f t="shared" si="328"/>
        <v>0</v>
      </c>
      <c r="O137" s="164">
        <f t="shared" si="328"/>
        <v>0</v>
      </c>
      <c r="P137" s="164">
        <f t="shared" si="328"/>
        <v>0</v>
      </c>
      <c r="Q137" s="164">
        <f t="shared" si="328"/>
        <v>0</v>
      </c>
      <c r="R137" s="164">
        <f t="shared" si="328"/>
        <v>0</v>
      </c>
      <c r="S137" s="164">
        <f t="shared" si="328"/>
        <v>0</v>
      </c>
      <c r="T137" s="164">
        <f t="shared" si="328"/>
        <v>0</v>
      </c>
      <c r="U137" s="164">
        <f t="shared" si="328"/>
        <v>0</v>
      </c>
      <c r="V137" s="164">
        <f t="shared" si="328"/>
        <v>0</v>
      </c>
      <c r="W137" s="164">
        <f t="shared" si="328"/>
        <v>0</v>
      </c>
      <c r="X137" s="164">
        <f t="shared" si="328"/>
        <v>0</v>
      </c>
      <c r="Y137" s="164">
        <f t="shared" si="328"/>
        <v>0</v>
      </c>
      <c r="Z137" s="164">
        <f t="shared" si="328"/>
        <v>0</v>
      </c>
      <c r="AA137" s="164">
        <f t="shared" si="328"/>
        <v>0</v>
      </c>
      <c r="AB137" s="164">
        <f t="shared" si="328"/>
        <v>0</v>
      </c>
      <c r="AC137" s="164">
        <f t="shared" si="328"/>
        <v>0</v>
      </c>
      <c r="AD137" s="164">
        <f t="shared" si="328"/>
        <v>0</v>
      </c>
      <c r="AE137" s="164">
        <f t="shared" si="328"/>
        <v>0</v>
      </c>
      <c r="AF137" s="164">
        <f t="shared" si="328"/>
        <v>0</v>
      </c>
      <c r="AG137" s="164">
        <f t="shared" si="328"/>
        <v>0</v>
      </c>
      <c r="AH137" s="164">
        <f t="shared" si="328"/>
        <v>0</v>
      </c>
      <c r="AI137" s="164">
        <f t="shared" si="328"/>
        <v>0</v>
      </c>
      <c r="AJ137" s="164">
        <f t="shared" si="328"/>
        <v>0</v>
      </c>
      <c r="AK137" s="164">
        <f t="shared" si="328"/>
        <v>0</v>
      </c>
      <c r="AL137" s="164">
        <f t="shared" si="328"/>
        <v>0</v>
      </c>
      <c r="AM137" s="164">
        <f t="shared" si="328"/>
        <v>0</v>
      </c>
      <c r="AN137" s="164">
        <f t="shared" si="328"/>
        <v>0</v>
      </c>
      <c r="AO137" s="164">
        <f t="shared" si="328"/>
        <v>0</v>
      </c>
      <c r="AP137" s="164">
        <f t="shared" si="328"/>
        <v>0</v>
      </c>
      <c r="AQ137" s="164">
        <f t="shared" si="328"/>
        <v>0</v>
      </c>
      <c r="AR137" s="164">
        <f t="shared" si="328"/>
        <v>0</v>
      </c>
      <c r="AS137" s="164">
        <f t="shared" si="328"/>
        <v>0</v>
      </c>
      <c r="AT137" s="164">
        <f t="shared" si="328"/>
        <v>0</v>
      </c>
      <c r="AU137" s="164">
        <f t="shared" si="328"/>
        <v>0</v>
      </c>
      <c r="AV137" s="164">
        <f t="shared" si="328"/>
        <v>0</v>
      </c>
      <c r="AW137" s="164">
        <f t="shared" si="328"/>
        <v>0</v>
      </c>
      <c r="AX137" s="164">
        <f t="shared" si="328"/>
        <v>0</v>
      </c>
      <c r="AY137" s="164">
        <f t="shared" si="328"/>
        <v>0</v>
      </c>
      <c r="AZ137" s="164">
        <f t="shared" si="328"/>
        <v>0</v>
      </c>
      <c r="BA137" s="164">
        <f t="shared" si="328"/>
        <v>0</v>
      </c>
      <c r="BB137" s="164">
        <f t="shared" si="328"/>
        <v>0</v>
      </c>
      <c r="BC137" s="164">
        <f t="shared" si="328"/>
        <v>0</v>
      </c>
      <c r="BD137" s="164">
        <f t="shared" si="328"/>
        <v>0</v>
      </c>
      <c r="BE137" s="164">
        <f t="shared" si="328"/>
        <v>0</v>
      </c>
      <c r="BF137" s="164">
        <f t="shared" si="328"/>
        <v>0</v>
      </c>
      <c r="BG137" s="164">
        <f t="shared" si="328"/>
        <v>0</v>
      </c>
      <c r="BH137" s="164">
        <f t="shared" si="328"/>
        <v>0</v>
      </c>
      <c r="BI137" s="164">
        <f t="shared" si="328"/>
        <v>0</v>
      </c>
      <c r="BJ137" s="164">
        <f t="shared" si="328"/>
        <v>0</v>
      </c>
      <c r="BK137" s="33">
        <f t="shared" si="328"/>
        <v>0</v>
      </c>
    </row>
    <row r="138" spans="9:63">
      <c r="I138" s="31">
        <v>59</v>
      </c>
      <c r="L138" s="225">
        <f t="shared" si="317"/>
        <v>0</v>
      </c>
      <c r="M138" s="164">
        <f t="shared" si="328"/>
        <v>0</v>
      </c>
      <c r="N138" s="164">
        <f t="shared" si="328"/>
        <v>0</v>
      </c>
      <c r="O138" s="164">
        <f t="shared" si="328"/>
        <v>0</v>
      </c>
      <c r="P138" s="164">
        <f t="shared" si="328"/>
        <v>0</v>
      </c>
      <c r="Q138" s="164">
        <f t="shared" si="328"/>
        <v>0</v>
      </c>
      <c r="R138" s="164">
        <f t="shared" si="328"/>
        <v>0</v>
      </c>
      <c r="S138" s="164">
        <f t="shared" si="328"/>
        <v>0</v>
      </c>
      <c r="T138" s="164">
        <f t="shared" si="328"/>
        <v>0</v>
      </c>
      <c r="U138" s="164">
        <f t="shared" si="328"/>
        <v>0</v>
      </c>
      <c r="V138" s="164">
        <f t="shared" si="328"/>
        <v>0</v>
      </c>
      <c r="W138" s="164">
        <f t="shared" si="328"/>
        <v>0</v>
      </c>
      <c r="X138" s="164">
        <f t="shared" si="328"/>
        <v>0</v>
      </c>
      <c r="Y138" s="164">
        <f t="shared" si="328"/>
        <v>0</v>
      </c>
      <c r="Z138" s="164">
        <f t="shared" si="328"/>
        <v>0</v>
      </c>
      <c r="AA138" s="164">
        <f t="shared" si="328"/>
        <v>0</v>
      </c>
      <c r="AB138" s="164">
        <f t="shared" si="328"/>
        <v>0</v>
      </c>
      <c r="AC138" s="164">
        <f t="shared" si="328"/>
        <v>0</v>
      </c>
      <c r="AD138" s="164">
        <f t="shared" si="328"/>
        <v>0</v>
      </c>
      <c r="AE138" s="164">
        <f t="shared" si="328"/>
        <v>0</v>
      </c>
      <c r="AF138" s="164">
        <f t="shared" si="328"/>
        <v>0</v>
      </c>
      <c r="AG138" s="164">
        <f t="shared" si="328"/>
        <v>0</v>
      </c>
      <c r="AH138" s="164">
        <f t="shared" si="328"/>
        <v>0</v>
      </c>
      <c r="AI138" s="164">
        <f t="shared" si="328"/>
        <v>0</v>
      </c>
      <c r="AJ138" s="164">
        <f t="shared" si="328"/>
        <v>0</v>
      </c>
      <c r="AK138" s="164">
        <f t="shared" si="328"/>
        <v>0</v>
      </c>
      <c r="AL138" s="164">
        <f t="shared" si="328"/>
        <v>0</v>
      </c>
      <c r="AM138" s="164">
        <f t="shared" si="328"/>
        <v>0</v>
      </c>
      <c r="AN138" s="164">
        <f t="shared" si="328"/>
        <v>0</v>
      </c>
      <c r="AO138" s="164">
        <f t="shared" si="328"/>
        <v>0</v>
      </c>
      <c r="AP138" s="164">
        <f t="shared" si="328"/>
        <v>0</v>
      </c>
      <c r="AQ138" s="164">
        <f t="shared" si="328"/>
        <v>0</v>
      </c>
      <c r="AR138" s="164">
        <f t="shared" si="328"/>
        <v>0</v>
      </c>
      <c r="AS138" s="164">
        <f t="shared" si="328"/>
        <v>0</v>
      </c>
      <c r="AT138" s="164">
        <f t="shared" si="328"/>
        <v>0</v>
      </c>
      <c r="AU138" s="164">
        <f t="shared" si="328"/>
        <v>0</v>
      </c>
      <c r="AV138" s="164">
        <f t="shared" si="328"/>
        <v>0</v>
      </c>
      <c r="AW138" s="164">
        <f t="shared" si="328"/>
        <v>0</v>
      </c>
      <c r="AX138" s="164">
        <f t="shared" si="328"/>
        <v>0</v>
      </c>
      <c r="AY138" s="164">
        <f t="shared" si="328"/>
        <v>0</v>
      </c>
      <c r="AZ138" s="164">
        <f t="shared" si="328"/>
        <v>0</v>
      </c>
      <c r="BA138" s="164">
        <f t="shared" si="328"/>
        <v>0</v>
      </c>
      <c r="BB138" s="164">
        <f t="shared" si="328"/>
        <v>0</v>
      </c>
      <c r="BC138" s="164">
        <f t="shared" si="328"/>
        <v>0</v>
      </c>
      <c r="BD138" s="164">
        <f t="shared" si="328"/>
        <v>0</v>
      </c>
      <c r="BE138" s="164">
        <f t="shared" si="328"/>
        <v>0</v>
      </c>
      <c r="BF138" s="164">
        <f t="shared" si="328"/>
        <v>0</v>
      </c>
      <c r="BG138" s="164">
        <f t="shared" si="328"/>
        <v>0</v>
      </c>
      <c r="BH138" s="164">
        <f t="shared" si="328"/>
        <v>0</v>
      </c>
      <c r="BI138" s="164">
        <f t="shared" si="328"/>
        <v>0</v>
      </c>
      <c r="BJ138" s="164">
        <f t="shared" si="328"/>
        <v>0</v>
      </c>
      <c r="BK138" s="33">
        <f t="shared" si="328"/>
        <v>0</v>
      </c>
    </row>
    <row r="139" spans="9:63">
      <c r="I139" s="31">
        <v>60</v>
      </c>
      <c r="L139" s="225">
        <f t="shared" si="317"/>
        <v>0</v>
      </c>
      <c r="M139" s="164">
        <f t="shared" si="328"/>
        <v>0</v>
      </c>
      <c r="N139" s="164">
        <f t="shared" si="328"/>
        <v>0</v>
      </c>
      <c r="O139" s="164">
        <f t="shared" si="328"/>
        <v>0</v>
      </c>
      <c r="P139" s="164">
        <f t="shared" si="328"/>
        <v>0</v>
      </c>
      <c r="Q139" s="164">
        <f t="shared" si="328"/>
        <v>0</v>
      </c>
      <c r="R139" s="164">
        <f t="shared" si="328"/>
        <v>0</v>
      </c>
      <c r="S139" s="164">
        <f t="shared" si="328"/>
        <v>0</v>
      </c>
      <c r="T139" s="164">
        <f t="shared" si="328"/>
        <v>0</v>
      </c>
      <c r="U139" s="164">
        <f t="shared" si="328"/>
        <v>0</v>
      </c>
      <c r="V139" s="164">
        <f t="shared" si="328"/>
        <v>0</v>
      </c>
      <c r="W139" s="164">
        <f t="shared" si="328"/>
        <v>0</v>
      </c>
      <c r="X139" s="164">
        <f t="shared" si="328"/>
        <v>0</v>
      </c>
      <c r="Y139" s="164">
        <f t="shared" si="328"/>
        <v>0</v>
      </c>
      <c r="Z139" s="164">
        <f t="shared" si="328"/>
        <v>0</v>
      </c>
      <c r="AA139" s="164">
        <f t="shared" si="328"/>
        <v>0</v>
      </c>
      <c r="AB139" s="164">
        <f t="shared" si="328"/>
        <v>0</v>
      </c>
      <c r="AC139" s="164">
        <f t="shared" si="328"/>
        <v>0</v>
      </c>
      <c r="AD139" s="164">
        <f t="shared" si="328"/>
        <v>0</v>
      </c>
      <c r="AE139" s="164">
        <f t="shared" si="328"/>
        <v>0</v>
      </c>
      <c r="AF139" s="164">
        <f t="shared" si="328"/>
        <v>0</v>
      </c>
      <c r="AG139" s="164">
        <f t="shared" si="328"/>
        <v>0</v>
      </c>
      <c r="AH139" s="164">
        <f t="shared" si="328"/>
        <v>0</v>
      </c>
      <c r="AI139" s="164">
        <f t="shared" si="328"/>
        <v>0</v>
      </c>
      <c r="AJ139" s="164">
        <f t="shared" si="328"/>
        <v>0</v>
      </c>
      <c r="AK139" s="164">
        <f t="shared" si="328"/>
        <v>0</v>
      </c>
      <c r="AL139" s="164">
        <f t="shared" si="328"/>
        <v>0</v>
      </c>
      <c r="AM139" s="164">
        <f t="shared" si="328"/>
        <v>0</v>
      </c>
      <c r="AN139" s="164">
        <f t="shared" si="328"/>
        <v>0</v>
      </c>
      <c r="AO139" s="164">
        <f t="shared" si="328"/>
        <v>0</v>
      </c>
      <c r="AP139" s="164">
        <f t="shared" si="328"/>
        <v>0</v>
      </c>
      <c r="AQ139" s="164">
        <f t="shared" si="328"/>
        <v>0</v>
      </c>
      <c r="AR139" s="164">
        <f t="shared" si="328"/>
        <v>0</v>
      </c>
      <c r="AS139" s="164">
        <f t="shared" si="328"/>
        <v>0</v>
      </c>
      <c r="AT139" s="164">
        <f t="shared" si="328"/>
        <v>0</v>
      </c>
      <c r="AU139" s="164">
        <f t="shared" si="328"/>
        <v>0</v>
      </c>
      <c r="AV139" s="164">
        <f t="shared" si="328"/>
        <v>0</v>
      </c>
      <c r="AW139" s="164">
        <f t="shared" si="328"/>
        <v>0</v>
      </c>
      <c r="AX139" s="164">
        <f t="shared" si="328"/>
        <v>0</v>
      </c>
      <c r="AY139" s="164">
        <f t="shared" si="328"/>
        <v>0</v>
      </c>
      <c r="AZ139" s="164">
        <f t="shared" si="328"/>
        <v>0</v>
      </c>
      <c r="BA139" s="164">
        <f t="shared" si="328"/>
        <v>0</v>
      </c>
      <c r="BB139" s="164">
        <f t="shared" si="328"/>
        <v>0</v>
      </c>
      <c r="BC139" s="164">
        <f t="shared" si="328"/>
        <v>0</v>
      </c>
      <c r="BD139" s="164">
        <f t="shared" si="328"/>
        <v>0</v>
      </c>
      <c r="BE139" s="164">
        <f t="shared" si="328"/>
        <v>0</v>
      </c>
      <c r="BF139" s="164">
        <f t="shared" si="328"/>
        <v>0</v>
      </c>
      <c r="BG139" s="164">
        <f t="shared" si="328"/>
        <v>0</v>
      </c>
      <c r="BH139" s="164">
        <f t="shared" si="328"/>
        <v>0</v>
      </c>
      <c r="BI139" s="164">
        <f t="shared" si="328"/>
        <v>0</v>
      </c>
      <c r="BJ139" s="164">
        <f t="shared" si="328"/>
        <v>0</v>
      </c>
      <c r="BK139" s="33">
        <f t="shared" si="328"/>
        <v>0</v>
      </c>
    </row>
    <row r="140" spans="9:63">
      <c r="I140" s="31">
        <v>61</v>
      </c>
      <c r="L140" s="225">
        <f t="shared" si="317"/>
        <v>0</v>
      </c>
      <c r="M140" s="164">
        <f t="shared" si="328"/>
        <v>0</v>
      </c>
      <c r="N140" s="164">
        <f t="shared" si="328"/>
        <v>0</v>
      </c>
      <c r="O140" s="164">
        <f t="shared" si="328"/>
        <v>0</v>
      </c>
      <c r="P140" s="164">
        <f t="shared" si="328"/>
        <v>0</v>
      </c>
      <c r="Q140" s="164">
        <f t="shared" si="328"/>
        <v>0</v>
      </c>
      <c r="R140" s="164">
        <f t="shared" si="328"/>
        <v>0</v>
      </c>
      <c r="S140" s="164">
        <f t="shared" si="328"/>
        <v>0</v>
      </c>
      <c r="T140" s="164">
        <f t="shared" si="328"/>
        <v>0</v>
      </c>
      <c r="U140" s="164">
        <f t="shared" si="328"/>
        <v>0</v>
      </c>
      <c r="V140" s="164">
        <f t="shared" si="328"/>
        <v>0</v>
      </c>
      <c r="W140" s="164">
        <f t="shared" si="328"/>
        <v>0</v>
      </c>
      <c r="X140" s="164">
        <f t="shared" si="328"/>
        <v>0</v>
      </c>
      <c r="Y140" s="164">
        <f t="shared" si="328"/>
        <v>0</v>
      </c>
      <c r="Z140" s="164">
        <f t="shared" si="328"/>
        <v>0</v>
      </c>
      <c r="AA140" s="164">
        <f t="shared" si="328"/>
        <v>0</v>
      </c>
      <c r="AB140" s="164">
        <f t="shared" ref="M140:BK145" si="329">IF($I140&lt;=AB$74,AA140+1,)</f>
        <v>0</v>
      </c>
      <c r="AC140" s="164">
        <f t="shared" si="329"/>
        <v>0</v>
      </c>
      <c r="AD140" s="164">
        <f t="shared" si="329"/>
        <v>0</v>
      </c>
      <c r="AE140" s="164">
        <f t="shared" si="329"/>
        <v>0</v>
      </c>
      <c r="AF140" s="164">
        <f t="shared" si="329"/>
        <v>0</v>
      </c>
      <c r="AG140" s="164">
        <f t="shared" si="329"/>
        <v>0</v>
      </c>
      <c r="AH140" s="164">
        <f t="shared" si="329"/>
        <v>0</v>
      </c>
      <c r="AI140" s="164">
        <f t="shared" si="329"/>
        <v>0</v>
      </c>
      <c r="AJ140" s="164">
        <f t="shared" si="329"/>
        <v>0</v>
      </c>
      <c r="AK140" s="164">
        <f t="shared" si="329"/>
        <v>0</v>
      </c>
      <c r="AL140" s="164">
        <f t="shared" si="329"/>
        <v>0</v>
      </c>
      <c r="AM140" s="164">
        <f t="shared" si="329"/>
        <v>0</v>
      </c>
      <c r="AN140" s="164">
        <f t="shared" si="329"/>
        <v>0</v>
      </c>
      <c r="AO140" s="164">
        <f t="shared" si="329"/>
        <v>0</v>
      </c>
      <c r="AP140" s="164">
        <f t="shared" si="329"/>
        <v>0</v>
      </c>
      <c r="AQ140" s="164">
        <f t="shared" si="329"/>
        <v>0</v>
      </c>
      <c r="AR140" s="164">
        <f t="shared" si="329"/>
        <v>0</v>
      </c>
      <c r="AS140" s="164">
        <f t="shared" si="329"/>
        <v>0</v>
      </c>
      <c r="AT140" s="164">
        <f t="shared" si="329"/>
        <v>0</v>
      </c>
      <c r="AU140" s="164">
        <f t="shared" si="329"/>
        <v>0</v>
      </c>
      <c r="AV140" s="164">
        <f t="shared" si="329"/>
        <v>0</v>
      </c>
      <c r="AW140" s="164">
        <f t="shared" si="329"/>
        <v>0</v>
      </c>
      <c r="AX140" s="164">
        <f t="shared" si="329"/>
        <v>0</v>
      </c>
      <c r="AY140" s="164">
        <f t="shared" si="329"/>
        <v>0</v>
      </c>
      <c r="AZ140" s="164">
        <f t="shared" si="329"/>
        <v>0</v>
      </c>
      <c r="BA140" s="164">
        <f t="shared" si="329"/>
        <v>0</v>
      </c>
      <c r="BB140" s="164">
        <f t="shared" si="329"/>
        <v>0</v>
      </c>
      <c r="BC140" s="164">
        <f t="shared" si="329"/>
        <v>0</v>
      </c>
      <c r="BD140" s="164">
        <f t="shared" si="329"/>
        <v>0</v>
      </c>
      <c r="BE140" s="164">
        <f t="shared" si="329"/>
        <v>0</v>
      </c>
      <c r="BF140" s="164">
        <f t="shared" si="329"/>
        <v>0</v>
      </c>
      <c r="BG140" s="164">
        <f t="shared" si="329"/>
        <v>0</v>
      </c>
      <c r="BH140" s="164">
        <f t="shared" si="329"/>
        <v>0</v>
      </c>
      <c r="BI140" s="164">
        <f t="shared" si="329"/>
        <v>0</v>
      </c>
      <c r="BJ140" s="164">
        <f t="shared" si="329"/>
        <v>0</v>
      </c>
      <c r="BK140" s="33">
        <f t="shared" si="329"/>
        <v>0</v>
      </c>
    </row>
    <row r="141" spans="9:63">
      <c r="I141" s="31">
        <v>62</v>
      </c>
      <c r="L141" s="225">
        <f t="shared" si="317"/>
        <v>0</v>
      </c>
      <c r="M141" s="164">
        <f t="shared" si="329"/>
        <v>0</v>
      </c>
      <c r="N141" s="164">
        <f t="shared" si="329"/>
        <v>0</v>
      </c>
      <c r="O141" s="164">
        <f t="shared" si="329"/>
        <v>0</v>
      </c>
      <c r="P141" s="164">
        <f t="shared" si="329"/>
        <v>0</v>
      </c>
      <c r="Q141" s="164">
        <f t="shared" si="329"/>
        <v>0</v>
      </c>
      <c r="R141" s="164">
        <f t="shared" si="329"/>
        <v>0</v>
      </c>
      <c r="S141" s="164">
        <f t="shared" si="329"/>
        <v>0</v>
      </c>
      <c r="T141" s="164">
        <f t="shared" si="329"/>
        <v>0</v>
      </c>
      <c r="U141" s="164">
        <f t="shared" si="329"/>
        <v>0</v>
      </c>
      <c r="V141" s="164">
        <f t="shared" si="329"/>
        <v>0</v>
      </c>
      <c r="W141" s="164">
        <f t="shared" si="329"/>
        <v>0</v>
      </c>
      <c r="X141" s="164">
        <f t="shared" si="329"/>
        <v>0</v>
      </c>
      <c r="Y141" s="164">
        <f t="shared" si="329"/>
        <v>0</v>
      </c>
      <c r="Z141" s="164">
        <f t="shared" si="329"/>
        <v>0</v>
      </c>
      <c r="AA141" s="164">
        <f t="shared" si="329"/>
        <v>0</v>
      </c>
      <c r="AB141" s="164">
        <f t="shared" si="329"/>
        <v>0</v>
      </c>
      <c r="AC141" s="164">
        <f t="shared" si="329"/>
        <v>0</v>
      </c>
      <c r="AD141" s="164">
        <f t="shared" si="329"/>
        <v>0</v>
      </c>
      <c r="AE141" s="164">
        <f t="shared" si="329"/>
        <v>0</v>
      </c>
      <c r="AF141" s="164">
        <f t="shared" si="329"/>
        <v>0</v>
      </c>
      <c r="AG141" s="164">
        <f t="shared" si="329"/>
        <v>0</v>
      </c>
      <c r="AH141" s="164">
        <f t="shared" si="329"/>
        <v>0</v>
      </c>
      <c r="AI141" s="164">
        <f t="shared" si="329"/>
        <v>0</v>
      </c>
      <c r="AJ141" s="164">
        <f t="shared" si="329"/>
        <v>0</v>
      </c>
      <c r="AK141" s="164">
        <f t="shared" si="329"/>
        <v>0</v>
      </c>
      <c r="AL141" s="164">
        <f t="shared" si="329"/>
        <v>0</v>
      </c>
      <c r="AM141" s="164">
        <f t="shared" si="329"/>
        <v>0</v>
      </c>
      <c r="AN141" s="164">
        <f t="shared" si="329"/>
        <v>0</v>
      </c>
      <c r="AO141" s="164">
        <f t="shared" si="329"/>
        <v>0</v>
      </c>
      <c r="AP141" s="164">
        <f t="shared" si="329"/>
        <v>0</v>
      </c>
      <c r="AQ141" s="164">
        <f t="shared" si="329"/>
        <v>0</v>
      </c>
      <c r="AR141" s="164">
        <f t="shared" si="329"/>
        <v>0</v>
      </c>
      <c r="AS141" s="164">
        <f t="shared" si="329"/>
        <v>0</v>
      </c>
      <c r="AT141" s="164">
        <f t="shared" si="329"/>
        <v>0</v>
      </c>
      <c r="AU141" s="164">
        <f t="shared" si="329"/>
        <v>0</v>
      </c>
      <c r="AV141" s="164">
        <f t="shared" si="329"/>
        <v>0</v>
      </c>
      <c r="AW141" s="164">
        <f t="shared" si="329"/>
        <v>0</v>
      </c>
      <c r="AX141" s="164">
        <f t="shared" si="329"/>
        <v>0</v>
      </c>
      <c r="AY141" s="164">
        <f t="shared" si="329"/>
        <v>0</v>
      </c>
      <c r="AZ141" s="164">
        <f t="shared" si="329"/>
        <v>0</v>
      </c>
      <c r="BA141" s="164">
        <f t="shared" si="329"/>
        <v>0</v>
      </c>
      <c r="BB141" s="164">
        <f t="shared" si="329"/>
        <v>0</v>
      </c>
      <c r="BC141" s="164">
        <f t="shared" si="329"/>
        <v>0</v>
      </c>
      <c r="BD141" s="164">
        <f t="shared" si="329"/>
        <v>0</v>
      </c>
      <c r="BE141" s="164">
        <f t="shared" si="329"/>
        <v>0</v>
      </c>
      <c r="BF141" s="164">
        <f t="shared" si="329"/>
        <v>0</v>
      </c>
      <c r="BG141" s="164">
        <f t="shared" si="329"/>
        <v>0</v>
      </c>
      <c r="BH141" s="164">
        <f t="shared" si="329"/>
        <v>0</v>
      </c>
      <c r="BI141" s="164">
        <f t="shared" si="329"/>
        <v>0</v>
      </c>
      <c r="BJ141" s="164">
        <f t="shared" si="329"/>
        <v>0</v>
      </c>
      <c r="BK141" s="33">
        <f t="shared" si="329"/>
        <v>0</v>
      </c>
    </row>
    <row r="142" spans="9:63">
      <c r="I142" s="31">
        <v>63</v>
      </c>
      <c r="L142" s="225">
        <f t="shared" si="317"/>
        <v>0</v>
      </c>
      <c r="M142" s="164">
        <f t="shared" si="329"/>
        <v>0</v>
      </c>
      <c r="N142" s="164">
        <f t="shared" si="329"/>
        <v>0</v>
      </c>
      <c r="O142" s="164">
        <f t="shared" si="329"/>
        <v>0</v>
      </c>
      <c r="P142" s="164">
        <f t="shared" si="329"/>
        <v>0</v>
      </c>
      <c r="Q142" s="164">
        <f t="shared" si="329"/>
        <v>0</v>
      </c>
      <c r="R142" s="164">
        <f t="shared" si="329"/>
        <v>0</v>
      </c>
      <c r="S142" s="164">
        <f t="shared" si="329"/>
        <v>0</v>
      </c>
      <c r="T142" s="164">
        <f t="shared" si="329"/>
        <v>0</v>
      </c>
      <c r="U142" s="164">
        <f t="shared" si="329"/>
        <v>0</v>
      </c>
      <c r="V142" s="164">
        <f t="shared" si="329"/>
        <v>0</v>
      </c>
      <c r="W142" s="164">
        <f t="shared" si="329"/>
        <v>0</v>
      </c>
      <c r="X142" s="164">
        <f t="shared" si="329"/>
        <v>0</v>
      </c>
      <c r="Y142" s="164">
        <f t="shared" si="329"/>
        <v>0</v>
      </c>
      <c r="Z142" s="164">
        <f t="shared" si="329"/>
        <v>0</v>
      </c>
      <c r="AA142" s="164">
        <f t="shared" si="329"/>
        <v>0</v>
      </c>
      <c r="AB142" s="164">
        <f t="shared" si="329"/>
        <v>0</v>
      </c>
      <c r="AC142" s="164">
        <f t="shared" si="329"/>
        <v>0</v>
      </c>
      <c r="AD142" s="164">
        <f t="shared" si="329"/>
        <v>0</v>
      </c>
      <c r="AE142" s="164">
        <f t="shared" si="329"/>
        <v>0</v>
      </c>
      <c r="AF142" s="164">
        <f t="shared" si="329"/>
        <v>0</v>
      </c>
      <c r="AG142" s="164">
        <f t="shared" si="329"/>
        <v>0</v>
      </c>
      <c r="AH142" s="164">
        <f t="shared" si="329"/>
        <v>0</v>
      </c>
      <c r="AI142" s="164">
        <f t="shared" si="329"/>
        <v>0</v>
      </c>
      <c r="AJ142" s="164">
        <f t="shared" si="329"/>
        <v>0</v>
      </c>
      <c r="AK142" s="164">
        <f t="shared" si="329"/>
        <v>0</v>
      </c>
      <c r="AL142" s="164">
        <f t="shared" si="329"/>
        <v>0</v>
      </c>
      <c r="AM142" s="164">
        <f t="shared" si="329"/>
        <v>0</v>
      </c>
      <c r="AN142" s="164">
        <f t="shared" si="329"/>
        <v>0</v>
      </c>
      <c r="AO142" s="164">
        <f t="shared" si="329"/>
        <v>0</v>
      </c>
      <c r="AP142" s="164">
        <f t="shared" si="329"/>
        <v>0</v>
      </c>
      <c r="AQ142" s="164">
        <f t="shared" si="329"/>
        <v>0</v>
      </c>
      <c r="AR142" s="164">
        <f t="shared" si="329"/>
        <v>0</v>
      </c>
      <c r="AS142" s="164">
        <f t="shared" si="329"/>
        <v>0</v>
      </c>
      <c r="AT142" s="164">
        <f t="shared" si="329"/>
        <v>0</v>
      </c>
      <c r="AU142" s="164">
        <f t="shared" si="329"/>
        <v>0</v>
      </c>
      <c r="AV142" s="164">
        <f t="shared" si="329"/>
        <v>0</v>
      </c>
      <c r="AW142" s="164">
        <f t="shared" si="329"/>
        <v>0</v>
      </c>
      <c r="AX142" s="164">
        <f t="shared" si="329"/>
        <v>0</v>
      </c>
      <c r="AY142" s="164">
        <f t="shared" si="329"/>
        <v>0</v>
      </c>
      <c r="AZ142" s="164">
        <f t="shared" si="329"/>
        <v>0</v>
      </c>
      <c r="BA142" s="164">
        <f t="shared" si="329"/>
        <v>0</v>
      </c>
      <c r="BB142" s="164">
        <f t="shared" si="329"/>
        <v>0</v>
      </c>
      <c r="BC142" s="164">
        <f t="shared" si="329"/>
        <v>0</v>
      </c>
      <c r="BD142" s="164">
        <f t="shared" si="329"/>
        <v>0</v>
      </c>
      <c r="BE142" s="164">
        <f t="shared" si="329"/>
        <v>0</v>
      </c>
      <c r="BF142" s="164">
        <f t="shared" si="329"/>
        <v>0</v>
      </c>
      <c r="BG142" s="164">
        <f t="shared" si="329"/>
        <v>0</v>
      </c>
      <c r="BH142" s="164">
        <f t="shared" si="329"/>
        <v>0</v>
      </c>
      <c r="BI142" s="164">
        <f t="shared" si="329"/>
        <v>0</v>
      </c>
      <c r="BJ142" s="164">
        <f t="shared" si="329"/>
        <v>0</v>
      </c>
      <c r="BK142" s="33">
        <f t="shared" si="329"/>
        <v>0</v>
      </c>
    </row>
    <row r="143" spans="9:63">
      <c r="I143" s="31">
        <v>64</v>
      </c>
      <c r="L143" s="225">
        <f t="shared" si="317"/>
        <v>0</v>
      </c>
      <c r="M143" s="164">
        <f t="shared" si="329"/>
        <v>0</v>
      </c>
      <c r="N143" s="164">
        <f t="shared" si="329"/>
        <v>0</v>
      </c>
      <c r="O143" s="164">
        <f t="shared" si="329"/>
        <v>0</v>
      </c>
      <c r="P143" s="164">
        <f t="shared" si="329"/>
        <v>0</v>
      </c>
      <c r="Q143" s="164">
        <f t="shared" si="329"/>
        <v>0</v>
      </c>
      <c r="R143" s="164">
        <f t="shared" si="329"/>
        <v>0</v>
      </c>
      <c r="S143" s="164">
        <f t="shared" si="329"/>
        <v>0</v>
      </c>
      <c r="T143" s="164">
        <f t="shared" si="329"/>
        <v>0</v>
      </c>
      <c r="U143" s="164">
        <f t="shared" si="329"/>
        <v>0</v>
      </c>
      <c r="V143" s="164">
        <f t="shared" si="329"/>
        <v>0</v>
      </c>
      <c r="W143" s="164">
        <f t="shared" si="329"/>
        <v>0</v>
      </c>
      <c r="X143" s="164">
        <f t="shared" si="329"/>
        <v>0</v>
      </c>
      <c r="Y143" s="164">
        <f t="shared" si="329"/>
        <v>0</v>
      </c>
      <c r="Z143" s="164">
        <f t="shared" si="329"/>
        <v>0</v>
      </c>
      <c r="AA143" s="164">
        <f t="shared" si="329"/>
        <v>0</v>
      </c>
      <c r="AB143" s="164">
        <f t="shared" si="329"/>
        <v>0</v>
      </c>
      <c r="AC143" s="164">
        <f t="shared" si="329"/>
        <v>0</v>
      </c>
      <c r="AD143" s="164">
        <f t="shared" si="329"/>
        <v>0</v>
      </c>
      <c r="AE143" s="164">
        <f t="shared" si="329"/>
        <v>0</v>
      </c>
      <c r="AF143" s="164">
        <f t="shared" si="329"/>
        <v>0</v>
      </c>
      <c r="AG143" s="164">
        <f t="shared" si="329"/>
        <v>0</v>
      </c>
      <c r="AH143" s="164">
        <f t="shared" si="329"/>
        <v>0</v>
      </c>
      <c r="AI143" s="164">
        <f t="shared" si="329"/>
        <v>0</v>
      </c>
      <c r="AJ143" s="164">
        <f t="shared" si="329"/>
        <v>0</v>
      </c>
      <c r="AK143" s="164">
        <f t="shared" si="329"/>
        <v>0</v>
      </c>
      <c r="AL143" s="164">
        <f t="shared" si="329"/>
        <v>0</v>
      </c>
      <c r="AM143" s="164">
        <f t="shared" si="329"/>
        <v>0</v>
      </c>
      <c r="AN143" s="164">
        <f t="shared" si="329"/>
        <v>0</v>
      </c>
      <c r="AO143" s="164">
        <f t="shared" si="329"/>
        <v>0</v>
      </c>
      <c r="AP143" s="164">
        <f t="shared" si="329"/>
        <v>0</v>
      </c>
      <c r="AQ143" s="164">
        <f t="shared" si="329"/>
        <v>0</v>
      </c>
      <c r="AR143" s="164">
        <f t="shared" si="329"/>
        <v>0</v>
      </c>
      <c r="AS143" s="164">
        <f t="shared" si="329"/>
        <v>0</v>
      </c>
      <c r="AT143" s="164">
        <f t="shared" si="329"/>
        <v>0</v>
      </c>
      <c r="AU143" s="164">
        <f t="shared" si="329"/>
        <v>0</v>
      </c>
      <c r="AV143" s="164">
        <f t="shared" si="329"/>
        <v>0</v>
      </c>
      <c r="AW143" s="164">
        <f t="shared" si="329"/>
        <v>0</v>
      </c>
      <c r="AX143" s="164">
        <f t="shared" si="329"/>
        <v>0</v>
      </c>
      <c r="AY143" s="164">
        <f t="shared" si="329"/>
        <v>0</v>
      </c>
      <c r="AZ143" s="164">
        <f t="shared" si="329"/>
        <v>0</v>
      </c>
      <c r="BA143" s="164">
        <f t="shared" si="329"/>
        <v>0</v>
      </c>
      <c r="BB143" s="164">
        <f t="shared" si="329"/>
        <v>0</v>
      </c>
      <c r="BC143" s="164">
        <f t="shared" si="329"/>
        <v>0</v>
      </c>
      <c r="BD143" s="164">
        <f t="shared" si="329"/>
        <v>0</v>
      </c>
      <c r="BE143" s="164">
        <f t="shared" si="329"/>
        <v>0</v>
      </c>
      <c r="BF143" s="164">
        <f t="shared" si="329"/>
        <v>0</v>
      </c>
      <c r="BG143" s="164">
        <f t="shared" si="329"/>
        <v>0</v>
      </c>
      <c r="BH143" s="164">
        <f t="shared" si="329"/>
        <v>0</v>
      </c>
      <c r="BI143" s="164">
        <f t="shared" si="329"/>
        <v>0</v>
      </c>
      <c r="BJ143" s="164">
        <f t="shared" si="329"/>
        <v>0</v>
      </c>
      <c r="BK143" s="33">
        <f t="shared" si="329"/>
        <v>0</v>
      </c>
    </row>
    <row r="144" spans="9:63">
      <c r="I144" s="31">
        <v>65</v>
      </c>
      <c r="L144" s="225">
        <f t="shared" si="317"/>
        <v>0</v>
      </c>
      <c r="M144" s="164">
        <f t="shared" si="329"/>
        <v>0</v>
      </c>
      <c r="N144" s="164">
        <f t="shared" si="329"/>
        <v>0</v>
      </c>
      <c r="O144" s="164">
        <f t="shared" si="329"/>
        <v>0</v>
      </c>
      <c r="P144" s="164">
        <f t="shared" si="329"/>
        <v>0</v>
      </c>
      <c r="Q144" s="164">
        <f t="shared" si="329"/>
        <v>0</v>
      </c>
      <c r="R144" s="164">
        <f t="shared" si="329"/>
        <v>0</v>
      </c>
      <c r="S144" s="164">
        <f t="shared" si="329"/>
        <v>0</v>
      </c>
      <c r="T144" s="164">
        <f t="shared" si="329"/>
        <v>0</v>
      </c>
      <c r="U144" s="164">
        <f t="shared" si="329"/>
        <v>0</v>
      </c>
      <c r="V144" s="164">
        <f t="shared" si="329"/>
        <v>0</v>
      </c>
      <c r="W144" s="164">
        <f t="shared" si="329"/>
        <v>0</v>
      </c>
      <c r="X144" s="164">
        <f t="shared" si="329"/>
        <v>0</v>
      </c>
      <c r="Y144" s="164">
        <f t="shared" si="329"/>
        <v>0</v>
      </c>
      <c r="Z144" s="164">
        <f t="shared" si="329"/>
        <v>0</v>
      </c>
      <c r="AA144" s="164">
        <f t="shared" si="329"/>
        <v>0</v>
      </c>
      <c r="AB144" s="164">
        <f t="shared" si="329"/>
        <v>0</v>
      </c>
      <c r="AC144" s="164">
        <f t="shared" si="329"/>
        <v>0</v>
      </c>
      <c r="AD144" s="164">
        <f t="shared" si="329"/>
        <v>0</v>
      </c>
      <c r="AE144" s="164">
        <f t="shared" si="329"/>
        <v>0</v>
      </c>
      <c r="AF144" s="164">
        <f t="shared" si="329"/>
        <v>0</v>
      </c>
      <c r="AG144" s="164">
        <f t="shared" si="329"/>
        <v>0</v>
      </c>
      <c r="AH144" s="164">
        <f t="shared" si="329"/>
        <v>0</v>
      </c>
      <c r="AI144" s="164">
        <f t="shared" si="329"/>
        <v>0</v>
      </c>
      <c r="AJ144" s="164">
        <f t="shared" si="329"/>
        <v>0</v>
      </c>
      <c r="AK144" s="164">
        <f t="shared" si="329"/>
        <v>0</v>
      </c>
      <c r="AL144" s="164">
        <f t="shared" si="329"/>
        <v>0</v>
      </c>
      <c r="AM144" s="164">
        <f t="shared" si="329"/>
        <v>0</v>
      </c>
      <c r="AN144" s="164">
        <f t="shared" si="329"/>
        <v>0</v>
      </c>
      <c r="AO144" s="164">
        <f t="shared" si="329"/>
        <v>0</v>
      </c>
      <c r="AP144" s="164">
        <f t="shared" si="329"/>
        <v>0</v>
      </c>
      <c r="AQ144" s="164">
        <f t="shared" si="329"/>
        <v>0</v>
      </c>
      <c r="AR144" s="164">
        <f t="shared" si="329"/>
        <v>0</v>
      </c>
      <c r="AS144" s="164">
        <f t="shared" si="329"/>
        <v>0</v>
      </c>
      <c r="AT144" s="164">
        <f t="shared" si="329"/>
        <v>0</v>
      </c>
      <c r="AU144" s="164">
        <f t="shared" si="329"/>
        <v>0</v>
      </c>
      <c r="AV144" s="164">
        <f t="shared" si="329"/>
        <v>0</v>
      </c>
      <c r="AW144" s="164">
        <f t="shared" si="329"/>
        <v>0</v>
      </c>
      <c r="AX144" s="164">
        <f t="shared" si="329"/>
        <v>0</v>
      </c>
      <c r="AY144" s="164">
        <f t="shared" si="329"/>
        <v>0</v>
      </c>
      <c r="AZ144" s="164">
        <f t="shared" si="329"/>
        <v>0</v>
      </c>
      <c r="BA144" s="164">
        <f t="shared" si="329"/>
        <v>0</v>
      </c>
      <c r="BB144" s="164">
        <f t="shared" si="329"/>
        <v>0</v>
      </c>
      <c r="BC144" s="164">
        <f t="shared" si="329"/>
        <v>0</v>
      </c>
      <c r="BD144" s="164">
        <f t="shared" si="329"/>
        <v>0</v>
      </c>
      <c r="BE144" s="164">
        <f t="shared" si="329"/>
        <v>0</v>
      </c>
      <c r="BF144" s="164">
        <f t="shared" si="329"/>
        <v>0</v>
      </c>
      <c r="BG144" s="164">
        <f t="shared" si="329"/>
        <v>0</v>
      </c>
      <c r="BH144" s="164">
        <f t="shared" si="329"/>
        <v>0</v>
      </c>
      <c r="BI144" s="164">
        <f t="shared" si="329"/>
        <v>0</v>
      </c>
      <c r="BJ144" s="164">
        <f t="shared" si="329"/>
        <v>0</v>
      </c>
      <c r="BK144" s="33">
        <f t="shared" si="329"/>
        <v>0</v>
      </c>
    </row>
    <row r="145" spans="9:63">
      <c r="I145" s="31">
        <v>66</v>
      </c>
      <c r="L145" s="225">
        <f t="shared" ref="L145:AA179" si="330">IF($I145&lt;=L$74,K145+1,)</f>
        <v>0</v>
      </c>
      <c r="M145" s="164">
        <f t="shared" si="330"/>
        <v>0</v>
      </c>
      <c r="N145" s="164">
        <f t="shared" si="330"/>
        <v>0</v>
      </c>
      <c r="O145" s="164">
        <f t="shared" si="330"/>
        <v>0</v>
      </c>
      <c r="P145" s="164">
        <f t="shared" si="330"/>
        <v>0</v>
      </c>
      <c r="Q145" s="164">
        <f t="shared" si="330"/>
        <v>0</v>
      </c>
      <c r="R145" s="164">
        <f t="shared" si="330"/>
        <v>0</v>
      </c>
      <c r="S145" s="164">
        <f t="shared" si="330"/>
        <v>0</v>
      </c>
      <c r="T145" s="164">
        <f t="shared" si="330"/>
        <v>0</v>
      </c>
      <c r="U145" s="164">
        <f t="shared" si="330"/>
        <v>0</v>
      </c>
      <c r="V145" s="164">
        <f t="shared" si="330"/>
        <v>0</v>
      </c>
      <c r="W145" s="164">
        <f t="shared" si="330"/>
        <v>0</v>
      </c>
      <c r="X145" s="164">
        <f t="shared" si="330"/>
        <v>0</v>
      </c>
      <c r="Y145" s="164">
        <f t="shared" si="330"/>
        <v>0</v>
      </c>
      <c r="Z145" s="164">
        <f t="shared" si="330"/>
        <v>0</v>
      </c>
      <c r="AA145" s="164">
        <f t="shared" si="330"/>
        <v>0</v>
      </c>
      <c r="AB145" s="164">
        <f t="shared" si="329"/>
        <v>0</v>
      </c>
      <c r="AC145" s="164">
        <f t="shared" si="329"/>
        <v>0</v>
      </c>
      <c r="AD145" s="164">
        <f t="shared" si="329"/>
        <v>0</v>
      </c>
      <c r="AE145" s="164">
        <f t="shared" si="329"/>
        <v>0</v>
      </c>
      <c r="AF145" s="164">
        <f t="shared" si="329"/>
        <v>0</v>
      </c>
      <c r="AG145" s="164">
        <f t="shared" si="329"/>
        <v>0</v>
      </c>
      <c r="AH145" s="164">
        <f t="shared" si="329"/>
        <v>0</v>
      </c>
      <c r="AI145" s="164">
        <f t="shared" si="329"/>
        <v>0</v>
      </c>
      <c r="AJ145" s="164">
        <f t="shared" si="329"/>
        <v>0</v>
      </c>
      <c r="AK145" s="164">
        <f t="shared" si="329"/>
        <v>0</v>
      </c>
      <c r="AL145" s="164">
        <f t="shared" si="329"/>
        <v>0</v>
      </c>
      <c r="AM145" s="164">
        <f t="shared" si="329"/>
        <v>0</v>
      </c>
      <c r="AN145" s="164">
        <f t="shared" si="329"/>
        <v>0</v>
      </c>
      <c r="AO145" s="164">
        <f t="shared" si="329"/>
        <v>0</v>
      </c>
      <c r="AP145" s="164">
        <f t="shared" si="329"/>
        <v>0</v>
      </c>
      <c r="AQ145" s="164">
        <f t="shared" ref="M145:BK150" si="331">IF($I145&lt;=AQ$74,AP145+1,)</f>
        <v>0</v>
      </c>
      <c r="AR145" s="164">
        <f t="shared" si="331"/>
        <v>0</v>
      </c>
      <c r="AS145" s="164">
        <f t="shared" si="331"/>
        <v>0</v>
      </c>
      <c r="AT145" s="164">
        <f t="shared" si="331"/>
        <v>0</v>
      </c>
      <c r="AU145" s="164">
        <f t="shared" si="331"/>
        <v>0</v>
      </c>
      <c r="AV145" s="164">
        <f t="shared" si="331"/>
        <v>0</v>
      </c>
      <c r="AW145" s="164">
        <f t="shared" si="331"/>
        <v>0</v>
      </c>
      <c r="AX145" s="164">
        <f t="shared" si="331"/>
        <v>0</v>
      </c>
      <c r="AY145" s="164">
        <f t="shared" si="331"/>
        <v>0</v>
      </c>
      <c r="AZ145" s="164">
        <f t="shared" si="331"/>
        <v>0</v>
      </c>
      <c r="BA145" s="164">
        <f t="shared" si="331"/>
        <v>0</v>
      </c>
      <c r="BB145" s="164">
        <f t="shared" si="331"/>
        <v>0</v>
      </c>
      <c r="BC145" s="164">
        <f t="shared" si="331"/>
        <v>0</v>
      </c>
      <c r="BD145" s="164">
        <f t="shared" si="331"/>
        <v>0</v>
      </c>
      <c r="BE145" s="164">
        <f t="shared" si="331"/>
        <v>0</v>
      </c>
      <c r="BF145" s="164">
        <f t="shared" si="331"/>
        <v>0</v>
      </c>
      <c r="BG145" s="164">
        <f t="shared" si="331"/>
        <v>0</v>
      </c>
      <c r="BH145" s="164">
        <f t="shared" si="331"/>
        <v>0</v>
      </c>
      <c r="BI145" s="164">
        <f t="shared" si="331"/>
        <v>0</v>
      </c>
      <c r="BJ145" s="164">
        <f t="shared" si="331"/>
        <v>0</v>
      </c>
      <c r="BK145" s="33">
        <f t="shared" si="331"/>
        <v>0</v>
      </c>
    </row>
    <row r="146" spans="9:63">
      <c r="I146" s="31">
        <v>67</v>
      </c>
      <c r="L146" s="225">
        <f t="shared" si="330"/>
        <v>0</v>
      </c>
      <c r="M146" s="164">
        <f t="shared" si="331"/>
        <v>0</v>
      </c>
      <c r="N146" s="164">
        <f t="shared" si="331"/>
        <v>0</v>
      </c>
      <c r="O146" s="164">
        <f t="shared" si="331"/>
        <v>0</v>
      </c>
      <c r="P146" s="164">
        <f t="shared" si="331"/>
        <v>0</v>
      </c>
      <c r="Q146" s="164">
        <f t="shared" si="331"/>
        <v>0</v>
      </c>
      <c r="R146" s="164">
        <f t="shared" si="331"/>
        <v>0</v>
      </c>
      <c r="S146" s="164">
        <f t="shared" si="331"/>
        <v>0</v>
      </c>
      <c r="T146" s="164">
        <f t="shared" si="331"/>
        <v>0</v>
      </c>
      <c r="U146" s="164">
        <f t="shared" si="331"/>
        <v>0</v>
      </c>
      <c r="V146" s="164">
        <f t="shared" si="331"/>
        <v>0</v>
      </c>
      <c r="W146" s="164">
        <f t="shared" si="331"/>
        <v>0</v>
      </c>
      <c r="X146" s="164">
        <f t="shared" si="331"/>
        <v>0</v>
      </c>
      <c r="Y146" s="164">
        <f t="shared" si="331"/>
        <v>0</v>
      </c>
      <c r="Z146" s="164">
        <f t="shared" si="331"/>
        <v>0</v>
      </c>
      <c r="AA146" s="164">
        <f t="shared" si="331"/>
        <v>0</v>
      </c>
      <c r="AB146" s="164">
        <f t="shared" si="331"/>
        <v>0</v>
      </c>
      <c r="AC146" s="164">
        <f t="shared" si="331"/>
        <v>0</v>
      </c>
      <c r="AD146" s="164">
        <f t="shared" si="331"/>
        <v>0</v>
      </c>
      <c r="AE146" s="164">
        <f t="shared" si="331"/>
        <v>0</v>
      </c>
      <c r="AF146" s="164">
        <f t="shared" si="331"/>
        <v>0</v>
      </c>
      <c r="AG146" s="164">
        <f t="shared" si="331"/>
        <v>0</v>
      </c>
      <c r="AH146" s="164">
        <f t="shared" si="331"/>
        <v>0</v>
      </c>
      <c r="AI146" s="164">
        <f t="shared" si="331"/>
        <v>0</v>
      </c>
      <c r="AJ146" s="164">
        <f t="shared" si="331"/>
        <v>0</v>
      </c>
      <c r="AK146" s="164">
        <f t="shared" si="331"/>
        <v>0</v>
      </c>
      <c r="AL146" s="164">
        <f t="shared" si="331"/>
        <v>0</v>
      </c>
      <c r="AM146" s="164">
        <f t="shared" si="331"/>
        <v>0</v>
      </c>
      <c r="AN146" s="164">
        <f t="shared" si="331"/>
        <v>0</v>
      </c>
      <c r="AO146" s="164">
        <f t="shared" si="331"/>
        <v>0</v>
      </c>
      <c r="AP146" s="164">
        <f t="shared" si="331"/>
        <v>0</v>
      </c>
      <c r="AQ146" s="164">
        <f t="shared" si="331"/>
        <v>0</v>
      </c>
      <c r="AR146" s="164">
        <f t="shared" si="331"/>
        <v>0</v>
      </c>
      <c r="AS146" s="164">
        <f t="shared" si="331"/>
        <v>0</v>
      </c>
      <c r="AT146" s="164">
        <f t="shared" si="331"/>
        <v>0</v>
      </c>
      <c r="AU146" s="164">
        <f t="shared" si="331"/>
        <v>0</v>
      </c>
      <c r="AV146" s="164">
        <f t="shared" si="331"/>
        <v>0</v>
      </c>
      <c r="AW146" s="164">
        <f t="shared" si="331"/>
        <v>0</v>
      </c>
      <c r="AX146" s="164">
        <f t="shared" si="331"/>
        <v>0</v>
      </c>
      <c r="AY146" s="164">
        <f t="shared" si="331"/>
        <v>0</v>
      </c>
      <c r="AZ146" s="164">
        <f t="shared" si="331"/>
        <v>0</v>
      </c>
      <c r="BA146" s="164">
        <f t="shared" si="331"/>
        <v>0</v>
      </c>
      <c r="BB146" s="164">
        <f t="shared" si="331"/>
        <v>0</v>
      </c>
      <c r="BC146" s="164">
        <f t="shared" si="331"/>
        <v>0</v>
      </c>
      <c r="BD146" s="164">
        <f t="shared" si="331"/>
        <v>0</v>
      </c>
      <c r="BE146" s="164">
        <f t="shared" si="331"/>
        <v>0</v>
      </c>
      <c r="BF146" s="164">
        <f t="shared" si="331"/>
        <v>0</v>
      </c>
      <c r="BG146" s="164">
        <f t="shared" si="331"/>
        <v>0</v>
      </c>
      <c r="BH146" s="164">
        <f t="shared" si="331"/>
        <v>0</v>
      </c>
      <c r="BI146" s="164">
        <f t="shared" si="331"/>
        <v>0</v>
      </c>
      <c r="BJ146" s="164">
        <f t="shared" si="331"/>
        <v>0</v>
      </c>
      <c r="BK146" s="33">
        <f t="shared" si="331"/>
        <v>0</v>
      </c>
    </row>
    <row r="147" spans="9:63">
      <c r="I147" s="31">
        <v>68</v>
      </c>
      <c r="L147" s="225">
        <f t="shared" si="330"/>
        <v>0</v>
      </c>
      <c r="M147" s="164">
        <f t="shared" si="331"/>
        <v>0</v>
      </c>
      <c r="N147" s="164">
        <f t="shared" si="331"/>
        <v>0</v>
      </c>
      <c r="O147" s="164">
        <f t="shared" si="331"/>
        <v>0</v>
      </c>
      <c r="P147" s="164">
        <f t="shared" si="331"/>
        <v>0</v>
      </c>
      <c r="Q147" s="164">
        <f t="shared" si="331"/>
        <v>0</v>
      </c>
      <c r="R147" s="164">
        <f t="shared" si="331"/>
        <v>0</v>
      </c>
      <c r="S147" s="164">
        <f t="shared" si="331"/>
        <v>0</v>
      </c>
      <c r="T147" s="164">
        <f t="shared" si="331"/>
        <v>0</v>
      </c>
      <c r="U147" s="164">
        <f t="shared" si="331"/>
        <v>0</v>
      </c>
      <c r="V147" s="164">
        <f t="shared" si="331"/>
        <v>0</v>
      </c>
      <c r="W147" s="164">
        <f t="shared" si="331"/>
        <v>0</v>
      </c>
      <c r="X147" s="164">
        <f t="shared" si="331"/>
        <v>0</v>
      </c>
      <c r="Y147" s="164">
        <f t="shared" si="331"/>
        <v>0</v>
      </c>
      <c r="Z147" s="164">
        <f t="shared" si="331"/>
        <v>0</v>
      </c>
      <c r="AA147" s="164">
        <f t="shared" si="331"/>
        <v>0</v>
      </c>
      <c r="AB147" s="164">
        <f t="shared" si="331"/>
        <v>0</v>
      </c>
      <c r="AC147" s="164">
        <f t="shared" si="331"/>
        <v>0</v>
      </c>
      <c r="AD147" s="164">
        <f t="shared" si="331"/>
        <v>0</v>
      </c>
      <c r="AE147" s="164">
        <f t="shared" si="331"/>
        <v>0</v>
      </c>
      <c r="AF147" s="164">
        <f t="shared" si="331"/>
        <v>0</v>
      </c>
      <c r="AG147" s="164">
        <f t="shared" si="331"/>
        <v>0</v>
      </c>
      <c r="AH147" s="164">
        <f t="shared" si="331"/>
        <v>0</v>
      </c>
      <c r="AI147" s="164">
        <f t="shared" si="331"/>
        <v>0</v>
      </c>
      <c r="AJ147" s="164">
        <f t="shared" si="331"/>
        <v>0</v>
      </c>
      <c r="AK147" s="164">
        <f t="shared" si="331"/>
        <v>0</v>
      </c>
      <c r="AL147" s="164">
        <f t="shared" si="331"/>
        <v>0</v>
      </c>
      <c r="AM147" s="164">
        <f t="shared" si="331"/>
        <v>0</v>
      </c>
      <c r="AN147" s="164">
        <f t="shared" si="331"/>
        <v>0</v>
      </c>
      <c r="AO147" s="164">
        <f t="shared" si="331"/>
        <v>0</v>
      </c>
      <c r="AP147" s="164">
        <f t="shared" si="331"/>
        <v>0</v>
      </c>
      <c r="AQ147" s="164">
        <f t="shared" si="331"/>
        <v>0</v>
      </c>
      <c r="AR147" s="164">
        <f t="shared" si="331"/>
        <v>0</v>
      </c>
      <c r="AS147" s="164">
        <f t="shared" si="331"/>
        <v>0</v>
      </c>
      <c r="AT147" s="164">
        <f t="shared" si="331"/>
        <v>0</v>
      </c>
      <c r="AU147" s="164">
        <f t="shared" si="331"/>
        <v>0</v>
      </c>
      <c r="AV147" s="164">
        <f t="shared" si="331"/>
        <v>0</v>
      </c>
      <c r="AW147" s="164">
        <f t="shared" si="331"/>
        <v>0</v>
      </c>
      <c r="AX147" s="164">
        <f t="shared" si="331"/>
        <v>0</v>
      </c>
      <c r="AY147" s="164">
        <f t="shared" si="331"/>
        <v>0</v>
      </c>
      <c r="AZ147" s="164">
        <f t="shared" si="331"/>
        <v>0</v>
      </c>
      <c r="BA147" s="164">
        <f t="shared" si="331"/>
        <v>0</v>
      </c>
      <c r="BB147" s="164">
        <f t="shared" si="331"/>
        <v>0</v>
      </c>
      <c r="BC147" s="164">
        <f t="shared" si="331"/>
        <v>0</v>
      </c>
      <c r="BD147" s="164">
        <f t="shared" si="331"/>
        <v>0</v>
      </c>
      <c r="BE147" s="164">
        <f t="shared" si="331"/>
        <v>0</v>
      </c>
      <c r="BF147" s="164">
        <f t="shared" si="331"/>
        <v>0</v>
      </c>
      <c r="BG147" s="164">
        <f t="shared" si="331"/>
        <v>0</v>
      </c>
      <c r="BH147" s="164">
        <f t="shared" si="331"/>
        <v>0</v>
      </c>
      <c r="BI147" s="164">
        <f t="shared" si="331"/>
        <v>0</v>
      </c>
      <c r="BJ147" s="164">
        <f t="shared" si="331"/>
        <v>0</v>
      </c>
      <c r="BK147" s="33">
        <f t="shared" si="331"/>
        <v>0</v>
      </c>
    </row>
    <row r="148" spans="9:63">
      <c r="I148" s="31">
        <v>69</v>
      </c>
      <c r="L148" s="225">
        <f t="shared" si="330"/>
        <v>0</v>
      </c>
      <c r="M148" s="164">
        <f t="shared" si="331"/>
        <v>0</v>
      </c>
      <c r="N148" s="164">
        <f t="shared" si="331"/>
        <v>0</v>
      </c>
      <c r="O148" s="164">
        <f t="shared" si="331"/>
        <v>0</v>
      </c>
      <c r="P148" s="164">
        <f t="shared" si="331"/>
        <v>0</v>
      </c>
      <c r="Q148" s="164">
        <f t="shared" si="331"/>
        <v>0</v>
      </c>
      <c r="R148" s="164">
        <f t="shared" si="331"/>
        <v>0</v>
      </c>
      <c r="S148" s="164">
        <f t="shared" si="331"/>
        <v>0</v>
      </c>
      <c r="T148" s="164">
        <f t="shared" si="331"/>
        <v>0</v>
      </c>
      <c r="U148" s="164">
        <f t="shared" si="331"/>
        <v>0</v>
      </c>
      <c r="V148" s="164">
        <f t="shared" si="331"/>
        <v>0</v>
      </c>
      <c r="W148" s="164">
        <f t="shared" si="331"/>
        <v>0</v>
      </c>
      <c r="X148" s="164">
        <f t="shared" si="331"/>
        <v>0</v>
      </c>
      <c r="Y148" s="164">
        <f t="shared" si="331"/>
        <v>0</v>
      </c>
      <c r="Z148" s="164">
        <f t="shared" si="331"/>
        <v>0</v>
      </c>
      <c r="AA148" s="164">
        <f t="shared" si="331"/>
        <v>0</v>
      </c>
      <c r="AB148" s="164">
        <f t="shared" si="331"/>
        <v>0</v>
      </c>
      <c r="AC148" s="164">
        <f t="shared" si="331"/>
        <v>0</v>
      </c>
      <c r="AD148" s="164">
        <f t="shared" si="331"/>
        <v>0</v>
      </c>
      <c r="AE148" s="164">
        <f t="shared" si="331"/>
        <v>0</v>
      </c>
      <c r="AF148" s="164">
        <f t="shared" si="331"/>
        <v>0</v>
      </c>
      <c r="AG148" s="164">
        <f t="shared" si="331"/>
        <v>0</v>
      </c>
      <c r="AH148" s="164">
        <f t="shared" si="331"/>
        <v>0</v>
      </c>
      <c r="AI148" s="164">
        <f t="shared" si="331"/>
        <v>0</v>
      </c>
      <c r="AJ148" s="164">
        <f t="shared" si="331"/>
        <v>0</v>
      </c>
      <c r="AK148" s="164">
        <f t="shared" si="331"/>
        <v>0</v>
      </c>
      <c r="AL148" s="164">
        <f t="shared" si="331"/>
        <v>0</v>
      </c>
      <c r="AM148" s="164">
        <f t="shared" si="331"/>
        <v>0</v>
      </c>
      <c r="AN148" s="164">
        <f t="shared" si="331"/>
        <v>0</v>
      </c>
      <c r="AO148" s="164">
        <f t="shared" si="331"/>
        <v>0</v>
      </c>
      <c r="AP148" s="164">
        <f t="shared" si="331"/>
        <v>0</v>
      </c>
      <c r="AQ148" s="164">
        <f t="shared" si="331"/>
        <v>0</v>
      </c>
      <c r="AR148" s="164">
        <f t="shared" si="331"/>
        <v>0</v>
      </c>
      <c r="AS148" s="164">
        <f t="shared" si="331"/>
        <v>0</v>
      </c>
      <c r="AT148" s="164">
        <f t="shared" si="331"/>
        <v>0</v>
      </c>
      <c r="AU148" s="164">
        <f t="shared" si="331"/>
        <v>0</v>
      </c>
      <c r="AV148" s="164">
        <f t="shared" si="331"/>
        <v>0</v>
      </c>
      <c r="AW148" s="164">
        <f t="shared" si="331"/>
        <v>0</v>
      </c>
      <c r="AX148" s="164">
        <f t="shared" si="331"/>
        <v>0</v>
      </c>
      <c r="AY148" s="164">
        <f t="shared" si="331"/>
        <v>0</v>
      </c>
      <c r="AZ148" s="164">
        <f t="shared" si="331"/>
        <v>0</v>
      </c>
      <c r="BA148" s="164">
        <f t="shared" si="331"/>
        <v>0</v>
      </c>
      <c r="BB148" s="164">
        <f t="shared" si="331"/>
        <v>0</v>
      </c>
      <c r="BC148" s="164">
        <f t="shared" si="331"/>
        <v>0</v>
      </c>
      <c r="BD148" s="164">
        <f t="shared" si="331"/>
        <v>0</v>
      </c>
      <c r="BE148" s="164">
        <f t="shared" si="331"/>
        <v>0</v>
      </c>
      <c r="BF148" s="164">
        <f t="shared" si="331"/>
        <v>0</v>
      </c>
      <c r="BG148" s="164">
        <f t="shared" si="331"/>
        <v>0</v>
      </c>
      <c r="BH148" s="164">
        <f t="shared" si="331"/>
        <v>0</v>
      </c>
      <c r="BI148" s="164">
        <f t="shared" si="331"/>
        <v>0</v>
      </c>
      <c r="BJ148" s="164">
        <f t="shared" si="331"/>
        <v>0</v>
      </c>
      <c r="BK148" s="33">
        <f t="shared" si="331"/>
        <v>0</v>
      </c>
    </row>
    <row r="149" spans="9:63">
      <c r="I149" s="31">
        <v>70</v>
      </c>
      <c r="L149" s="225">
        <f t="shared" si="330"/>
        <v>0</v>
      </c>
      <c r="M149" s="164">
        <f t="shared" si="331"/>
        <v>0</v>
      </c>
      <c r="N149" s="164">
        <f t="shared" si="331"/>
        <v>0</v>
      </c>
      <c r="O149" s="164">
        <f t="shared" si="331"/>
        <v>0</v>
      </c>
      <c r="P149" s="164">
        <f t="shared" si="331"/>
        <v>0</v>
      </c>
      <c r="Q149" s="164">
        <f t="shared" si="331"/>
        <v>0</v>
      </c>
      <c r="R149" s="164">
        <f t="shared" si="331"/>
        <v>0</v>
      </c>
      <c r="S149" s="164">
        <f t="shared" si="331"/>
        <v>0</v>
      </c>
      <c r="T149" s="164">
        <f t="shared" si="331"/>
        <v>0</v>
      </c>
      <c r="U149" s="164">
        <f t="shared" si="331"/>
        <v>0</v>
      </c>
      <c r="V149" s="164">
        <f t="shared" si="331"/>
        <v>0</v>
      </c>
      <c r="W149" s="164">
        <f t="shared" si="331"/>
        <v>0</v>
      </c>
      <c r="X149" s="164">
        <f t="shared" si="331"/>
        <v>0</v>
      </c>
      <c r="Y149" s="164">
        <f t="shared" si="331"/>
        <v>0</v>
      </c>
      <c r="Z149" s="164">
        <f t="shared" si="331"/>
        <v>0</v>
      </c>
      <c r="AA149" s="164">
        <f t="shared" si="331"/>
        <v>0</v>
      </c>
      <c r="AB149" s="164">
        <f t="shared" si="331"/>
        <v>0</v>
      </c>
      <c r="AC149" s="164">
        <f t="shared" si="331"/>
        <v>0</v>
      </c>
      <c r="AD149" s="164">
        <f t="shared" si="331"/>
        <v>0</v>
      </c>
      <c r="AE149" s="164">
        <f t="shared" si="331"/>
        <v>0</v>
      </c>
      <c r="AF149" s="164">
        <f t="shared" si="331"/>
        <v>0</v>
      </c>
      <c r="AG149" s="164">
        <f t="shared" si="331"/>
        <v>0</v>
      </c>
      <c r="AH149" s="164">
        <f t="shared" si="331"/>
        <v>0</v>
      </c>
      <c r="AI149" s="164">
        <f t="shared" si="331"/>
        <v>0</v>
      </c>
      <c r="AJ149" s="164">
        <f t="shared" si="331"/>
        <v>0</v>
      </c>
      <c r="AK149" s="164">
        <f t="shared" si="331"/>
        <v>0</v>
      </c>
      <c r="AL149" s="164">
        <f t="shared" si="331"/>
        <v>0</v>
      </c>
      <c r="AM149" s="164">
        <f t="shared" si="331"/>
        <v>0</v>
      </c>
      <c r="AN149" s="164">
        <f t="shared" si="331"/>
        <v>0</v>
      </c>
      <c r="AO149" s="164">
        <f t="shared" si="331"/>
        <v>0</v>
      </c>
      <c r="AP149" s="164">
        <f t="shared" si="331"/>
        <v>0</v>
      </c>
      <c r="AQ149" s="164">
        <f t="shared" si="331"/>
        <v>0</v>
      </c>
      <c r="AR149" s="164">
        <f t="shared" si="331"/>
        <v>0</v>
      </c>
      <c r="AS149" s="164">
        <f t="shared" si="331"/>
        <v>0</v>
      </c>
      <c r="AT149" s="164">
        <f t="shared" si="331"/>
        <v>0</v>
      </c>
      <c r="AU149" s="164">
        <f t="shared" si="331"/>
        <v>0</v>
      </c>
      <c r="AV149" s="164">
        <f t="shared" si="331"/>
        <v>0</v>
      </c>
      <c r="AW149" s="164">
        <f t="shared" si="331"/>
        <v>0</v>
      </c>
      <c r="AX149" s="164">
        <f t="shared" si="331"/>
        <v>0</v>
      </c>
      <c r="AY149" s="164">
        <f t="shared" si="331"/>
        <v>0</v>
      </c>
      <c r="AZ149" s="164">
        <f t="shared" si="331"/>
        <v>0</v>
      </c>
      <c r="BA149" s="164">
        <f t="shared" si="331"/>
        <v>0</v>
      </c>
      <c r="BB149" s="164">
        <f t="shared" si="331"/>
        <v>0</v>
      </c>
      <c r="BC149" s="164">
        <f t="shared" si="331"/>
        <v>0</v>
      </c>
      <c r="BD149" s="164">
        <f t="shared" si="331"/>
        <v>0</v>
      </c>
      <c r="BE149" s="164">
        <f t="shared" si="331"/>
        <v>0</v>
      </c>
      <c r="BF149" s="164">
        <f t="shared" si="331"/>
        <v>0</v>
      </c>
      <c r="BG149" s="164">
        <f t="shared" si="331"/>
        <v>0</v>
      </c>
      <c r="BH149" s="164">
        <f t="shared" si="331"/>
        <v>0</v>
      </c>
      <c r="BI149" s="164">
        <f t="shared" si="331"/>
        <v>0</v>
      </c>
      <c r="BJ149" s="164">
        <f t="shared" si="331"/>
        <v>0</v>
      </c>
      <c r="BK149" s="33">
        <f t="shared" si="331"/>
        <v>0</v>
      </c>
    </row>
    <row r="150" spans="9:63">
      <c r="I150" s="31">
        <v>71</v>
      </c>
      <c r="L150" s="225">
        <f t="shared" si="330"/>
        <v>0</v>
      </c>
      <c r="M150" s="164">
        <f t="shared" si="331"/>
        <v>0</v>
      </c>
      <c r="N150" s="164">
        <f t="shared" si="331"/>
        <v>0</v>
      </c>
      <c r="O150" s="164">
        <f t="shared" si="331"/>
        <v>0</v>
      </c>
      <c r="P150" s="164">
        <f t="shared" si="331"/>
        <v>0</v>
      </c>
      <c r="Q150" s="164">
        <f t="shared" si="331"/>
        <v>0</v>
      </c>
      <c r="R150" s="164">
        <f t="shared" si="331"/>
        <v>0</v>
      </c>
      <c r="S150" s="164">
        <f t="shared" si="331"/>
        <v>0</v>
      </c>
      <c r="T150" s="164">
        <f t="shared" si="331"/>
        <v>0</v>
      </c>
      <c r="U150" s="164">
        <f t="shared" si="331"/>
        <v>0</v>
      </c>
      <c r="V150" s="164">
        <f t="shared" si="331"/>
        <v>0</v>
      </c>
      <c r="W150" s="164">
        <f t="shared" si="331"/>
        <v>0</v>
      </c>
      <c r="X150" s="164">
        <f t="shared" si="331"/>
        <v>0</v>
      </c>
      <c r="Y150" s="164">
        <f t="shared" si="331"/>
        <v>0</v>
      </c>
      <c r="Z150" s="164">
        <f t="shared" si="331"/>
        <v>0</v>
      </c>
      <c r="AA150" s="164">
        <f t="shared" si="331"/>
        <v>0</v>
      </c>
      <c r="AB150" s="164">
        <f t="shared" si="331"/>
        <v>0</v>
      </c>
      <c r="AC150" s="164">
        <f t="shared" si="331"/>
        <v>0</v>
      </c>
      <c r="AD150" s="164">
        <f t="shared" si="331"/>
        <v>0</v>
      </c>
      <c r="AE150" s="164">
        <f t="shared" si="331"/>
        <v>0</v>
      </c>
      <c r="AF150" s="164">
        <f t="shared" si="331"/>
        <v>0</v>
      </c>
      <c r="AG150" s="164">
        <f t="shared" si="331"/>
        <v>0</v>
      </c>
      <c r="AH150" s="164">
        <f t="shared" si="331"/>
        <v>0</v>
      </c>
      <c r="AI150" s="164">
        <f t="shared" si="331"/>
        <v>0</v>
      </c>
      <c r="AJ150" s="164">
        <f t="shared" si="331"/>
        <v>0</v>
      </c>
      <c r="AK150" s="164">
        <f t="shared" si="331"/>
        <v>0</v>
      </c>
      <c r="AL150" s="164">
        <f t="shared" si="331"/>
        <v>0</v>
      </c>
      <c r="AM150" s="164">
        <f t="shared" si="331"/>
        <v>0</v>
      </c>
      <c r="AN150" s="164">
        <f t="shared" si="331"/>
        <v>0</v>
      </c>
      <c r="AO150" s="164">
        <f t="shared" si="331"/>
        <v>0</v>
      </c>
      <c r="AP150" s="164">
        <f t="shared" si="331"/>
        <v>0</v>
      </c>
      <c r="AQ150" s="164">
        <f t="shared" ref="M150:BK155" si="332">IF($I150&lt;=AQ$74,AP150+1,)</f>
        <v>0</v>
      </c>
      <c r="AR150" s="164">
        <f t="shared" si="332"/>
        <v>0</v>
      </c>
      <c r="AS150" s="164">
        <f t="shared" si="332"/>
        <v>0</v>
      </c>
      <c r="AT150" s="164">
        <f t="shared" si="332"/>
        <v>0</v>
      </c>
      <c r="AU150" s="164">
        <f t="shared" si="332"/>
        <v>0</v>
      </c>
      <c r="AV150" s="164">
        <f t="shared" si="332"/>
        <v>0</v>
      </c>
      <c r="AW150" s="164">
        <f t="shared" si="332"/>
        <v>0</v>
      </c>
      <c r="AX150" s="164">
        <f t="shared" si="332"/>
        <v>0</v>
      </c>
      <c r="AY150" s="164">
        <f t="shared" si="332"/>
        <v>0</v>
      </c>
      <c r="AZ150" s="164">
        <f t="shared" si="332"/>
        <v>0</v>
      </c>
      <c r="BA150" s="164">
        <f t="shared" si="332"/>
        <v>0</v>
      </c>
      <c r="BB150" s="164">
        <f t="shared" si="332"/>
        <v>0</v>
      </c>
      <c r="BC150" s="164">
        <f t="shared" si="332"/>
        <v>0</v>
      </c>
      <c r="BD150" s="164">
        <f t="shared" si="332"/>
        <v>0</v>
      </c>
      <c r="BE150" s="164">
        <f t="shared" si="332"/>
        <v>0</v>
      </c>
      <c r="BF150" s="164">
        <f t="shared" si="332"/>
        <v>0</v>
      </c>
      <c r="BG150" s="164">
        <f t="shared" si="332"/>
        <v>0</v>
      </c>
      <c r="BH150" s="164">
        <f t="shared" si="332"/>
        <v>0</v>
      </c>
      <c r="BI150" s="164">
        <f t="shared" si="332"/>
        <v>0</v>
      </c>
      <c r="BJ150" s="164">
        <f t="shared" si="332"/>
        <v>0</v>
      </c>
      <c r="BK150" s="33">
        <f t="shared" si="332"/>
        <v>0</v>
      </c>
    </row>
    <row r="151" spans="9:63">
      <c r="I151" s="31">
        <v>72</v>
      </c>
      <c r="L151" s="225">
        <f t="shared" si="330"/>
        <v>0</v>
      </c>
      <c r="M151" s="164">
        <f t="shared" si="332"/>
        <v>0</v>
      </c>
      <c r="N151" s="164">
        <f t="shared" si="332"/>
        <v>0</v>
      </c>
      <c r="O151" s="164">
        <f t="shared" si="332"/>
        <v>0</v>
      </c>
      <c r="P151" s="164">
        <f t="shared" si="332"/>
        <v>0</v>
      </c>
      <c r="Q151" s="164">
        <f t="shared" si="332"/>
        <v>0</v>
      </c>
      <c r="R151" s="164">
        <f t="shared" si="332"/>
        <v>0</v>
      </c>
      <c r="S151" s="164">
        <f t="shared" si="332"/>
        <v>0</v>
      </c>
      <c r="T151" s="164">
        <f t="shared" si="332"/>
        <v>0</v>
      </c>
      <c r="U151" s="164">
        <f t="shared" si="332"/>
        <v>0</v>
      </c>
      <c r="V151" s="164">
        <f t="shared" si="332"/>
        <v>0</v>
      </c>
      <c r="W151" s="164">
        <f t="shared" si="332"/>
        <v>0</v>
      </c>
      <c r="X151" s="164">
        <f t="shared" si="332"/>
        <v>0</v>
      </c>
      <c r="Y151" s="164">
        <f t="shared" si="332"/>
        <v>0</v>
      </c>
      <c r="Z151" s="164">
        <f t="shared" si="332"/>
        <v>0</v>
      </c>
      <c r="AA151" s="164">
        <f t="shared" si="332"/>
        <v>0</v>
      </c>
      <c r="AB151" s="164">
        <f t="shared" si="332"/>
        <v>0</v>
      </c>
      <c r="AC151" s="164">
        <f t="shared" si="332"/>
        <v>0</v>
      </c>
      <c r="AD151" s="164">
        <f t="shared" si="332"/>
        <v>0</v>
      </c>
      <c r="AE151" s="164">
        <f t="shared" si="332"/>
        <v>0</v>
      </c>
      <c r="AF151" s="164">
        <f t="shared" si="332"/>
        <v>0</v>
      </c>
      <c r="AG151" s="164">
        <f t="shared" si="332"/>
        <v>0</v>
      </c>
      <c r="AH151" s="164">
        <f t="shared" si="332"/>
        <v>0</v>
      </c>
      <c r="AI151" s="164">
        <f t="shared" si="332"/>
        <v>0</v>
      </c>
      <c r="AJ151" s="164">
        <f t="shared" si="332"/>
        <v>0</v>
      </c>
      <c r="AK151" s="164">
        <f t="shared" si="332"/>
        <v>0</v>
      </c>
      <c r="AL151" s="164">
        <f t="shared" si="332"/>
        <v>0</v>
      </c>
      <c r="AM151" s="164">
        <f t="shared" si="332"/>
        <v>0</v>
      </c>
      <c r="AN151" s="164">
        <f t="shared" si="332"/>
        <v>0</v>
      </c>
      <c r="AO151" s="164">
        <f t="shared" si="332"/>
        <v>0</v>
      </c>
      <c r="AP151" s="164">
        <f t="shared" si="332"/>
        <v>0</v>
      </c>
      <c r="AQ151" s="164">
        <f t="shared" si="332"/>
        <v>0</v>
      </c>
      <c r="AR151" s="164">
        <f t="shared" si="332"/>
        <v>0</v>
      </c>
      <c r="AS151" s="164">
        <f t="shared" si="332"/>
        <v>0</v>
      </c>
      <c r="AT151" s="164">
        <f t="shared" si="332"/>
        <v>0</v>
      </c>
      <c r="AU151" s="164">
        <f t="shared" si="332"/>
        <v>0</v>
      </c>
      <c r="AV151" s="164">
        <f t="shared" si="332"/>
        <v>0</v>
      </c>
      <c r="AW151" s="164">
        <f t="shared" si="332"/>
        <v>0</v>
      </c>
      <c r="AX151" s="164">
        <f t="shared" si="332"/>
        <v>0</v>
      </c>
      <c r="AY151" s="164">
        <f t="shared" si="332"/>
        <v>0</v>
      </c>
      <c r="AZ151" s="164">
        <f t="shared" si="332"/>
        <v>0</v>
      </c>
      <c r="BA151" s="164">
        <f t="shared" si="332"/>
        <v>0</v>
      </c>
      <c r="BB151" s="164">
        <f t="shared" si="332"/>
        <v>0</v>
      </c>
      <c r="BC151" s="164">
        <f t="shared" si="332"/>
        <v>0</v>
      </c>
      <c r="BD151" s="164">
        <f t="shared" si="332"/>
        <v>0</v>
      </c>
      <c r="BE151" s="164">
        <f t="shared" si="332"/>
        <v>0</v>
      </c>
      <c r="BF151" s="164">
        <f t="shared" si="332"/>
        <v>0</v>
      </c>
      <c r="BG151" s="164">
        <f t="shared" si="332"/>
        <v>0</v>
      </c>
      <c r="BH151" s="164">
        <f t="shared" si="332"/>
        <v>0</v>
      </c>
      <c r="BI151" s="164">
        <f t="shared" si="332"/>
        <v>0</v>
      </c>
      <c r="BJ151" s="164">
        <f t="shared" si="332"/>
        <v>0</v>
      </c>
      <c r="BK151" s="33">
        <f t="shared" si="332"/>
        <v>0</v>
      </c>
    </row>
    <row r="152" spans="9:63">
      <c r="I152" s="31">
        <v>73</v>
      </c>
      <c r="L152" s="225">
        <f t="shared" si="330"/>
        <v>0</v>
      </c>
      <c r="M152" s="164">
        <f t="shared" si="332"/>
        <v>0</v>
      </c>
      <c r="N152" s="164">
        <f t="shared" si="332"/>
        <v>0</v>
      </c>
      <c r="O152" s="164">
        <f t="shared" si="332"/>
        <v>0</v>
      </c>
      <c r="P152" s="164">
        <f t="shared" si="332"/>
        <v>0</v>
      </c>
      <c r="Q152" s="164">
        <f t="shared" si="332"/>
        <v>0</v>
      </c>
      <c r="R152" s="164">
        <f t="shared" si="332"/>
        <v>0</v>
      </c>
      <c r="S152" s="164">
        <f t="shared" si="332"/>
        <v>0</v>
      </c>
      <c r="T152" s="164">
        <f t="shared" si="332"/>
        <v>0</v>
      </c>
      <c r="U152" s="164">
        <f t="shared" si="332"/>
        <v>0</v>
      </c>
      <c r="V152" s="164">
        <f t="shared" si="332"/>
        <v>0</v>
      </c>
      <c r="W152" s="164">
        <f t="shared" si="332"/>
        <v>0</v>
      </c>
      <c r="X152" s="164">
        <f t="shared" si="332"/>
        <v>0</v>
      </c>
      <c r="Y152" s="164">
        <f t="shared" si="332"/>
        <v>0</v>
      </c>
      <c r="Z152" s="164">
        <f t="shared" si="332"/>
        <v>0</v>
      </c>
      <c r="AA152" s="164">
        <f t="shared" si="332"/>
        <v>0</v>
      </c>
      <c r="AB152" s="164">
        <f t="shared" si="332"/>
        <v>0</v>
      </c>
      <c r="AC152" s="164">
        <f t="shared" si="332"/>
        <v>0</v>
      </c>
      <c r="AD152" s="164">
        <f t="shared" si="332"/>
        <v>0</v>
      </c>
      <c r="AE152" s="164">
        <f t="shared" si="332"/>
        <v>0</v>
      </c>
      <c r="AF152" s="164">
        <f t="shared" si="332"/>
        <v>0</v>
      </c>
      <c r="AG152" s="164">
        <f t="shared" si="332"/>
        <v>0</v>
      </c>
      <c r="AH152" s="164">
        <f t="shared" si="332"/>
        <v>0</v>
      </c>
      <c r="AI152" s="164">
        <f t="shared" si="332"/>
        <v>0</v>
      </c>
      <c r="AJ152" s="164">
        <f t="shared" si="332"/>
        <v>0</v>
      </c>
      <c r="AK152" s="164">
        <f t="shared" si="332"/>
        <v>0</v>
      </c>
      <c r="AL152" s="164">
        <f t="shared" si="332"/>
        <v>0</v>
      </c>
      <c r="AM152" s="164">
        <f t="shared" si="332"/>
        <v>0</v>
      </c>
      <c r="AN152" s="164">
        <f t="shared" si="332"/>
        <v>0</v>
      </c>
      <c r="AO152" s="164">
        <f t="shared" si="332"/>
        <v>0</v>
      </c>
      <c r="AP152" s="164">
        <f t="shared" si="332"/>
        <v>0</v>
      </c>
      <c r="AQ152" s="164">
        <f t="shared" si="332"/>
        <v>0</v>
      </c>
      <c r="AR152" s="164">
        <f t="shared" si="332"/>
        <v>0</v>
      </c>
      <c r="AS152" s="164">
        <f t="shared" si="332"/>
        <v>0</v>
      </c>
      <c r="AT152" s="164">
        <f t="shared" si="332"/>
        <v>0</v>
      </c>
      <c r="AU152" s="164">
        <f t="shared" si="332"/>
        <v>0</v>
      </c>
      <c r="AV152" s="164">
        <f t="shared" si="332"/>
        <v>0</v>
      </c>
      <c r="AW152" s="164">
        <f t="shared" si="332"/>
        <v>0</v>
      </c>
      <c r="AX152" s="164">
        <f t="shared" si="332"/>
        <v>0</v>
      </c>
      <c r="AY152" s="164">
        <f t="shared" si="332"/>
        <v>0</v>
      </c>
      <c r="AZ152" s="164">
        <f t="shared" si="332"/>
        <v>0</v>
      </c>
      <c r="BA152" s="164">
        <f t="shared" si="332"/>
        <v>0</v>
      </c>
      <c r="BB152" s="164">
        <f t="shared" si="332"/>
        <v>0</v>
      </c>
      <c r="BC152" s="164">
        <f t="shared" si="332"/>
        <v>0</v>
      </c>
      <c r="BD152" s="164">
        <f t="shared" si="332"/>
        <v>0</v>
      </c>
      <c r="BE152" s="164">
        <f t="shared" si="332"/>
        <v>0</v>
      </c>
      <c r="BF152" s="164">
        <f t="shared" si="332"/>
        <v>0</v>
      </c>
      <c r="BG152" s="164">
        <f t="shared" si="332"/>
        <v>0</v>
      </c>
      <c r="BH152" s="164">
        <f t="shared" si="332"/>
        <v>0</v>
      </c>
      <c r="BI152" s="164">
        <f t="shared" si="332"/>
        <v>0</v>
      </c>
      <c r="BJ152" s="164">
        <f t="shared" si="332"/>
        <v>0</v>
      </c>
      <c r="BK152" s="33">
        <f t="shared" si="332"/>
        <v>0</v>
      </c>
    </row>
    <row r="153" spans="9:63">
      <c r="I153" s="31">
        <v>74</v>
      </c>
      <c r="L153" s="225">
        <f t="shared" si="330"/>
        <v>0</v>
      </c>
      <c r="M153" s="164">
        <f t="shared" si="332"/>
        <v>0</v>
      </c>
      <c r="N153" s="164">
        <f t="shared" si="332"/>
        <v>0</v>
      </c>
      <c r="O153" s="164">
        <f t="shared" si="332"/>
        <v>0</v>
      </c>
      <c r="P153" s="164">
        <f t="shared" si="332"/>
        <v>0</v>
      </c>
      <c r="Q153" s="164">
        <f t="shared" si="332"/>
        <v>0</v>
      </c>
      <c r="R153" s="164">
        <f t="shared" si="332"/>
        <v>0</v>
      </c>
      <c r="S153" s="164">
        <f t="shared" si="332"/>
        <v>0</v>
      </c>
      <c r="T153" s="164">
        <f t="shared" si="332"/>
        <v>0</v>
      </c>
      <c r="U153" s="164">
        <f t="shared" si="332"/>
        <v>0</v>
      </c>
      <c r="V153" s="164">
        <f t="shared" si="332"/>
        <v>0</v>
      </c>
      <c r="W153" s="164">
        <f t="shared" si="332"/>
        <v>0</v>
      </c>
      <c r="X153" s="164">
        <f t="shared" si="332"/>
        <v>0</v>
      </c>
      <c r="Y153" s="164">
        <f t="shared" si="332"/>
        <v>0</v>
      </c>
      <c r="Z153" s="164">
        <f t="shared" si="332"/>
        <v>0</v>
      </c>
      <c r="AA153" s="164">
        <f t="shared" si="332"/>
        <v>0</v>
      </c>
      <c r="AB153" s="164">
        <f t="shared" si="332"/>
        <v>0</v>
      </c>
      <c r="AC153" s="164">
        <f t="shared" si="332"/>
        <v>0</v>
      </c>
      <c r="AD153" s="164">
        <f t="shared" si="332"/>
        <v>0</v>
      </c>
      <c r="AE153" s="164">
        <f t="shared" si="332"/>
        <v>0</v>
      </c>
      <c r="AF153" s="164">
        <f t="shared" si="332"/>
        <v>0</v>
      </c>
      <c r="AG153" s="164">
        <f t="shared" si="332"/>
        <v>0</v>
      </c>
      <c r="AH153" s="164">
        <f t="shared" si="332"/>
        <v>0</v>
      </c>
      <c r="AI153" s="164">
        <f t="shared" si="332"/>
        <v>0</v>
      </c>
      <c r="AJ153" s="164">
        <f t="shared" si="332"/>
        <v>0</v>
      </c>
      <c r="AK153" s="164">
        <f t="shared" si="332"/>
        <v>0</v>
      </c>
      <c r="AL153" s="164">
        <f t="shared" si="332"/>
        <v>0</v>
      </c>
      <c r="AM153" s="164">
        <f t="shared" si="332"/>
        <v>0</v>
      </c>
      <c r="AN153" s="164">
        <f t="shared" si="332"/>
        <v>0</v>
      </c>
      <c r="AO153" s="164">
        <f t="shared" si="332"/>
        <v>0</v>
      </c>
      <c r="AP153" s="164">
        <f t="shared" si="332"/>
        <v>0</v>
      </c>
      <c r="AQ153" s="164">
        <f t="shared" si="332"/>
        <v>0</v>
      </c>
      <c r="AR153" s="164">
        <f t="shared" si="332"/>
        <v>0</v>
      </c>
      <c r="AS153" s="164">
        <f t="shared" si="332"/>
        <v>0</v>
      </c>
      <c r="AT153" s="164">
        <f t="shared" si="332"/>
        <v>0</v>
      </c>
      <c r="AU153" s="164">
        <f t="shared" si="332"/>
        <v>0</v>
      </c>
      <c r="AV153" s="164">
        <f t="shared" si="332"/>
        <v>0</v>
      </c>
      <c r="AW153" s="164">
        <f t="shared" si="332"/>
        <v>0</v>
      </c>
      <c r="AX153" s="164">
        <f t="shared" si="332"/>
        <v>0</v>
      </c>
      <c r="AY153" s="164">
        <f t="shared" si="332"/>
        <v>0</v>
      </c>
      <c r="AZ153" s="164">
        <f t="shared" si="332"/>
        <v>0</v>
      </c>
      <c r="BA153" s="164">
        <f t="shared" si="332"/>
        <v>0</v>
      </c>
      <c r="BB153" s="164">
        <f t="shared" si="332"/>
        <v>0</v>
      </c>
      <c r="BC153" s="164">
        <f t="shared" si="332"/>
        <v>0</v>
      </c>
      <c r="BD153" s="164">
        <f t="shared" si="332"/>
        <v>0</v>
      </c>
      <c r="BE153" s="164">
        <f t="shared" si="332"/>
        <v>0</v>
      </c>
      <c r="BF153" s="164">
        <f t="shared" si="332"/>
        <v>0</v>
      </c>
      <c r="BG153" s="164">
        <f t="shared" si="332"/>
        <v>0</v>
      </c>
      <c r="BH153" s="164">
        <f t="shared" si="332"/>
        <v>0</v>
      </c>
      <c r="BI153" s="164">
        <f t="shared" si="332"/>
        <v>0</v>
      </c>
      <c r="BJ153" s="164">
        <f t="shared" si="332"/>
        <v>0</v>
      </c>
      <c r="BK153" s="33">
        <f t="shared" si="332"/>
        <v>0</v>
      </c>
    </row>
    <row r="154" spans="9:63">
      <c r="I154" s="31">
        <v>75</v>
      </c>
      <c r="L154" s="225">
        <f t="shared" si="330"/>
        <v>0</v>
      </c>
      <c r="M154" s="164">
        <f t="shared" si="332"/>
        <v>0</v>
      </c>
      <c r="N154" s="164">
        <f t="shared" si="332"/>
        <v>0</v>
      </c>
      <c r="O154" s="164">
        <f t="shared" si="332"/>
        <v>0</v>
      </c>
      <c r="P154" s="164">
        <f t="shared" si="332"/>
        <v>0</v>
      </c>
      <c r="Q154" s="164">
        <f t="shared" si="332"/>
        <v>0</v>
      </c>
      <c r="R154" s="164">
        <f t="shared" si="332"/>
        <v>0</v>
      </c>
      <c r="S154" s="164">
        <f t="shared" si="332"/>
        <v>0</v>
      </c>
      <c r="T154" s="164">
        <f t="shared" si="332"/>
        <v>0</v>
      </c>
      <c r="U154" s="164">
        <f t="shared" si="332"/>
        <v>0</v>
      </c>
      <c r="V154" s="164">
        <f t="shared" si="332"/>
        <v>0</v>
      </c>
      <c r="W154" s="164">
        <f t="shared" si="332"/>
        <v>0</v>
      </c>
      <c r="X154" s="164">
        <f t="shared" si="332"/>
        <v>0</v>
      </c>
      <c r="Y154" s="164">
        <f t="shared" si="332"/>
        <v>0</v>
      </c>
      <c r="Z154" s="164">
        <f t="shared" si="332"/>
        <v>0</v>
      </c>
      <c r="AA154" s="164">
        <f t="shared" si="332"/>
        <v>0</v>
      </c>
      <c r="AB154" s="164">
        <f t="shared" si="332"/>
        <v>0</v>
      </c>
      <c r="AC154" s="164">
        <f t="shared" si="332"/>
        <v>0</v>
      </c>
      <c r="AD154" s="164">
        <f t="shared" si="332"/>
        <v>0</v>
      </c>
      <c r="AE154" s="164">
        <f t="shared" si="332"/>
        <v>0</v>
      </c>
      <c r="AF154" s="164">
        <f t="shared" si="332"/>
        <v>0</v>
      </c>
      <c r="AG154" s="164">
        <f t="shared" si="332"/>
        <v>0</v>
      </c>
      <c r="AH154" s="164">
        <f t="shared" si="332"/>
        <v>0</v>
      </c>
      <c r="AI154" s="164">
        <f t="shared" si="332"/>
        <v>0</v>
      </c>
      <c r="AJ154" s="164">
        <f t="shared" si="332"/>
        <v>0</v>
      </c>
      <c r="AK154" s="164">
        <f t="shared" si="332"/>
        <v>0</v>
      </c>
      <c r="AL154" s="164">
        <f t="shared" si="332"/>
        <v>0</v>
      </c>
      <c r="AM154" s="164">
        <f t="shared" si="332"/>
        <v>0</v>
      </c>
      <c r="AN154" s="164">
        <f t="shared" si="332"/>
        <v>0</v>
      </c>
      <c r="AO154" s="164">
        <f t="shared" si="332"/>
        <v>0</v>
      </c>
      <c r="AP154" s="164">
        <f t="shared" si="332"/>
        <v>0</v>
      </c>
      <c r="AQ154" s="164">
        <f t="shared" si="332"/>
        <v>0</v>
      </c>
      <c r="AR154" s="164">
        <f t="shared" si="332"/>
        <v>0</v>
      </c>
      <c r="AS154" s="164">
        <f t="shared" si="332"/>
        <v>0</v>
      </c>
      <c r="AT154" s="164">
        <f t="shared" si="332"/>
        <v>0</v>
      </c>
      <c r="AU154" s="164">
        <f t="shared" si="332"/>
        <v>0</v>
      </c>
      <c r="AV154" s="164">
        <f t="shared" si="332"/>
        <v>0</v>
      </c>
      <c r="AW154" s="164">
        <f t="shared" si="332"/>
        <v>0</v>
      </c>
      <c r="AX154" s="164">
        <f t="shared" si="332"/>
        <v>0</v>
      </c>
      <c r="AY154" s="164">
        <f t="shared" si="332"/>
        <v>0</v>
      </c>
      <c r="AZ154" s="164">
        <f t="shared" si="332"/>
        <v>0</v>
      </c>
      <c r="BA154" s="164">
        <f t="shared" si="332"/>
        <v>0</v>
      </c>
      <c r="BB154" s="164">
        <f t="shared" si="332"/>
        <v>0</v>
      </c>
      <c r="BC154" s="164">
        <f t="shared" si="332"/>
        <v>0</v>
      </c>
      <c r="BD154" s="164">
        <f t="shared" si="332"/>
        <v>0</v>
      </c>
      <c r="BE154" s="164">
        <f t="shared" si="332"/>
        <v>0</v>
      </c>
      <c r="BF154" s="164">
        <f t="shared" si="332"/>
        <v>0</v>
      </c>
      <c r="BG154" s="164">
        <f t="shared" si="332"/>
        <v>0</v>
      </c>
      <c r="BH154" s="164">
        <f t="shared" si="332"/>
        <v>0</v>
      </c>
      <c r="BI154" s="164">
        <f t="shared" si="332"/>
        <v>0</v>
      </c>
      <c r="BJ154" s="164">
        <f t="shared" si="332"/>
        <v>0</v>
      </c>
      <c r="BK154" s="33">
        <f t="shared" si="332"/>
        <v>0</v>
      </c>
    </row>
    <row r="155" spans="9:63">
      <c r="I155" s="31">
        <v>76</v>
      </c>
      <c r="L155" s="225">
        <f t="shared" si="330"/>
        <v>0</v>
      </c>
      <c r="M155" s="164">
        <f t="shared" si="332"/>
        <v>0</v>
      </c>
      <c r="N155" s="164">
        <f t="shared" si="332"/>
        <v>0</v>
      </c>
      <c r="O155" s="164">
        <f t="shared" si="332"/>
        <v>0</v>
      </c>
      <c r="P155" s="164">
        <f t="shared" si="332"/>
        <v>0</v>
      </c>
      <c r="Q155" s="164">
        <f t="shared" si="332"/>
        <v>0</v>
      </c>
      <c r="R155" s="164">
        <f t="shared" si="332"/>
        <v>0</v>
      </c>
      <c r="S155" s="164">
        <f t="shared" si="332"/>
        <v>0</v>
      </c>
      <c r="T155" s="164">
        <f t="shared" si="332"/>
        <v>0</v>
      </c>
      <c r="U155" s="164">
        <f t="shared" si="332"/>
        <v>0</v>
      </c>
      <c r="V155" s="164">
        <f t="shared" si="332"/>
        <v>0</v>
      </c>
      <c r="W155" s="164">
        <f t="shared" si="332"/>
        <v>0</v>
      </c>
      <c r="X155" s="164">
        <f t="shared" si="332"/>
        <v>0</v>
      </c>
      <c r="Y155" s="164">
        <f t="shared" si="332"/>
        <v>0</v>
      </c>
      <c r="Z155" s="164">
        <f t="shared" si="332"/>
        <v>0</v>
      </c>
      <c r="AA155" s="164">
        <f t="shared" si="332"/>
        <v>0</v>
      </c>
      <c r="AB155" s="164">
        <f t="shared" si="332"/>
        <v>0</v>
      </c>
      <c r="AC155" s="164">
        <f t="shared" si="332"/>
        <v>0</v>
      </c>
      <c r="AD155" s="164">
        <f t="shared" si="332"/>
        <v>0</v>
      </c>
      <c r="AE155" s="164">
        <f t="shared" si="332"/>
        <v>0</v>
      </c>
      <c r="AF155" s="164">
        <f t="shared" si="332"/>
        <v>0</v>
      </c>
      <c r="AG155" s="164">
        <f t="shared" si="332"/>
        <v>0</v>
      </c>
      <c r="AH155" s="164">
        <f t="shared" si="332"/>
        <v>0</v>
      </c>
      <c r="AI155" s="164">
        <f t="shared" si="332"/>
        <v>0</v>
      </c>
      <c r="AJ155" s="164">
        <f t="shared" si="332"/>
        <v>0</v>
      </c>
      <c r="AK155" s="164">
        <f t="shared" si="332"/>
        <v>0</v>
      </c>
      <c r="AL155" s="164">
        <f t="shared" si="332"/>
        <v>0</v>
      </c>
      <c r="AM155" s="164">
        <f t="shared" si="332"/>
        <v>0</v>
      </c>
      <c r="AN155" s="164">
        <f t="shared" si="332"/>
        <v>0</v>
      </c>
      <c r="AO155" s="164">
        <f t="shared" si="332"/>
        <v>0</v>
      </c>
      <c r="AP155" s="164">
        <f t="shared" si="332"/>
        <v>0</v>
      </c>
      <c r="AQ155" s="164">
        <f t="shared" ref="M155:BK160" si="333">IF($I155&lt;=AQ$74,AP155+1,)</f>
        <v>0</v>
      </c>
      <c r="AR155" s="164">
        <f t="shared" si="333"/>
        <v>0</v>
      </c>
      <c r="AS155" s="164">
        <f t="shared" si="333"/>
        <v>0</v>
      </c>
      <c r="AT155" s="164">
        <f t="shared" si="333"/>
        <v>0</v>
      </c>
      <c r="AU155" s="164">
        <f t="shared" si="333"/>
        <v>0</v>
      </c>
      <c r="AV155" s="164">
        <f t="shared" si="333"/>
        <v>0</v>
      </c>
      <c r="AW155" s="164">
        <f t="shared" si="333"/>
        <v>0</v>
      </c>
      <c r="AX155" s="164">
        <f t="shared" si="333"/>
        <v>0</v>
      </c>
      <c r="AY155" s="164">
        <f t="shared" si="333"/>
        <v>0</v>
      </c>
      <c r="AZ155" s="164">
        <f t="shared" si="333"/>
        <v>0</v>
      </c>
      <c r="BA155" s="164">
        <f t="shared" si="333"/>
        <v>0</v>
      </c>
      <c r="BB155" s="164">
        <f t="shared" si="333"/>
        <v>0</v>
      </c>
      <c r="BC155" s="164">
        <f t="shared" si="333"/>
        <v>0</v>
      </c>
      <c r="BD155" s="164">
        <f t="shared" si="333"/>
        <v>0</v>
      </c>
      <c r="BE155" s="164">
        <f t="shared" si="333"/>
        <v>0</v>
      </c>
      <c r="BF155" s="164">
        <f t="shared" si="333"/>
        <v>0</v>
      </c>
      <c r="BG155" s="164">
        <f t="shared" si="333"/>
        <v>0</v>
      </c>
      <c r="BH155" s="164">
        <f t="shared" si="333"/>
        <v>0</v>
      </c>
      <c r="BI155" s="164">
        <f t="shared" si="333"/>
        <v>0</v>
      </c>
      <c r="BJ155" s="164">
        <f t="shared" si="333"/>
        <v>0</v>
      </c>
      <c r="BK155" s="33">
        <f t="shared" si="333"/>
        <v>0</v>
      </c>
    </row>
    <row r="156" spans="9:63">
      <c r="I156" s="31">
        <v>77</v>
      </c>
      <c r="L156" s="225">
        <f t="shared" si="330"/>
        <v>0</v>
      </c>
      <c r="M156" s="164">
        <f t="shared" si="333"/>
        <v>0</v>
      </c>
      <c r="N156" s="164">
        <f t="shared" si="333"/>
        <v>0</v>
      </c>
      <c r="O156" s="164">
        <f t="shared" si="333"/>
        <v>0</v>
      </c>
      <c r="P156" s="164">
        <f t="shared" si="333"/>
        <v>0</v>
      </c>
      <c r="Q156" s="164">
        <f t="shared" si="333"/>
        <v>0</v>
      </c>
      <c r="R156" s="164">
        <f t="shared" si="333"/>
        <v>0</v>
      </c>
      <c r="S156" s="164">
        <f t="shared" si="333"/>
        <v>0</v>
      </c>
      <c r="T156" s="164">
        <f t="shared" si="333"/>
        <v>0</v>
      </c>
      <c r="U156" s="164">
        <f t="shared" si="333"/>
        <v>0</v>
      </c>
      <c r="V156" s="164">
        <f t="shared" si="333"/>
        <v>0</v>
      </c>
      <c r="W156" s="164">
        <f t="shared" si="333"/>
        <v>0</v>
      </c>
      <c r="X156" s="164">
        <f t="shared" si="333"/>
        <v>0</v>
      </c>
      <c r="Y156" s="164">
        <f t="shared" si="333"/>
        <v>0</v>
      </c>
      <c r="Z156" s="164">
        <f t="shared" si="333"/>
        <v>0</v>
      </c>
      <c r="AA156" s="164">
        <f t="shared" si="333"/>
        <v>0</v>
      </c>
      <c r="AB156" s="164">
        <f t="shared" si="333"/>
        <v>0</v>
      </c>
      <c r="AC156" s="164">
        <f t="shared" si="333"/>
        <v>0</v>
      </c>
      <c r="AD156" s="164">
        <f t="shared" si="333"/>
        <v>0</v>
      </c>
      <c r="AE156" s="164">
        <f t="shared" si="333"/>
        <v>0</v>
      </c>
      <c r="AF156" s="164">
        <f t="shared" si="333"/>
        <v>0</v>
      </c>
      <c r="AG156" s="164">
        <f t="shared" si="333"/>
        <v>0</v>
      </c>
      <c r="AH156" s="164">
        <f t="shared" si="333"/>
        <v>0</v>
      </c>
      <c r="AI156" s="164">
        <f t="shared" si="333"/>
        <v>0</v>
      </c>
      <c r="AJ156" s="164">
        <f t="shared" si="333"/>
        <v>0</v>
      </c>
      <c r="AK156" s="164">
        <f t="shared" si="333"/>
        <v>0</v>
      </c>
      <c r="AL156" s="164">
        <f t="shared" si="333"/>
        <v>0</v>
      </c>
      <c r="AM156" s="164">
        <f t="shared" si="333"/>
        <v>0</v>
      </c>
      <c r="AN156" s="164">
        <f t="shared" si="333"/>
        <v>0</v>
      </c>
      <c r="AO156" s="164">
        <f t="shared" si="333"/>
        <v>0</v>
      </c>
      <c r="AP156" s="164">
        <f t="shared" si="333"/>
        <v>0</v>
      </c>
      <c r="AQ156" s="164">
        <f t="shared" si="333"/>
        <v>0</v>
      </c>
      <c r="AR156" s="164">
        <f t="shared" si="333"/>
        <v>0</v>
      </c>
      <c r="AS156" s="164">
        <f t="shared" si="333"/>
        <v>0</v>
      </c>
      <c r="AT156" s="164">
        <f t="shared" si="333"/>
        <v>0</v>
      </c>
      <c r="AU156" s="164">
        <f t="shared" si="333"/>
        <v>0</v>
      </c>
      <c r="AV156" s="164">
        <f t="shared" si="333"/>
        <v>0</v>
      </c>
      <c r="AW156" s="164">
        <f t="shared" si="333"/>
        <v>0</v>
      </c>
      <c r="AX156" s="164">
        <f t="shared" si="333"/>
        <v>0</v>
      </c>
      <c r="AY156" s="164">
        <f t="shared" si="333"/>
        <v>0</v>
      </c>
      <c r="AZ156" s="164">
        <f t="shared" si="333"/>
        <v>0</v>
      </c>
      <c r="BA156" s="164">
        <f t="shared" si="333"/>
        <v>0</v>
      </c>
      <c r="BB156" s="164">
        <f t="shared" si="333"/>
        <v>0</v>
      </c>
      <c r="BC156" s="164">
        <f t="shared" si="333"/>
        <v>0</v>
      </c>
      <c r="BD156" s="164">
        <f t="shared" si="333"/>
        <v>0</v>
      </c>
      <c r="BE156" s="164">
        <f t="shared" si="333"/>
        <v>0</v>
      </c>
      <c r="BF156" s="164">
        <f t="shared" si="333"/>
        <v>0</v>
      </c>
      <c r="BG156" s="164">
        <f t="shared" si="333"/>
        <v>0</v>
      </c>
      <c r="BH156" s="164">
        <f t="shared" si="333"/>
        <v>0</v>
      </c>
      <c r="BI156" s="164">
        <f t="shared" si="333"/>
        <v>0</v>
      </c>
      <c r="BJ156" s="164">
        <f t="shared" si="333"/>
        <v>0</v>
      </c>
      <c r="BK156" s="33">
        <f t="shared" si="333"/>
        <v>0</v>
      </c>
    </row>
    <row r="157" spans="9:63">
      <c r="I157" s="31">
        <v>78</v>
      </c>
      <c r="L157" s="225">
        <f t="shared" si="330"/>
        <v>0</v>
      </c>
      <c r="M157" s="164">
        <f t="shared" si="333"/>
        <v>0</v>
      </c>
      <c r="N157" s="164">
        <f t="shared" si="333"/>
        <v>0</v>
      </c>
      <c r="O157" s="164">
        <f t="shared" si="333"/>
        <v>0</v>
      </c>
      <c r="P157" s="164">
        <f t="shared" si="333"/>
        <v>0</v>
      </c>
      <c r="Q157" s="164">
        <f t="shared" si="333"/>
        <v>0</v>
      </c>
      <c r="R157" s="164">
        <f t="shared" si="333"/>
        <v>0</v>
      </c>
      <c r="S157" s="164">
        <f t="shared" si="333"/>
        <v>0</v>
      </c>
      <c r="T157" s="164">
        <f t="shared" si="333"/>
        <v>0</v>
      </c>
      <c r="U157" s="164">
        <f t="shared" si="333"/>
        <v>0</v>
      </c>
      <c r="V157" s="164">
        <f t="shared" si="333"/>
        <v>0</v>
      </c>
      <c r="W157" s="164">
        <f t="shared" si="333"/>
        <v>0</v>
      </c>
      <c r="X157" s="164">
        <f t="shared" si="333"/>
        <v>0</v>
      </c>
      <c r="Y157" s="164">
        <f t="shared" si="333"/>
        <v>0</v>
      </c>
      <c r="Z157" s="164">
        <f t="shared" si="333"/>
        <v>0</v>
      </c>
      <c r="AA157" s="164">
        <f t="shared" si="333"/>
        <v>0</v>
      </c>
      <c r="AB157" s="164">
        <f t="shared" si="333"/>
        <v>0</v>
      </c>
      <c r="AC157" s="164">
        <f t="shared" si="333"/>
        <v>0</v>
      </c>
      <c r="AD157" s="164">
        <f t="shared" si="333"/>
        <v>0</v>
      </c>
      <c r="AE157" s="164">
        <f t="shared" si="333"/>
        <v>0</v>
      </c>
      <c r="AF157" s="164">
        <f t="shared" si="333"/>
        <v>0</v>
      </c>
      <c r="AG157" s="164">
        <f t="shared" si="333"/>
        <v>0</v>
      </c>
      <c r="AH157" s="164">
        <f t="shared" si="333"/>
        <v>0</v>
      </c>
      <c r="AI157" s="164">
        <f t="shared" si="333"/>
        <v>0</v>
      </c>
      <c r="AJ157" s="164">
        <f t="shared" si="333"/>
        <v>0</v>
      </c>
      <c r="AK157" s="164">
        <f t="shared" si="333"/>
        <v>0</v>
      </c>
      <c r="AL157" s="164">
        <f t="shared" si="333"/>
        <v>0</v>
      </c>
      <c r="AM157" s="164">
        <f t="shared" si="333"/>
        <v>0</v>
      </c>
      <c r="AN157" s="164">
        <f t="shared" si="333"/>
        <v>0</v>
      </c>
      <c r="AO157" s="164">
        <f t="shared" si="333"/>
        <v>0</v>
      </c>
      <c r="AP157" s="164">
        <f t="shared" si="333"/>
        <v>0</v>
      </c>
      <c r="AQ157" s="164">
        <f t="shared" si="333"/>
        <v>0</v>
      </c>
      <c r="AR157" s="164">
        <f t="shared" si="333"/>
        <v>0</v>
      </c>
      <c r="AS157" s="164">
        <f t="shared" si="333"/>
        <v>0</v>
      </c>
      <c r="AT157" s="164">
        <f t="shared" si="333"/>
        <v>0</v>
      </c>
      <c r="AU157" s="164">
        <f t="shared" si="333"/>
        <v>0</v>
      </c>
      <c r="AV157" s="164">
        <f t="shared" si="333"/>
        <v>0</v>
      </c>
      <c r="AW157" s="164">
        <f t="shared" si="333"/>
        <v>0</v>
      </c>
      <c r="AX157" s="164">
        <f t="shared" si="333"/>
        <v>0</v>
      </c>
      <c r="AY157" s="164">
        <f t="shared" si="333"/>
        <v>0</v>
      </c>
      <c r="AZ157" s="164">
        <f t="shared" si="333"/>
        <v>0</v>
      </c>
      <c r="BA157" s="164">
        <f t="shared" si="333"/>
        <v>0</v>
      </c>
      <c r="BB157" s="164">
        <f t="shared" si="333"/>
        <v>0</v>
      </c>
      <c r="BC157" s="164">
        <f t="shared" si="333"/>
        <v>0</v>
      </c>
      <c r="BD157" s="164">
        <f t="shared" si="333"/>
        <v>0</v>
      </c>
      <c r="BE157" s="164">
        <f t="shared" si="333"/>
        <v>0</v>
      </c>
      <c r="BF157" s="164">
        <f t="shared" si="333"/>
        <v>0</v>
      </c>
      <c r="BG157" s="164">
        <f t="shared" si="333"/>
        <v>0</v>
      </c>
      <c r="BH157" s="164">
        <f t="shared" si="333"/>
        <v>0</v>
      </c>
      <c r="BI157" s="164">
        <f t="shared" si="333"/>
        <v>0</v>
      </c>
      <c r="BJ157" s="164">
        <f t="shared" si="333"/>
        <v>0</v>
      </c>
      <c r="BK157" s="33">
        <f t="shared" si="333"/>
        <v>0</v>
      </c>
    </row>
    <row r="158" spans="9:63">
      <c r="I158" s="31">
        <v>79</v>
      </c>
      <c r="L158" s="225">
        <f t="shared" si="330"/>
        <v>0</v>
      </c>
      <c r="M158" s="164">
        <f t="shared" si="333"/>
        <v>0</v>
      </c>
      <c r="N158" s="164">
        <f t="shared" si="333"/>
        <v>0</v>
      </c>
      <c r="O158" s="164">
        <f t="shared" si="333"/>
        <v>0</v>
      </c>
      <c r="P158" s="164">
        <f t="shared" si="333"/>
        <v>0</v>
      </c>
      <c r="Q158" s="164">
        <f t="shared" si="333"/>
        <v>0</v>
      </c>
      <c r="R158" s="164">
        <f t="shared" si="333"/>
        <v>0</v>
      </c>
      <c r="S158" s="164">
        <f t="shared" si="333"/>
        <v>0</v>
      </c>
      <c r="T158" s="164">
        <f t="shared" si="333"/>
        <v>0</v>
      </c>
      <c r="U158" s="164">
        <f t="shared" si="333"/>
        <v>0</v>
      </c>
      <c r="V158" s="164">
        <f t="shared" si="333"/>
        <v>0</v>
      </c>
      <c r="W158" s="164">
        <f t="shared" si="333"/>
        <v>0</v>
      </c>
      <c r="X158" s="164">
        <f t="shared" si="333"/>
        <v>0</v>
      </c>
      <c r="Y158" s="164">
        <f t="shared" si="333"/>
        <v>0</v>
      </c>
      <c r="Z158" s="164">
        <f t="shared" si="333"/>
        <v>0</v>
      </c>
      <c r="AA158" s="164">
        <f t="shared" si="333"/>
        <v>0</v>
      </c>
      <c r="AB158" s="164">
        <f t="shared" si="333"/>
        <v>0</v>
      </c>
      <c r="AC158" s="164">
        <f t="shared" si="333"/>
        <v>0</v>
      </c>
      <c r="AD158" s="164">
        <f t="shared" si="333"/>
        <v>0</v>
      </c>
      <c r="AE158" s="164">
        <f t="shared" si="333"/>
        <v>0</v>
      </c>
      <c r="AF158" s="164">
        <f t="shared" si="333"/>
        <v>0</v>
      </c>
      <c r="AG158" s="164">
        <f t="shared" si="333"/>
        <v>0</v>
      </c>
      <c r="AH158" s="164">
        <f t="shared" si="333"/>
        <v>0</v>
      </c>
      <c r="AI158" s="164">
        <f t="shared" si="333"/>
        <v>0</v>
      </c>
      <c r="AJ158" s="164">
        <f t="shared" si="333"/>
        <v>0</v>
      </c>
      <c r="AK158" s="164">
        <f t="shared" si="333"/>
        <v>0</v>
      </c>
      <c r="AL158" s="164">
        <f t="shared" si="333"/>
        <v>0</v>
      </c>
      <c r="AM158" s="164">
        <f t="shared" si="333"/>
        <v>0</v>
      </c>
      <c r="AN158" s="164">
        <f t="shared" si="333"/>
        <v>0</v>
      </c>
      <c r="AO158" s="164">
        <f t="shared" si="333"/>
        <v>0</v>
      </c>
      <c r="AP158" s="164">
        <f t="shared" si="333"/>
        <v>0</v>
      </c>
      <c r="AQ158" s="164">
        <f t="shared" si="333"/>
        <v>0</v>
      </c>
      <c r="AR158" s="164">
        <f t="shared" si="333"/>
        <v>0</v>
      </c>
      <c r="AS158" s="164">
        <f t="shared" si="333"/>
        <v>0</v>
      </c>
      <c r="AT158" s="164">
        <f t="shared" si="333"/>
        <v>0</v>
      </c>
      <c r="AU158" s="164">
        <f t="shared" si="333"/>
        <v>0</v>
      </c>
      <c r="AV158" s="164">
        <f t="shared" si="333"/>
        <v>0</v>
      </c>
      <c r="AW158" s="164">
        <f t="shared" si="333"/>
        <v>0</v>
      </c>
      <c r="AX158" s="164">
        <f t="shared" si="333"/>
        <v>0</v>
      </c>
      <c r="AY158" s="164">
        <f t="shared" si="333"/>
        <v>0</v>
      </c>
      <c r="AZ158" s="164">
        <f t="shared" si="333"/>
        <v>0</v>
      </c>
      <c r="BA158" s="164">
        <f t="shared" si="333"/>
        <v>0</v>
      </c>
      <c r="BB158" s="164">
        <f t="shared" si="333"/>
        <v>0</v>
      </c>
      <c r="BC158" s="164">
        <f t="shared" si="333"/>
        <v>0</v>
      </c>
      <c r="BD158" s="164">
        <f t="shared" si="333"/>
        <v>0</v>
      </c>
      <c r="BE158" s="164">
        <f t="shared" si="333"/>
        <v>0</v>
      </c>
      <c r="BF158" s="164">
        <f t="shared" si="333"/>
        <v>0</v>
      </c>
      <c r="BG158" s="164">
        <f t="shared" si="333"/>
        <v>0</v>
      </c>
      <c r="BH158" s="164">
        <f t="shared" si="333"/>
        <v>0</v>
      </c>
      <c r="BI158" s="164">
        <f t="shared" si="333"/>
        <v>0</v>
      </c>
      <c r="BJ158" s="164">
        <f t="shared" si="333"/>
        <v>0</v>
      </c>
      <c r="BK158" s="33">
        <f t="shared" si="333"/>
        <v>0</v>
      </c>
    </row>
    <row r="159" spans="9:63">
      <c r="I159" s="31">
        <v>80</v>
      </c>
      <c r="L159" s="225">
        <f t="shared" si="330"/>
        <v>0</v>
      </c>
      <c r="M159" s="164">
        <f t="shared" si="333"/>
        <v>0</v>
      </c>
      <c r="N159" s="164">
        <f t="shared" si="333"/>
        <v>0</v>
      </c>
      <c r="O159" s="164">
        <f t="shared" si="333"/>
        <v>0</v>
      </c>
      <c r="P159" s="164">
        <f t="shared" si="333"/>
        <v>0</v>
      </c>
      <c r="Q159" s="164">
        <f t="shared" si="333"/>
        <v>0</v>
      </c>
      <c r="R159" s="164">
        <f t="shared" si="333"/>
        <v>0</v>
      </c>
      <c r="S159" s="164">
        <f t="shared" si="333"/>
        <v>0</v>
      </c>
      <c r="T159" s="164">
        <f t="shared" si="333"/>
        <v>0</v>
      </c>
      <c r="U159" s="164">
        <f t="shared" si="333"/>
        <v>0</v>
      </c>
      <c r="V159" s="164">
        <f t="shared" si="333"/>
        <v>0</v>
      </c>
      <c r="W159" s="164">
        <f t="shared" si="333"/>
        <v>0</v>
      </c>
      <c r="X159" s="164">
        <f t="shared" si="333"/>
        <v>0</v>
      </c>
      <c r="Y159" s="164">
        <f t="shared" si="333"/>
        <v>0</v>
      </c>
      <c r="Z159" s="164">
        <f t="shared" si="333"/>
        <v>0</v>
      </c>
      <c r="AA159" s="164">
        <f t="shared" si="333"/>
        <v>0</v>
      </c>
      <c r="AB159" s="164">
        <f t="shared" si="333"/>
        <v>0</v>
      </c>
      <c r="AC159" s="164">
        <f t="shared" si="333"/>
        <v>0</v>
      </c>
      <c r="AD159" s="164">
        <f t="shared" si="333"/>
        <v>0</v>
      </c>
      <c r="AE159" s="164">
        <f t="shared" si="333"/>
        <v>0</v>
      </c>
      <c r="AF159" s="164">
        <f t="shared" si="333"/>
        <v>0</v>
      </c>
      <c r="AG159" s="164">
        <f t="shared" si="333"/>
        <v>0</v>
      </c>
      <c r="AH159" s="164">
        <f t="shared" si="333"/>
        <v>0</v>
      </c>
      <c r="AI159" s="164">
        <f t="shared" si="333"/>
        <v>0</v>
      </c>
      <c r="AJ159" s="164">
        <f t="shared" si="333"/>
        <v>0</v>
      </c>
      <c r="AK159" s="164">
        <f t="shared" si="333"/>
        <v>0</v>
      </c>
      <c r="AL159" s="164">
        <f t="shared" si="333"/>
        <v>0</v>
      </c>
      <c r="AM159" s="164">
        <f t="shared" si="333"/>
        <v>0</v>
      </c>
      <c r="AN159" s="164">
        <f t="shared" si="333"/>
        <v>0</v>
      </c>
      <c r="AO159" s="164">
        <f t="shared" si="333"/>
        <v>0</v>
      </c>
      <c r="AP159" s="164">
        <f t="shared" si="333"/>
        <v>0</v>
      </c>
      <c r="AQ159" s="164">
        <f t="shared" si="333"/>
        <v>0</v>
      </c>
      <c r="AR159" s="164">
        <f t="shared" si="333"/>
        <v>0</v>
      </c>
      <c r="AS159" s="164">
        <f t="shared" si="333"/>
        <v>0</v>
      </c>
      <c r="AT159" s="164">
        <f t="shared" si="333"/>
        <v>0</v>
      </c>
      <c r="AU159" s="164">
        <f t="shared" si="333"/>
        <v>0</v>
      </c>
      <c r="AV159" s="164">
        <f t="shared" si="333"/>
        <v>0</v>
      </c>
      <c r="AW159" s="164">
        <f t="shared" si="333"/>
        <v>0</v>
      </c>
      <c r="AX159" s="164">
        <f t="shared" si="333"/>
        <v>0</v>
      </c>
      <c r="AY159" s="164">
        <f t="shared" si="333"/>
        <v>0</v>
      </c>
      <c r="AZ159" s="164">
        <f t="shared" si="333"/>
        <v>0</v>
      </c>
      <c r="BA159" s="164">
        <f t="shared" si="333"/>
        <v>0</v>
      </c>
      <c r="BB159" s="164">
        <f t="shared" si="333"/>
        <v>0</v>
      </c>
      <c r="BC159" s="164">
        <f t="shared" si="333"/>
        <v>0</v>
      </c>
      <c r="BD159" s="164">
        <f t="shared" si="333"/>
        <v>0</v>
      </c>
      <c r="BE159" s="164">
        <f t="shared" si="333"/>
        <v>0</v>
      </c>
      <c r="BF159" s="164">
        <f t="shared" si="333"/>
        <v>0</v>
      </c>
      <c r="BG159" s="164">
        <f t="shared" si="333"/>
        <v>0</v>
      </c>
      <c r="BH159" s="164">
        <f t="shared" si="333"/>
        <v>0</v>
      </c>
      <c r="BI159" s="164">
        <f t="shared" si="333"/>
        <v>0</v>
      </c>
      <c r="BJ159" s="164">
        <f t="shared" si="333"/>
        <v>0</v>
      </c>
      <c r="BK159" s="33">
        <f t="shared" si="333"/>
        <v>0</v>
      </c>
    </row>
    <row r="160" spans="9:63">
      <c r="I160" s="31">
        <v>81</v>
      </c>
      <c r="L160" s="225">
        <f t="shared" si="330"/>
        <v>0</v>
      </c>
      <c r="M160" s="164">
        <f t="shared" si="333"/>
        <v>0</v>
      </c>
      <c r="N160" s="164">
        <f t="shared" si="333"/>
        <v>0</v>
      </c>
      <c r="O160" s="164">
        <f t="shared" si="333"/>
        <v>0</v>
      </c>
      <c r="P160" s="164">
        <f t="shared" si="333"/>
        <v>0</v>
      </c>
      <c r="Q160" s="164">
        <f t="shared" si="333"/>
        <v>0</v>
      </c>
      <c r="R160" s="164">
        <f t="shared" si="333"/>
        <v>0</v>
      </c>
      <c r="S160" s="164">
        <f t="shared" si="333"/>
        <v>0</v>
      </c>
      <c r="T160" s="164">
        <f t="shared" si="333"/>
        <v>0</v>
      </c>
      <c r="U160" s="164">
        <f t="shared" si="333"/>
        <v>0</v>
      </c>
      <c r="V160" s="164">
        <f t="shared" si="333"/>
        <v>0</v>
      </c>
      <c r="W160" s="164">
        <f t="shared" si="333"/>
        <v>0</v>
      </c>
      <c r="X160" s="164">
        <f t="shared" si="333"/>
        <v>0</v>
      </c>
      <c r="Y160" s="164">
        <f t="shared" si="333"/>
        <v>0</v>
      </c>
      <c r="Z160" s="164">
        <f t="shared" si="333"/>
        <v>0</v>
      </c>
      <c r="AA160" s="164">
        <f t="shared" si="333"/>
        <v>0</v>
      </c>
      <c r="AB160" s="164">
        <f t="shared" si="333"/>
        <v>0</v>
      </c>
      <c r="AC160" s="164">
        <f t="shared" si="333"/>
        <v>0</v>
      </c>
      <c r="AD160" s="164">
        <f t="shared" si="333"/>
        <v>0</v>
      </c>
      <c r="AE160" s="164">
        <f t="shared" si="333"/>
        <v>0</v>
      </c>
      <c r="AF160" s="164">
        <f t="shared" si="333"/>
        <v>0</v>
      </c>
      <c r="AG160" s="164">
        <f t="shared" si="333"/>
        <v>0</v>
      </c>
      <c r="AH160" s="164">
        <f t="shared" si="333"/>
        <v>0</v>
      </c>
      <c r="AI160" s="164">
        <f t="shared" si="333"/>
        <v>0</v>
      </c>
      <c r="AJ160" s="164">
        <f t="shared" si="333"/>
        <v>0</v>
      </c>
      <c r="AK160" s="164">
        <f t="shared" si="333"/>
        <v>0</v>
      </c>
      <c r="AL160" s="164">
        <f t="shared" si="333"/>
        <v>0</v>
      </c>
      <c r="AM160" s="164">
        <f t="shared" si="333"/>
        <v>0</v>
      </c>
      <c r="AN160" s="164">
        <f t="shared" si="333"/>
        <v>0</v>
      </c>
      <c r="AO160" s="164">
        <f t="shared" si="333"/>
        <v>0</v>
      </c>
      <c r="AP160" s="164">
        <f t="shared" si="333"/>
        <v>0</v>
      </c>
      <c r="AQ160" s="164">
        <f t="shared" ref="M160:BK165" si="334">IF($I160&lt;=AQ$74,AP160+1,)</f>
        <v>0</v>
      </c>
      <c r="AR160" s="164">
        <f t="shared" si="334"/>
        <v>0</v>
      </c>
      <c r="AS160" s="164">
        <f t="shared" si="334"/>
        <v>0</v>
      </c>
      <c r="AT160" s="164">
        <f t="shared" si="334"/>
        <v>0</v>
      </c>
      <c r="AU160" s="164">
        <f t="shared" si="334"/>
        <v>0</v>
      </c>
      <c r="AV160" s="164">
        <f t="shared" si="334"/>
        <v>0</v>
      </c>
      <c r="AW160" s="164">
        <f t="shared" si="334"/>
        <v>0</v>
      </c>
      <c r="AX160" s="164">
        <f t="shared" si="334"/>
        <v>0</v>
      </c>
      <c r="AY160" s="164">
        <f t="shared" si="334"/>
        <v>0</v>
      </c>
      <c r="AZ160" s="164">
        <f t="shared" si="334"/>
        <v>0</v>
      </c>
      <c r="BA160" s="164">
        <f t="shared" si="334"/>
        <v>0</v>
      </c>
      <c r="BB160" s="164">
        <f t="shared" si="334"/>
        <v>0</v>
      </c>
      <c r="BC160" s="164">
        <f t="shared" si="334"/>
        <v>0</v>
      </c>
      <c r="BD160" s="164">
        <f t="shared" si="334"/>
        <v>0</v>
      </c>
      <c r="BE160" s="164">
        <f t="shared" si="334"/>
        <v>0</v>
      </c>
      <c r="BF160" s="164">
        <f t="shared" si="334"/>
        <v>0</v>
      </c>
      <c r="BG160" s="164">
        <f t="shared" si="334"/>
        <v>0</v>
      </c>
      <c r="BH160" s="164">
        <f t="shared" si="334"/>
        <v>0</v>
      </c>
      <c r="BI160" s="164">
        <f t="shared" si="334"/>
        <v>0</v>
      </c>
      <c r="BJ160" s="164">
        <f t="shared" si="334"/>
        <v>0</v>
      </c>
      <c r="BK160" s="33">
        <f t="shared" si="334"/>
        <v>0</v>
      </c>
    </row>
    <row r="161" spans="9:63">
      <c r="I161" s="31">
        <v>82</v>
      </c>
      <c r="L161" s="225">
        <f t="shared" si="330"/>
        <v>0</v>
      </c>
      <c r="M161" s="164">
        <f t="shared" si="334"/>
        <v>0</v>
      </c>
      <c r="N161" s="164">
        <f t="shared" si="334"/>
        <v>0</v>
      </c>
      <c r="O161" s="164">
        <f t="shared" si="334"/>
        <v>0</v>
      </c>
      <c r="P161" s="164">
        <f t="shared" si="334"/>
        <v>0</v>
      </c>
      <c r="Q161" s="164">
        <f t="shared" si="334"/>
        <v>0</v>
      </c>
      <c r="R161" s="164">
        <f t="shared" si="334"/>
        <v>0</v>
      </c>
      <c r="S161" s="164">
        <f t="shared" si="334"/>
        <v>0</v>
      </c>
      <c r="T161" s="164">
        <f t="shared" si="334"/>
        <v>0</v>
      </c>
      <c r="U161" s="164">
        <f t="shared" si="334"/>
        <v>0</v>
      </c>
      <c r="V161" s="164">
        <f t="shared" si="334"/>
        <v>0</v>
      </c>
      <c r="W161" s="164">
        <f t="shared" si="334"/>
        <v>0</v>
      </c>
      <c r="X161" s="164">
        <f t="shared" si="334"/>
        <v>0</v>
      </c>
      <c r="Y161" s="164">
        <f t="shared" si="334"/>
        <v>0</v>
      </c>
      <c r="Z161" s="164">
        <f t="shared" si="334"/>
        <v>0</v>
      </c>
      <c r="AA161" s="164">
        <f t="shared" si="334"/>
        <v>0</v>
      </c>
      <c r="AB161" s="164">
        <f t="shared" si="334"/>
        <v>0</v>
      </c>
      <c r="AC161" s="164">
        <f t="shared" si="334"/>
        <v>0</v>
      </c>
      <c r="AD161" s="164">
        <f t="shared" si="334"/>
        <v>0</v>
      </c>
      <c r="AE161" s="164">
        <f t="shared" si="334"/>
        <v>0</v>
      </c>
      <c r="AF161" s="164">
        <f t="shared" si="334"/>
        <v>0</v>
      </c>
      <c r="AG161" s="164">
        <f t="shared" si="334"/>
        <v>0</v>
      </c>
      <c r="AH161" s="164">
        <f t="shared" si="334"/>
        <v>0</v>
      </c>
      <c r="AI161" s="164">
        <f t="shared" si="334"/>
        <v>0</v>
      </c>
      <c r="AJ161" s="164">
        <f t="shared" si="334"/>
        <v>0</v>
      </c>
      <c r="AK161" s="164">
        <f t="shared" si="334"/>
        <v>0</v>
      </c>
      <c r="AL161" s="164">
        <f t="shared" si="334"/>
        <v>0</v>
      </c>
      <c r="AM161" s="164">
        <f t="shared" si="334"/>
        <v>0</v>
      </c>
      <c r="AN161" s="164">
        <f t="shared" si="334"/>
        <v>0</v>
      </c>
      <c r="AO161" s="164">
        <f t="shared" si="334"/>
        <v>0</v>
      </c>
      <c r="AP161" s="164">
        <f t="shared" si="334"/>
        <v>0</v>
      </c>
      <c r="AQ161" s="164">
        <f t="shared" si="334"/>
        <v>0</v>
      </c>
      <c r="AR161" s="164">
        <f t="shared" si="334"/>
        <v>0</v>
      </c>
      <c r="AS161" s="164">
        <f t="shared" si="334"/>
        <v>0</v>
      </c>
      <c r="AT161" s="164">
        <f t="shared" si="334"/>
        <v>0</v>
      </c>
      <c r="AU161" s="164">
        <f t="shared" si="334"/>
        <v>0</v>
      </c>
      <c r="AV161" s="164">
        <f t="shared" si="334"/>
        <v>0</v>
      </c>
      <c r="AW161" s="164">
        <f t="shared" si="334"/>
        <v>0</v>
      </c>
      <c r="AX161" s="164">
        <f t="shared" si="334"/>
        <v>0</v>
      </c>
      <c r="AY161" s="164">
        <f t="shared" si="334"/>
        <v>0</v>
      </c>
      <c r="AZ161" s="164">
        <f t="shared" si="334"/>
        <v>0</v>
      </c>
      <c r="BA161" s="164">
        <f t="shared" si="334"/>
        <v>0</v>
      </c>
      <c r="BB161" s="164">
        <f t="shared" si="334"/>
        <v>0</v>
      </c>
      <c r="BC161" s="164">
        <f t="shared" si="334"/>
        <v>0</v>
      </c>
      <c r="BD161" s="164">
        <f t="shared" si="334"/>
        <v>0</v>
      </c>
      <c r="BE161" s="164">
        <f t="shared" si="334"/>
        <v>0</v>
      </c>
      <c r="BF161" s="164">
        <f t="shared" si="334"/>
        <v>0</v>
      </c>
      <c r="BG161" s="164">
        <f t="shared" si="334"/>
        <v>0</v>
      </c>
      <c r="BH161" s="164">
        <f t="shared" si="334"/>
        <v>0</v>
      </c>
      <c r="BI161" s="164">
        <f t="shared" si="334"/>
        <v>0</v>
      </c>
      <c r="BJ161" s="164">
        <f t="shared" si="334"/>
        <v>0</v>
      </c>
      <c r="BK161" s="33">
        <f t="shared" si="334"/>
        <v>0</v>
      </c>
    </row>
    <row r="162" spans="9:63">
      <c r="I162" s="31">
        <v>83</v>
      </c>
      <c r="L162" s="225">
        <f t="shared" si="330"/>
        <v>0</v>
      </c>
      <c r="M162" s="164">
        <f t="shared" si="334"/>
        <v>0</v>
      </c>
      <c r="N162" s="164">
        <f t="shared" si="334"/>
        <v>0</v>
      </c>
      <c r="O162" s="164">
        <f t="shared" si="334"/>
        <v>0</v>
      </c>
      <c r="P162" s="164">
        <f t="shared" si="334"/>
        <v>0</v>
      </c>
      <c r="Q162" s="164">
        <f t="shared" si="334"/>
        <v>0</v>
      </c>
      <c r="R162" s="164">
        <f t="shared" si="334"/>
        <v>0</v>
      </c>
      <c r="S162" s="164">
        <f t="shared" si="334"/>
        <v>0</v>
      </c>
      <c r="T162" s="164">
        <f t="shared" si="334"/>
        <v>0</v>
      </c>
      <c r="U162" s="164">
        <f t="shared" si="334"/>
        <v>0</v>
      </c>
      <c r="V162" s="164">
        <f t="shared" si="334"/>
        <v>0</v>
      </c>
      <c r="W162" s="164">
        <f t="shared" si="334"/>
        <v>0</v>
      </c>
      <c r="X162" s="164">
        <f t="shared" si="334"/>
        <v>0</v>
      </c>
      <c r="Y162" s="164">
        <f t="shared" si="334"/>
        <v>0</v>
      </c>
      <c r="Z162" s="164">
        <f t="shared" si="334"/>
        <v>0</v>
      </c>
      <c r="AA162" s="164">
        <f t="shared" si="334"/>
        <v>0</v>
      </c>
      <c r="AB162" s="164">
        <f t="shared" si="334"/>
        <v>0</v>
      </c>
      <c r="AC162" s="164">
        <f t="shared" si="334"/>
        <v>0</v>
      </c>
      <c r="AD162" s="164">
        <f t="shared" si="334"/>
        <v>0</v>
      </c>
      <c r="AE162" s="164">
        <f t="shared" si="334"/>
        <v>0</v>
      </c>
      <c r="AF162" s="164">
        <f t="shared" si="334"/>
        <v>0</v>
      </c>
      <c r="AG162" s="164">
        <f t="shared" si="334"/>
        <v>0</v>
      </c>
      <c r="AH162" s="164">
        <f t="shared" si="334"/>
        <v>0</v>
      </c>
      <c r="AI162" s="164">
        <f t="shared" si="334"/>
        <v>0</v>
      </c>
      <c r="AJ162" s="164">
        <f t="shared" si="334"/>
        <v>0</v>
      </c>
      <c r="AK162" s="164">
        <f t="shared" si="334"/>
        <v>0</v>
      </c>
      <c r="AL162" s="164">
        <f t="shared" si="334"/>
        <v>0</v>
      </c>
      <c r="AM162" s="164">
        <f t="shared" si="334"/>
        <v>0</v>
      </c>
      <c r="AN162" s="164">
        <f t="shared" si="334"/>
        <v>0</v>
      </c>
      <c r="AO162" s="164">
        <f t="shared" si="334"/>
        <v>0</v>
      </c>
      <c r="AP162" s="164">
        <f t="shared" si="334"/>
        <v>0</v>
      </c>
      <c r="AQ162" s="164">
        <f t="shared" si="334"/>
        <v>0</v>
      </c>
      <c r="AR162" s="164">
        <f t="shared" si="334"/>
        <v>0</v>
      </c>
      <c r="AS162" s="164">
        <f t="shared" si="334"/>
        <v>0</v>
      </c>
      <c r="AT162" s="164">
        <f t="shared" si="334"/>
        <v>0</v>
      </c>
      <c r="AU162" s="164">
        <f t="shared" si="334"/>
        <v>0</v>
      </c>
      <c r="AV162" s="164">
        <f t="shared" si="334"/>
        <v>0</v>
      </c>
      <c r="AW162" s="164">
        <f t="shared" si="334"/>
        <v>0</v>
      </c>
      <c r="AX162" s="164">
        <f t="shared" si="334"/>
        <v>0</v>
      </c>
      <c r="AY162" s="164">
        <f t="shared" si="334"/>
        <v>0</v>
      </c>
      <c r="AZ162" s="164">
        <f t="shared" si="334"/>
        <v>0</v>
      </c>
      <c r="BA162" s="164">
        <f t="shared" si="334"/>
        <v>0</v>
      </c>
      <c r="BB162" s="164">
        <f t="shared" si="334"/>
        <v>0</v>
      </c>
      <c r="BC162" s="164">
        <f t="shared" si="334"/>
        <v>0</v>
      </c>
      <c r="BD162" s="164">
        <f t="shared" si="334"/>
        <v>0</v>
      </c>
      <c r="BE162" s="164">
        <f t="shared" si="334"/>
        <v>0</v>
      </c>
      <c r="BF162" s="164">
        <f t="shared" si="334"/>
        <v>0</v>
      </c>
      <c r="BG162" s="164">
        <f t="shared" si="334"/>
        <v>0</v>
      </c>
      <c r="BH162" s="164">
        <f t="shared" si="334"/>
        <v>0</v>
      </c>
      <c r="BI162" s="164">
        <f t="shared" si="334"/>
        <v>0</v>
      </c>
      <c r="BJ162" s="164">
        <f t="shared" si="334"/>
        <v>0</v>
      </c>
      <c r="BK162" s="33">
        <f t="shared" si="334"/>
        <v>0</v>
      </c>
    </row>
    <row r="163" spans="9:63">
      <c r="I163" s="31">
        <v>84</v>
      </c>
      <c r="L163" s="225">
        <f t="shared" si="330"/>
        <v>0</v>
      </c>
      <c r="M163" s="164">
        <f t="shared" si="334"/>
        <v>0</v>
      </c>
      <c r="N163" s="164">
        <f t="shared" si="334"/>
        <v>0</v>
      </c>
      <c r="O163" s="164">
        <f t="shared" si="334"/>
        <v>0</v>
      </c>
      <c r="P163" s="164">
        <f t="shared" si="334"/>
        <v>0</v>
      </c>
      <c r="Q163" s="164">
        <f t="shared" si="334"/>
        <v>0</v>
      </c>
      <c r="R163" s="164">
        <f t="shared" si="334"/>
        <v>0</v>
      </c>
      <c r="S163" s="164">
        <f t="shared" si="334"/>
        <v>0</v>
      </c>
      <c r="T163" s="164">
        <f t="shared" si="334"/>
        <v>0</v>
      </c>
      <c r="U163" s="164">
        <f t="shared" si="334"/>
        <v>0</v>
      </c>
      <c r="V163" s="164">
        <f t="shared" si="334"/>
        <v>0</v>
      </c>
      <c r="W163" s="164">
        <f t="shared" si="334"/>
        <v>0</v>
      </c>
      <c r="X163" s="164">
        <f t="shared" si="334"/>
        <v>0</v>
      </c>
      <c r="Y163" s="164">
        <f t="shared" si="334"/>
        <v>0</v>
      </c>
      <c r="Z163" s="164">
        <f t="shared" si="334"/>
        <v>0</v>
      </c>
      <c r="AA163" s="164">
        <f t="shared" si="334"/>
        <v>0</v>
      </c>
      <c r="AB163" s="164">
        <f t="shared" si="334"/>
        <v>0</v>
      </c>
      <c r="AC163" s="164">
        <f t="shared" si="334"/>
        <v>0</v>
      </c>
      <c r="AD163" s="164">
        <f t="shared" si="334"/>
        <v>0</v>
      </c>
      <c r="AE163" s="164">
        <f t="shared" si="334"/>
        <v>0</v>
      </c>
      <c r="AF163" s="164">
        <f t="shared" si="334"/>
        <v>0</v>
      </c>
      <c r="AG163" s="164">
        <f t="shared" si="334"/>
        <v>0</v>
      </c>
      <c r="AH163" s="164">
        <f t="shared" si="334"/>
        <v>0</v>
      </c>
      <c r="AI163" s="164">
        <f t="shared" si="334"/>
        <v>0</v>
      </c>
      <c r="AJ163" s="164">
        <f t="shared" si="334"/>
        <v>0</v>
      </c>
      <c r="AK163" s="164">
        <f t="shared" si="334"/>
        <v>0</v>
      </c>
      <c r="AL163" s="164">
        <f t="shared" si="334"/>
        <v>0</v>
      </c>
      <c r="AM163" s="164">
        <f t="shared" si="334"/>
        <v>0</v>
      </c>
      <c r="AN163" s="164">
        <f t="shared" si="334"/>
        <v>0</v>
      </c>
      <c r="AO163" s="164">
        <f t="shared" si="334"/>
        <v>0</v>
      </c>
      <c r="AP163" s="164">
        <f t="shared" si="334"/>
        <v>0</v>
      </c>
      <c r="AQ163" s="164">
        <f t="shared" si="334"/>
        <v>0</v>
      </c>
      <c r="AR163" s="164">
        <f t="shared" si="334"/>
        <v>0</v>
      </c>
      <c r="AS163" s="164">
        <f t="shared" si="334"/>
        <v>0</v>
      </c>
      <c r="AT163" s="164">
        <f t="shared" si="334"/>
        <v>0</v>
      </c>
      <c r="AU163" s="164">
        <f t="shared" si="334"/>
        <v>0</v>
      </c>
      <c r="AV163" s="164">
        <f t="shared" si="334"/>
        <v>0</v>
      </c>
      <c r="AW163" s="164">
        <f t="shared" si="334"/>
        <v>0</v>
      </c>
      <c r="AX163" s="164">
        <f t="shared" si="334"/>
        <v>0</v>
      </c>
      <c r="AY163" s="164">
        <f t="shared" si="334"/>
        <v>0</v>
      </c>
      <c r="AZ163" s="164">
        <f t="shared" si="334"/>
        <v>0</v>
      </c>
      <c r="BA163" s="164">
        <f t="shared" si="334"/>
        <v>0</v>
      </c>
      <c r="BB163" s="164">
        <f t="shared" si="334"/>
        <v>0</v>
      </c>
      <c r="BC163" s="164">
        <f t="shared" si="334"/>
        <v>0</v>
      </c>
      <c r="BD163" s="164">
        <f t="shared" si="334"/>
        <v>0</v>
      </c>
      <c r="BE163" s="164">
        <f t="shared" si="334"/>
        <v>0</v>
      </c>
      <c r="BF163" s="164">
        <f t="shared" si="334"/>
        <v>0</v>
      </c>
      <c r="BG163" s="164">
        <f t="shared" si="334"/>
        <v>0</v>
      </c>
      <c r="BH163" s="164">
        <f t="shared" si="334"/>
        <v>0</v>
      </c>
      <c r="BI163" s="164">
        <f t="shared" si="334"/>
        <v>0</v>
      </c>
      <c r="BJ163" s="164">
        <f t="shared" si="334"/>
        <v>0</v>
      </c>
      <c r="BK163" s="33">
        <f t="shared" si="334"/>
        <v>0</v>
      </c>
    </row>
    <row r="164" spans="9:63">
      <c r="I164" s="31">
        <v>85</v>
      </c>
      <c r="L164" s="225">
        <f t="shared" si="330"/>
        <v>0</v>
      </c>
      <c r="M164" s="164">
        <f t="shared" si="334"/>
        <v>0</v>
      </c>
      <c r="N164" s="164">
        <f t="shared" si="334"/>
        <v>0</v>
      </c>
      <c r="O164" s="164">
        <f t="shared" si="334"/>
        <v>0</v>
      </c>
      <c r="P164" s="164">
        <f t="shared" si="334"/>
        <v>0</v>
      </c>
      <c r="Q164" s="164">
        <f t="shared" si="334"/>
        <v>0</v>
      </c>
      <c r="R164" s="164">
        <f t="shared" si="334"/>
        <v>0</v>
      </c>
      <c r="S164" s="164">
        <f t="shared" si="334"/>
        <v>0</v>
      </c>
      <c r="T164" s="164">
        <f t="shared" si="334"/>
        <v>0</v>
      </c>
      <c r="U164" s="164">
        <f t="shared" si="334"/>
        <v>0</v>
      </c>
      <c r="V164" s="164">
        <f t="shared" si="334"/>
        <v>0</v>
      </c>
      <c r="W164" s="164">
        <f t="shared" si="334"/>
        <v>0</v>
      </c>
      <c r="X164" s="164">
        <f t="shared" si="334"/>
        <v>0</v>
      </c>
      <c r="Y164" s="164">
        <f t="shared" si="334"/>
        <v>0</v>
      </c>
      <c r="Z164" s="164">
        <f t="shared" si="334"/>
        <v>0</v>
      </c>
      <c r="AA164" s="164">
        <f t="shared" si="334"/>
        <v>0</v>
      </c>
      <c r="AB164" s="164">
        <f t="shared" si="334"/>
        <v>0</v>
      </c>
      <c r="AC164" s="164">
        <f t="shared" si="334"/>
        <v>0</v>
      </c>
      <c r="AD164" s="164">
        <f t="shared" si="334"/>
        <v>0</v>
      </c>
      <c r="AE164" s="164">
        <f t="shared" si="334"/>
        <v>0</v>
      </c>
      <c r="AF164" s="164">
        <f t="shared" si="334"/>
        <v>0</v>
      </c>
      <c r="AG164" s="164">
        <f t="shared" si="334"/>
        <v>0</v>
      </c>
      <c r="AH164" s="164">
        <f t="shared" si="334"/>
        <v>0</v>
      </c>
      <c r="AI164" s="164">
        <f t="shared" si="334"/>
        <v>0</v>
      </c>
      <c r="AJ164" s="164">
        <f t="shared" si="334"/>
        <v>0</v>
      </c>
      <c r="AK164" s="164">
        <f t="shared" si="334"/>
        <v>0</v>
      </c>
      <c r="AL164" s="164">
        <f t="shared" si="334"/>
        <v>0</v>
      </c>
      <c r="AM164" s="164">
        <f t="shared" si="334"/>
        <v>0</v>
      </c>
      <c r="AN164" s="164">
        <f t="shared" si="334"/>
        <v>0</v>
      </c>
      <c r="AO164" s="164">
        <f t="shared" si="334"/>
        <v>0</v>
      </c>
      <c r="AP164" s="164">
        <f t="shared" si="334"/>
        <v>0</v>
      </c>
      <c r="AQ164" s="164">
        <f t="shared" si="334"/>
        <v>0</v>
      </c>
      <c r="AR164" s="164">
        <f t="shared" si="334"/>
        <v>0</v>
      </c>
      <c r="AS164" s="164">
        <f t="shared" si="334"/>
        <v>0</v>
      </c>
      <c r="AT164" s="164">
        <f t="shared" si="334"/>
        <v>0</v>
      </c>
      <c r="AU164" s="164">
        <f t="shared" si="334"/>
        <v>0</v>
      </c>
      <c r="AV164" s="164">
        <f t="shared" si="334"/>
        <v>0</v>
      </c>
      <c r="AW164" s="164">
        <f t="shared" si="334"/>
        <v>0</v>
      </c>
      <c r="AX164" s="164">
        <f t="shared" si="334"/>
        <v>0</v>
      </c>
      <c r="AY164" s="164">
        <f t="shared" si="334"/>
        <v>0</v>
      </c>
      <c r="AZ164" s="164">
        <f t="shared" si="334"/>
        <v>0</v>
      </c>
      <c r="BA164" s="164">
        <f t="shared" si="334"/>
        <v>0</v>
      </c>
      <c r="BB164" s="164">
        <f t="shared" si="334"/>
        <v>0</v>
      </c>
      <c r="BC164" s="164">
        <f t="shared" si="334"/>
        <v>0</v>
      </c>
      <c r="BD164" s="164">
        <f t="shared" si="334"/>
        <v>0</v>
      </c>
      <c r="BE164" s="164">
        <f t="shared" si="334"/>
        <v>0</v>
      </c>
      <c r="BF164" s="164">
        <f t="shared" si="334"/>
        <v>0</v>
      </c>
      <c r="BG164" s="164">
        <f t="shared" si="334"/>
        <v>0</v>
      </c>
      <c r="BH164" s="164">
        <f t="shared" si="334"/>
        <v>0</v>
      </c>
      <c r="BI164" s="164">
        <f t="shared" si="334"/>
        <v>0</v>
      </c>
      <c r="BJ164" s="164">
        <f t="shared" si="334"/>
        <v>0</v>
      </c>
      <c r="BK164" s="33">
        <f t="shared" si="334"/>
        <v>0</v>
      </c>
    </row>
    <row r="165" spans="9:63">
      <c r="I165" s="31">
        <v>86</v>
      </c>
      <c r="L165" s="225">
        <f t="shared" si="330"/>
        <v>0</v>
      </c>
      <c r="M165" s="164">
        <f t="shared" si="334"/>
        <v>0</v>
      </c>
      <c r="N165" s="164">
        <f t="shared" si="334"/>
        <v>0</v>
      </c>
      <c r="O165" s="164">
        <f t="shared" si="334"/>
        <v>0</v>
      </c>
      <c r="P165" s="164">
        <f t="shared" si="334"/>
        <v>0</v>
      </c>
      <c r="Q165" s="164">
        <f t="shared" si="334"/>
        <v>0</v>
      </c>
      <c r="R165" s="164">
        <f t="shared" si="334"/>
        <v>0</v>
      </c>
      <c r="S165" s="164">
        <f t="shared" si="334"/>
        <v>0</v>
      </c>
      <c r="T165" s="164">
        <f t="shared" si="334"/>
        <v>0</v>
      </c>
      <c r="U165" s="164">
        <f t="shared" si="334"/>
        <v>0</v>
      </c>
      <c r="V165" s="164">
        <f t="shared" si="334"/>
        <v>0</v>
      </c>
      <c r="W165" s="164">
        <f t="shared" si="334"/>
        <v>0</v>
      </c>
      <c r="X165" s="164">
        <f t="shared" si="334"/>
        <v>0</v>
      </c>
      <c r="Y165" s="164">
        <f t="shared" si="334"/>
        <v>0</v>
      </c>
      <c r="Z165" s="164">
        <f t="shared" si="334"/>
        <v>0</v>
      </c>
      <c r="AA165" s="164">
        <f t="shared" si="334"/>
        <v>0</v>
      </c>
      <c r="AB165" s="164">
        <f t="shared" si="334"/>
        <v>0</v>
      </c>
      <c r="AC165" s="164">
        <f t="shared" si="334"/>
        <v>0</v>
      </c>
      <c r="AD165" s="164">
        <f t="shared" si="334"/>
        <v>0</v>
      </c>
      <c r="AE165" s="164">
        <f t="shared" si="334"/>
        <v>0</v>
      </c>
      <c r="AF165" s="164">
        <f t="shared" si="334"/>
        <v>0</v>
      </c>
      <c r="AG165" s="164">
        <f t="shared" si="334"/>
        <v>0</v>
      </c>
      <c r="AH165" s="164">
        <f t="shared" si="334"/>
        <v>0</v>
      </c>
      <c r="AI165" s="164">
        <f t="shared" si="334"/>
        <v>0</v>
      </c>
      <c r="AJ165" s="164">
        <f t="shared" si="334"/>
        <v>0</v>
      </c>
      <c r="AK165" s="164">
        <f t="shared" si="334"/>
        <v>0</v>
      </c>
      <c r="AL165" s="164">
        <f t="shared" si="334"/>
        <v>0</v>
      </c>
      <c r="AM165" s="164">
        <f t="shared" si="334"/>
        <v>0</v>
      </c>
      <c r="AN165" s="164">
        <f t="shared" si="334"/>
        <v>0</v>
      </c>
      <c r="AO165" s="164">
        <f t="shared" si="334"/>
        <v>0</v>
      </c>
      <c r="AP165" s="164">
        <f t="shared" si="334"/>
        <v>0</v>
      </c>
      <c r="AQ165" s="164">
        <f t="shared" ref="M165:BK170" si="335">IF($I165&lt;=AQ$74,AP165+1,)</f>
        <v>0</v>
      </c>
      <c r="AR165" s="164">
        <f t="shared" si="335"/>
        <v>0</v>
      </c>
      <c r="AS165" s="164">
        <f t="shared" si="335"/>
        <v>0</v>
      </c>
      <c r="AT165" s="164">
        <f t="shared" si="335"/>
        <v>0</v>
      </c>
      <c r="AU165" s="164">
        <f t="shared" si="335"/>
        <v>0</v>
      </c>
      <c r="AV165" s="164">
        <f t="shared" si="335"/>
        <v>0</v>
      </c>
      <c r="AW165" s="164">
        <f t="shared" si="335"/>
        <v>0</v>
      </c>
      <c r="AX165" s="164">
        <f t="shared" si="335"/>
        <v>0</v>
      </c>
      <c r="AY165" s="164">
        <f t="shared" si="335"/>
        <v>0</v>
      </c>
      <c r="AZ165" s="164">
        <f t="shared" si="335"/>
        <v>0</v>
      </c>
      <c r="BA165" s="164">
        <f t="shared" si="335"/>
        <v>0</v>
      </c>
      <c r="BB165" s="164">
        <f t="shared" si="335"/>
        <v>0</v>
      </c>
      <c r="BC165" s="164">
        <f t="shared" si="335"/>
        <v>0</v>
      </c>
      <c r="BD165" s="164">
        <f t="shared" si="335"/>
        <v>0</v>
      </c>
      <c r="BE165" s="164">
        <f t="shared" si="335"/>
        <v>0</v>
      </c>
      <c r="BF165" s="164">
        <f t="shared" si="335"/>
        <v>0</v>
      </c>
      <c r="BG165" s="164">
        <f t="shared" si="335"/>
        <v>0</v>
      </c>
      <c r="BH165" s="164">
        <f t="shared" si="335"/>
        <v>0</v>
      </c>
      <c r="BI165" s="164">
        <f t="shared" si="335"/>
        <v>0</v>
      </c>
      <c r="BJ165" s="164">
        <f t="shared" si="335"/>
        <v>0</v>
      </c>
      <c r="BK165" s="33">
        <f t="shared" si="335"/>
        <v>0</v>
      </c>
    </row>
    <row r="166" spans="9:63">
      <c r="I166" s="31">
        <v>87</v>
      </c>
      <c r="L166" s="225">
        <f t="shared" si="330"/>
        <v>0</v>
      </c>
      <c r="M166" s="164">
        <f t="shared" si="335"/>
        <v>0</v>
      </c>
      <c r="N166" s="164">
        <f t="shared" si="335"/>
        <v>0</v>
      </c>
      <c r="O166" s="164">
        <f t="shared" si="335"/>
        <v>0</v>
      </c>
      <c r="P166" s="164">
        <f t="shared" si="335"/>
        <v>0</v>
      </c>
      <c r="Q166" s="164">
        <f t="shared" si="335"/>
        <v>0</v>
      </c>
      <c r="R166" s="164">
        <f t="shared" si="335"/>
        <v>0</v>
      </c>
      <c r="S166" s="164">
        <f t="shared" si="335"/>
        <v>0</v>
      </c>
      <c r="T166" s="164">
        <f t="shared" si="335"/>
        <v>0</v>
      </c>
      <c r="U166" s="164">
        <f t="shared" si="335"/>
        <v>0</v>
      </c>
      <c r="V166" s="164">
        <f t="shared" si="335"/>
        <v>0</v>
      </c>
      <c r="W166" s="164">
        <f t="shared" si="335"/>
        <v>0</v>
      </c>
      <c r="X166" s="164">
        <f t="shared" si="335"/>
        <v>0</v>
      </c>
      <c r="Y166" s="164">
        <f t="shared" si="335"/>
        <v>0</v>
      </c>
      <c r="Z166" s="164">
        <f t="shared" si="335"/>
        <v>0</v>
      </c>
      <c r="AA166" s="164">
        <f t="shared" si="335"/>
        <v>0</v>
      </c>
      <c r="AB166" s="164">
        <f t="shared" si="335"/>
        <v>0</v>
      </c>
      <c r="AC166" s="164">
        <f t="shared" si="335"/>
        <v>0</v>
      </c>
      <c r="AD166" s="164">
        <f t="shared" si="335"/>
        <v>0</v>
      </c>
      <c r="AE166" s="164">
        <f t="shared" si="335"/>
        <v>0</v>
      </c>
      <c r="AF166" s="164">
        <f t="shared" si="335"/>
        <v>0</v>
      </c>
      <c r="AG166" s="164">
        <f t="shared" si="335"/>
        <v>0</v>
      </c>
      <c r="AH166" s="164">
        <f t="shared" si="335"/>
        <v>0</v>
      </c>
      <c r="AI166" s="164">
        <f t="shared" si="335"/>
        <v>0</v>
      </c>
      <c r="AJ166" s="164">
        <f t="shared" si="335"/>
        <v>0</v>
      </c>
      <c r="AK166" s="164">
        <f t="shared" si="335"/>
        <v>0</v>
      </c>
      <c r="AL166" s="164">
        <f t="shared" si="335"/>
        <v>0</v>
      </c>
      <c r="AM166" s="164">
        <f t="shared" si="335"/>
        <v>0</v>
      </c>
      <c r="AN166" s="164">
        <f t="shared" si="335"/>
        <v>0</v>
      </c>
      <c r="AO166" s="164">
        <f t="shared" si="335"/>
        <v>0</v>
      </c>
      <c r="AP166" s="164">
        <f t="shared" si="335"/>
        <v>0</v>
      </c>
      <c r="AQ166" s="164">
        <f t="shared" si="335"/>
        <v>0</v>
      </c>
      <c r="AR166" s="164">
        <f t="shared" si="335"/>
        <v>0</v>
      </c>
      <c r="AS166" s="164">
        <f t="shared" si="335"/>
        <v>0</v>
      </c>
      <c r="AT166" s="164">
        <f t="shared" si="335"/>
        <v>0</v>
      </c>
      <c r="AU166" s="164">
        <f t="shared" si="335"/>
        <v>0</v>
      </c>
      <c r="AV166" s="164">
        <f t="shared" si="335"/>
        <v>0</v>
      </c>
      <c r="AW166" s="164">
        <f t="shared" si="335"/>
        <v>0</v>
      </c>
      <c r="AX166" s="164">
        <f t="shared" si="335"/>
        <v>0</v>
      </c>
      <c r="AY166" s="164">
        <f t="shared" si="335"/>
        <v>0</v>
      </c>
      <c r="AZ166" s="164">
        <f t="shared" si="335"/>
        <v>0</v>
      </c>
      <c r="BA166" s="164">
        <f t="shared" si="335"/>
        <v>0</v>
      </c>
      <c r="BB166" s="164">
        <f t="shared" si="335"/>
        <v>0</v>
      </c>
      <c r="BC166" s="164">
        <f t="shared" si="335"/>
        <v>0</v>
      </c>
      <c r="BD166" s="164">
        <f t="shared" si="335"/>
        <v>0</v>
      </c>
      <c r="BE166" s="164">
        <f t="shared" si="335"/>
        <v>0</v>
      </c>
      <c r="BF166" s="164">
        <f t="shared" si="335"/>
        <v>0</v>
      </c>
      <c r="BG166" s="164">
        <f t="shared" si="335"/>
        <v>0</v>
      </c>
      <c r="BH166" s="164">
        <f t="shared" si="335"/>
        <v>0</v>
      </c>
      <c r="BI166" s="164">
        <f t="shared" si="335"/>
        <v>0</v>
      </c>
      <c r="BJ166" s="164">
        <f t="shared" si="335"/>
        <v>0</v>
      </c>
      <c r="BK166" s="33">
        <f t="shared" si="335"/>
        <v>0</v>
      </c>
    </row>
    <row r="167" spans="9:63">
      <c r="I167" s="31">
        <v>88</v>
      </c>
      <c r="L167" s="225">
        <f t="shared" si="330"/>
        <v>0</v>
      </c>
      <c r="M167" s="164">
        <f t="shared" si="335"/>
        <v>0</v>
      </c>
      <c r="N167" s="164">
        <f t="shared" si="335"/>
        <v>0</v>
      </c>
      <c r="O167" s="164">
        <f t="shared" si="335"/>
        <v>0</v>
      </c>
      <c r="P167" s="164">
        <f t="shared" si="335"/>
        <v>0</v>
      </c>
      <c r="Q167" s="164">
        <f t="shared" si="335"/>
        <v>0</v>
      </c>
      <c r="R167" s="164">
        <f t="shared" si="335"/>
        <v>0</v>
      </c>
      <c r="S167" s="164">
        <f t="shared" si="335"/>
        <v>0</v>
      </c>
      <c r="T167" s="164">
        <f t="shared" si="335"/>
        <v>0</v>
      </c>
      <c r="U167" s="164">
        <f t="shared" si="335"/>
        <v>0</v>
      </c>
      <c r="V167" s="164">
        <f t="shared" si="335"/>
        <v>0</v>
      </c>
      <c r="W167" s="164">
        <f t="shared" si="335"/>
        <v>0</v>
      </c>
      <c r="X167" s="164">
        <f t="shared" si="335"/>
        <v>0</v>
      </c>
      <c r="Y167" s="164">
        <f t="shared" si="335"/>
        <v>0</v>
      </c>
      <c r="Z167" s="164">
        <f t="shared" si="335"/>
        <v>0</v>
      </c>
      <c r="AA167" s="164">
        <f t="shared" si="335"/>
        <v>0</v>
      </c>
      <c r="AB167" s="164">
        <f t="shared" si="335"/>
        <v>0</v>
      </c>
      <c r="AC167" s="164">
        <f t="shared" si="335"/>
        <v>0</v>
      </c>
      <c r="AD167" s="164">
        <f t="shared" si="335"/>
        <v>0</v>
      </c>
      <c r="AE167" s="164">
        <f t="shared" si="335"/>
        <v>0</v>
      </c>
      <c r="AF167" s="164">
        <f t="shared" si="335"/>
        <v>0</v>
      </c>
      <c r="AG167" s="164">
        <f t="shared" si="335"/>
        <v>0</v>
      </c>
      <c r="AH167" s="164">
        <f t="shared" si="335"/>
        <v>0</v>
      </c>
      <c r="AI167" s="164">
        <f t="shared" si="335"/>
        <v>0</v>
      </c>
      <c r="AJ167" s="164">
        <f t="shared" si="335"/>
        <v>0</v>
      </c>
      <c r="AK167" s="164">
        <f t="shared" si="335"/>
        <v>0</v>
      </c>
      <c r="AL167" s="164">
        <f t="shared" si="335"/>
        <v>0</v>
      </c>
      <c r="AM167" s="164">
        <f t="shared" si="335"/>
        <v>0</v>
      </c>
      <c r="AN167" s="164">
        <f t="shared" si="335"/>
        <v>0</v>
      </c>
      <c r="AO167" s="164">
        <f t="shared" si="335"/>
        <v>0</v>
      </c>
      <c r="AP167" s="164">
        <f t="shared" si="335"/>
        <v>0</v>
      </c>
      <c r="AQ167" s="164">
        <f t="shared" si="335"/>
        <v>0</v>
      </c>
      <c r="AR167" s="164">
        <f t="shared" si="335"/>
        <v>0</v>
      </c>
      <c r="AS167" s="164">
        <f t="shared" si="335"/>
        <v>0</v>
      </c>
      <c r="AT167" s="164">
        <f t="shared" si="335"/>
        <v>0</v>
      </c>
      <c r="AU167" s="164">
        <f t="shared" si="335"/>
        <v>0</v>
      </c>
      <c r="AV167" s="164">
        <f t="shared" si="335"/>
        <v>0</v>
      </c>
      <c r="AW167" s="164">
        <f t="shared" si="335"/>
        <v>0</v>
      </c>
      <c r="AX167" s="164">
        <f t="shared" si="335"/>
        <v>0</v>
      </c>
      <c r="AY167" s="164">
        <f t="shared" si="335"/>
        <v>0</v>
      </c>
      <c r="AZ167" s="164">
        <f t="shared" si="335"/>
        <v>0</v>
      </c>
      <c r="BA167" s="164">
        <f t="shared" si="335"/>
        <v>0</v>
      </c>
      <c r="BB167" s="164">
        <f t="shared" si="335"/>
        <v>0</v>
      </c>
      <c r="BC167" s="164">
        <f t="shared" si="335"/>
        <v>0</v>
      </c>
      <c r="BD167" s="164">
        <f t="shared" si="335"/>
        <v>0</v>
      </c>
      <c r="BE167" s="164">
        <f t="shared" si="335"/>
        <v>0</v>
      </c>
      <c r="BF167" s="164">
        <f t="shared" si="335"/>
        <v>0</v>
      </c>
      <c r="BG167" s="164">
        <f t="shared" si="335"/>
        <v>0</v>
      </c>
      <c r="BH167" s="164">
        <f t="shared" si="335"/>
        <v>0</v>
      </c>
      <c r="BI167" s="164">
        <f t="shared" si="335"/>
        <v>0</v>
      </c>
      <c r="BJ167" s="164">
        <f t="shared" si="335"/>
        <v>0</v>
      </c>
      <c r="BK167" s="33">
        <f t="shared" si="335"/>
        <v>0</v>
      </c>
    </row>
    <row r="168" spans="9:63">
      <c r="I168" s="31">
        <v>89</v>
      </c>
      <c r="L168" s="225">
        <f t="shared" si="330"/>
        <v>0</v>
      </c>
      <c r="M168" s="164">
        <f t="shared" si="335"/>
        <v>0</v>
      </c>
      <c r="N168" s="164">
        <f t="shared" si="335"/>
        <v>0</v>
      </c>
      <c r="O168" s="164">
        <f t="shared" si="335"/>
        <v>0</v>
      </c>
      <c r="P168" s="164">
        <f t="shared" si="335"/>
        <v>0</v>
      </c>
      <c r="Q168" s="164">
        <f t="shared" si="335"/>
        <v>0</v>
      </c>
      <c r="R168" s="164">
        <f t="shared" si="335"/>
        <v>0</v>
      </c>
      <c r="S168" s="164">
        <f t="shared" si="335"/>
        <v>0</v>
      </c>
      <c r="T168" s="164">
        <f t="shared" si="335"/>
        <v>0</v>
      </c>
      <c r="U168" s="164">
        <f t="shared" si="335"/>
        <v>0</v>
      </c>
      <c r="V168" s="164">
        <f t="shared" si="335"/>
        <v>0</v>
      </c>
      <c r="W168" s="164">
        <f t="shared" si="335"/>
        <v>0</v>
      </c>
      <c r="X168" s="164">
        <f t="shared" si="335"/>
        <v>0</v>
      </c>
      <c r="Y168" s="164">
        <f t="shared" si="335"/>
        <v>0</v>
      </c>
      <c r="Z168" s="164">
        <f t="shared" si="335"/>
        <v>0</v>
      </c>
      <c r="AA168" s="164">
        <f t="shared" si="335"/>
        <v>0</v>
      </c>
      <c r="AB168" s="164">
        <f t="shared" si="335"/>
        <v>0</v>
      </c>
      <c r="AC168" s="164">
        <f t="shared" si="335"/>
        <v>0</v>
      </c>
      <c r="AD168" s="164">
        <f t="shared" si="335"/>
        <v>0</v>
      </c>
      <c r="AE168" s="164">
        <f t="shared" si="335"/>
        <v>0</v>
      </c>
      <c r="AF168" s="164">
        <f t="shared" si="335"/>
        <v>0</v>
      </c>
      <c r="AG168" s="164">
        <f t="shared" si="335"/>
        <v>0</v>
      </c>
      <c r="AH168" s="164">
        <f t="shared" si="335"/>
        <v>0</v>
      </c>
      <c r="AI168" s="164">
        <f t="shared" si="335"/>
        <v>0</v>
      </c>
      <c r="AJ168" s="164">
        <f t="shared" si="335"/>
        <v>0</v>
      </c>
      <c r="AK168" s="164">
        <f t="shared" si="335"/>
        <v>0</v>
      </c>
      <c r="AL168" s="164">
        <f t="shared" si="335"/>
        <v>0</v>
      </c>
      <c r="AM168" s="164">
        <f t="shared" si="335"/>
        <v>0</v>
      </c>
      <c r="AN168" s="164">
        <f t="shared" si="335"/>
        <v>0</v>
      </c>
      <c r="AO168" s="164">
        <f t="shared" si="335"/>
        <v>0</v>
      </c>
      <c r="AP168" s="164">
        <f t="shared" si="335"/>
        <v>0</v>
      </c>
      <c r="AQ168" s="164">
        <f t="shared" si="335"/>
        <v>0</v>
      </c>
      <c r="AR168" s="164">
        <f t="shared" si="335"/>
        <v>0</v>
      </c>
      <c r="AS168" s="164">
        <f t="shared" si="335"/>
        <v>0</v>
      </c>
      <c r="AT168" s="164">
        <f t="shared" si="335"/>
        <v>0</v>
      </c>
      <c r="AU168" s="164">
        <f t="shared" si="335"/>
        <v>0</v>
      </c>
      <c r="AV168" s="164">
        <f t="shared" si="335"/>
        <v>0</v>
      </c>
      <c r="AW168" s="164">
        <f t="shared" si="335"/>
        <v>0</v>
      </c>
      <c r="AX168" s="164">
        <f t="shared" si="335"/>
        <v>0</v>
      </c>
      <c r="AY168" s="164">
        <f t="shared" si="335"/>
        <v>0</v>
      </c>
      <c r="AZ168" s="164">
        <f t="shared" si="335"/>
        <v>0</v>
      </c>
      <c r="BA168" s="164">
        <f t="shared" si="335"/>
        <v>0</v>
      </c>
      <c r="BB168" s="164">
        <f t="shared" si="335"/>
        <v>0</v>
      </c>
      <c r="BC168" s="164">
        <f t="shared" si="335"/>
        <v>0</v>
      </c>
      <c r="BD168" s="164">
        <f t="shared" si="335"/>
        <v>0</v>
      </c>
      <c r="BE168" s="164">
        <f t="shared" si="335"/>
        <v>0</v>
      </c>
      <c r="BF168" s="164">
        <f t="shared" si="335"/>
        <v>0</v>
      </c>
      <c r="BG168" s="164">
        <f t="shared" si="335"/>
        <v>0</v>
      </c>
      <c r="BH168" s="164">
        <f t="shared" si="335"/>
        <v>0</v>
      </c>
      <c r="BI168" s="164">
        <f t="shared" si="335"/>
        <v>0</v>
      </c>
      <c r="BJ168" s="164">
        <f t="shared" si="335"/>
        <v>0</v>
      </c>
      <c r="BK168" s="33">
        <f t="shared" si="335"/>
        <v>0</v>
      </c>
    </row>
    <row r="169" spans="9:63">
      <c r="I169" s="31">
        <v>90</v>
      </c>
      <c r="L169" s="225">
        <f t="shared" si="330"/>
        <v>0</v>
      </c>
      <c r="M169" s="164">
        <f t="shared" si="335"/>
        <v>0</v>
      </c>
      <c r="N169" s="164">
        <f t="shared" si="335"/>
        <v>0</v>
      </c>
      <c r="O169" s="164">
        <f t="shared" si="335"/>
        <v>0</v>
      </c>
      <c r="P169" s="164">
        <f t="shared" si="335"/>
        <v>0</v>
      </c>
      <c r="Q169" s="164">
        <f t="shared" si="335"/>
        <v>0</v>
      </c>
      <c r="R169" s="164">
        <f t="shared" si="335"/>
        <v>0</v>
      </c>
      <c r="S169" s="164">
        <f t="shared" si="335"/>
        <v>0</v>
      </c>
      <c r="T169" s="164">
        <f t="shared" si="335"/>
        <v>0</v>
      </c>
      <c r="U169" s="164">
        <f t="shared" si="335"/>
        <v>0</v>
      </c>
      <c r="V169" s="164">
        <f t="shared" si="335"/>
        <v>0</v>
      </c>
      <c r="W169" s="164">
        <f t="shared" si="335"/>
        <v>0</v>
      </c>
      <c r="X169" s="164">
        <f t="shared" si="335"/>
        <v>0</v>
      </c>
      <c r="Y169" s="164">
        <f t="shared" si="335"/>
        <v>0</v>
      </c>
      <c r="Z169" s="164">
        <f t="shared" si="335"/>
        <v>0</v>
      </c>
      <c r="AA169" s="164">
        <f t="shared" si="335"/>
        <v>0</v>
      </c>
      <c r="AB169" s="164">
        <f t="shared" si="335"/>
        <v>0</v>
      </c>
      <c r="AC169" s="164">
        <f t="shared" si="335"/>
        <v>0</v>
      </c>
      <c r="AD169" s="164">
        <f t="shared" si="335"/>
        <v>0</v>
      </c>
      <c r="AE169" s="164">
        <f t="shared" si="335"/>
        <v>0</v>
      </c>
      <c r="AF169" s="164">
        <f t="shared" si="335"/>
        <v>0</v>
      </c>
      <c r="AG169" s="164">
        <f t="shared" si="335"/>
        <v>0</v>
      </c>
      <c r="AH169" s="164">
        <f t="shared" si="335"/>
        <v>0</v>
      </c>
      <c r="AI169" s="164">
        <f t="shared" si="335"/>
        <v>0</v>
      </c>
      <c r="AJ169" s="164">
        <f t="shared" si="335"/>
        <v>0</v>
      </c>
      <c r="AK169" s="164">
        <f t="shared" si="335"/>
        <v>0</v>
      </c>
      <c r="AL169" s="164">
        <f t="shared" si="335"/>
        <v>0</v>
      </c>
      <c r="AM169" s="164">
        <f t="shared" si="335"/>
        <v>0</v>
      </c>
      <c r="AN169" s="164">
        <f t="shared" si="335"/>
        <v>0</v>
      </c>
      <c r="AO169" s="164">
        <f t="shared" si="335"/>
        <v>0</v>
      </c>
      <c r="AP169" s="164">
        <f t="shared" si="335"/>
        <v>0</v>
      </c>
      <c r="AQ169" s="164">
        <f t="shared" si="335"/>
        <v>0</v>
      </c>
      <c r="AR169" s="164">
        <f t="shared" si="335"/>
        <v>0</v>
      </c>
      <c r="AS169" s="164">
        <f t="shared" si="335"/>
        <v>0</v>
      </c>
      <c r="AT169" s="164">
        <f t="shared" si="335"/>
        <v>0</v>
      </c>
      <c r="AU169" s="164">
        <f t="shared" si="335"/>
        <v>0</v>
      </c>
      <c r="AV169" s="164">
        <f t="shared" si="335"/>
        <v>0</v>
      </c>
      <c r="AW169" s="164">
        <f t="shared" si="335"/>
        <v>0</v>
      </c>
      <c r="AX169" s="164">
        <f t="shared" si="335"/>
        <v>0</v>
      </c>
      <c r="AY169" s="164">
        <f t="shared" si="335"/>
        <v>0</v>
      </c>
      <c r="AZ169" s="164">
        <f t="shared" si="335"/>
        <v>0</v>
      </c>
      <c r="BA169" s="164">
        <f t="shared" si="335"/>
        <v>0</v>
      </c>
      <c r="BB169" s="164">
        <f t="shared" si="335"/>
        <v>0</v>
      </c>
      <c r="BC169" s="164">
        <f t="shared" si="335"/>
        <v>0</v>
      </c>
      <c r="BD169" s="164">
        <f t="shared" si="335"/>
        <v>0</v>
      </c>
      <c r="BE169" s="164">
        <f t="shared" si="335"/>
        <v>0</v>
      </c>
      <c r="BF169" s="164">
        <f t="shared" si="335"/>
        <v>0</v>
      </c>
      <c r="BG169" s="164">
        <f t="shared" si="335"/>
        <v>0</v>
      </c>
      <c r="BH169" s="164">
        <f t="shared" si="335"/>
        <v>0</v>
      </c>
      <c r="BI169" s="164">
        <f t="shared" si="335"/>
        <v>0</v>
      </c>
      <c r="BJ169" s="164">
        <f t="shared" si="335"/>
        <v>0</v>
      </c>
      <c r="BK169" s="33">
        <f t="shared" si="335"/>
        <v>0</v>
      </c>
    </row>
    <row r="170" spans="9:63">
      <c r="I170" s="31">
        <v>91</v>
      </c>
      <c r="L170" s="225">
        <f t="shared" si="330"/>
        <v>0</v>
      </c>
      <c r="M170" s="164">
        <f t="shared" si="335"/>
        <v>0</v>
      </c>
      <c r="N170" s="164">
        <f t="shared" si="335"/>
        <v>0</v>
      </c>
      <c r="O170" s="164">
        <f t="shared" si="335"/>
        <v>0</v>
      </c>
      <c r="P170" s="164">
        <f t="shared" si="335"/>
        <v>0</v>
      </c>
      <c r="Q170" s="164">
        <f t="shared" si="335"/>
        <v>0</v>
      </c>
      <c r="R170" s="164">
        <f t="shared" si="335"/>
        <v>0</v>
      </c>
      <c r="S170" s="164">
        <f t="shared" si="335"/>
        <v>0</v>
      </c>
      <c r="T170" s="164">
        <f t="shared" si="335"/>
        <v>0</v>
      </c>
      <c r="U170" s="164">
        <f t="shared" si="335"/>
        <v>0</v>
      </c>
      <c r="V170" s="164">
        <f t="shared" si="335"/>
        <v>0</v>
      </c>
      <c r="W170" s="164">
        <f t="shared" si="335"/>
        <v>0</v>
      </c>
      <c r="X170" s="164">
        <f t="shared" si="335"/>
        <v>0</v>
      </c>
      <c r="Y170" s="164">
        <f t="shared" si="335"/>
        <v>0</v>
      </c>
      <c r="Z170" s="164">
        <f t="shared" si="335"/>
        <v>0</v>
      </c>
      <c r="AA170" s="164">
        <f t="shared" si="335"/>
        <v>0</v>
      </c>
      <c r="AB170" s="164">
        <f t="shared" si="335"/>
        <v>0</v>
      </c>
      <c r="AC170" s="164">
        <f t="shared" si="335"/>
        <v>0</v>
      </c>
      <c r="AD170" s="164">
        <f t="shared" si="335"/>
        <v>0</v>
      </c>
      <c r="AE170" s="164">
        <f t="shared" si="335"/>
        <v>0</v>
      </c>
      <c r="AF170" s="164">
        <f t="shared" si="335"/>
        <v>0</v>
      </c>
      <c r="AG170" s="164">
        <f t="shared" si="335"/>
        <v>0</v>
      </c>
      <c r="AH170" s="164">
        <f t="shared" si="335"/>
        <v>0</v>
      </c>
      <c r="AI170" s="164">
        <f t="shared" si="335"/>
        <v>0</v>
      </c>
      <c r="AJ170" s="164">
        <f t="shared" si="335"/>
        <v>0</v>
      </c>
      <c r="AK170" s="164">
        <f t="shared" si="335"/>
        <v>0</v>
      </c>
      <c r="AL170" s="164">
        <f t="shared" si="335"/>
        <v>0</v>
      </c>
      <c r="AM170" s="164">
        <f t="shared" si="335"/>
        <v>0</v>
      </c>
      <c r="AN170" s="164">
        <f t="shared" si="335"/>
        <v>0</v>
      </c>
      <c r="AO170" s="164">
        <f t="shared" si="335"/>
        <v>0</v>
      </c>
      <c r="AP170" s="164">
        <f t="shared" si="335"/>
        <v>0</v>
      </c>
      <c r="AQ170" s="164">
        <f t="shared" ref="M170:BK175" si="336">IF($I170&lt;=AQ$74,AP170+1,)</f>
        <v>0</v>
      </c>
      <c r="AR170" s="164">
        <f t="shared" si="336"/>
        <v>0</v>
      </c>
      <c r="AS170" s="164">
        <f t="shared" si="336"/>
        <v>0</v>
      </c>
      <c r="AT170" s="164">
        <f t="shared" si="336"/>
        <v>0</v>
      </c>
      <c r="AU170" s="164">
        <f t="shared" si="336"/>
        <v>0</v>
      </c>
      <c r="AV170" s="164">
        <f t="shared" si="336"/>
        <v>0</v>
      </c>
      <c r="AW170" s="164">
        <f t="shared" si="336"/>
        <v>0</v>
      </c>
      <c r="AX170" s="164">
        <f t="shared" si="336"/>
        <v>0</v>
      </c>
      <c r="AY170" s="164">
        <f t="shared" si="336"/>
        <v>0</v>
      </c>
      <c r="AZ170" s="164">
        <f t="shared" si="336"/>
        <v>0</v>
      </c>
      <c r="BA170" s="164">
        <f t="shared" si="336"/>
        <v>0</v>
      </c>
      <c r="BB170" s="164">
        <f t="shared" si="336"/>
        <v>0</v>
      </c>
      <c r="BC170" s="164">
        <f t="shared" si="336"/>
        <v>0</v>
      </c>
      <c r="BD170" s="164">
        <f t="shared" si="336"/>
        <v>0</v>
      </c>
      <c r="BE170" s="164">
        <f t="shared" si="336"/>
        <v>0</v>
      </c>
      <c r="BF170" s="164">
        <f t="shared" si="336"/>
        <v>0</v>
      </c>
      <c r="BG170" s="164">
        <f t="shared" si="336"/>
        <v>0</v>
      </c>
      <c r="BH170" s="164">
        <f t="shared" si="336"/>
        <v>0</v>
      </c>
      <c r="BI170" s="164">
        <f t="shared" si="336"/>
        <v>0</v>
      </c>
      <c r="BJ170" s="164">
        <f t="shared" si="336"/>
        <v>0</v>
      </c>
      <c r="BK170" s="33">
        <f t="shared" si="336"/>
        <v>0</v>
      </c>
    </row>
    <row r="171" spans="9:63">
      <c r="I171" s="31">
        <v>92</v>
      </c>
      <c r="L171" s="225">
        <f t="shared" si="330"/>
        <v>0</v>
      </c>
      <c r="M171" s="164">
        <f t="shared" si="336"/>
        <v>0</v>
      </c>
      <c r="N171" s="164">
        <f t="shared" si="336"/>
        <v>0</v>
      </c>
      <c r="O171" s="164">
        <f t="shared" si="336"/>
        <v>0</v>
      </c>
      <c r="P171" s="164">
        <f t="shared" si="336"/>
        <v>0</v>
      </c>
      <c r="Q171" s="164">
        <f t="shared" si="336"/>
        <v>0</v>
      </c>
      <c r="R171" s="164">
        <f t="shared" si="336"/>
        <v>0</v>
      </c>
      <c r="S171" s="164">
        <f t="shared" si="336"/>
        <v>0</v>
      </c>
      <c r="T171" s="164">
        <f t="shared" si="336"/>
        <v>0</v>
      </c>
      <c r="U171" s="164">
        <f t="shared" si="336"/>
        <v>0</v>
      </c>
      <c r="V171" s="164">
        <f t="shared" si="336"/>
        <v>0</v>
      </c>
      <c r="W171" s="164">
        <f t="shared" si="336"/>
        <v>0</v>
      </c>
      <c r="X171" s="164">
        <f t="shared" si="336"/>
        <v>0</v>
      </c>
      <c r="Y171" s="164">
        <f t="shared" si="336"/>
        <v>0</v>
      </c>
      <c r="Z171" s="164">
        <f t="shared" si="336"/>
        <v>0</v>
      </c>
      <c r="AA171" s="164">
        <f t="shared" si="336"/>
        <v>0</v>
      </c>
      <c r="AB171" s="164">
        <f t="shared" si="336"/>
        <v>0</v>
      </c>
      <c r="AC171" s="164">
        <f t="shared" si="336"/>
        <v>0</v>
      </c>
      <c r="AD171" s="164">
        <f t="shared" si="336"/>
        <v>0</v>
      </c>
      <c r="AE171" s="164">
        <f t="shared" si="336"/>
        <v>0</v>
      </c>
      <c r="AF171" s="164">
        <f t="shared" si="336"/>
        <v>0</v>
      </c>
      <c r="AG171" s="164">
        <f t="shared" si="336"/>
        <v>0</v>
      </c>
      <c r="AH171" s="164">
        <f t="shared" si="336"/>
        <v>0</v>
      </c>
      <c r="AI171" s="164">
        <f t="shared" si="336"/>
        <v>0</v>
      </c>
      <c r="AJ171" s="164">
        <f t="shared" si="336"/>
        <v>0</v>
      </c>
      <c r="AK171" s="164">
        <f t="shared" si="336"/>
        <v>0</v>
      </c>
      <c r="AL171" s="164">
        <f t="shared" si="336"/>
        <v>0</v>
      </c>
      <c r="AM171" s="164">
        <f t="shared" si="336"/>
        <v>0</v>
      </c>
      <c r="AN171" s="164">
        <f t="shared" si="336"/>
        <v>0</v>
      </c>
      <c r="AO171" s="164">
        <f t="shared" si="336"/>
        <v>0</v>
      </c>
      <c r="AP171" s="164">
        <f t="shared" si="336"/>
        <v>0</v>
      </c>
      <c r="AQ171" s="164">
        <f t="shared" si="336"/>
        <v>0</v>
      </c>
      <c r="AR171" s="164">
        <f t="shared" si="336"/>
        <v>0</v>
      </c>
      <c r="AS171" s="164">
        <f t="shared" si="336"/>
        <v>0</v>
      </c>
      <c r="AT171" s="164">
        <f t="shared" si="336"/>
        <v>0</v>
      </c>
      <c r="AU171" s="164">
        <f t="shared" si="336"/>
        <v>0</v>
      </c>
      <c r="AV171" s="164">
        <f t="shared" si="336"/>
        <v>0</v>
      </c>
      <c r="AW171" s="164">
        <f t="shared" si="336"/>
        <v>0</v>
      </c>
      <c r="AX171" s="164">
        <f t="shared" si="336"/>
        <v>0</v>
      </c>
      <c r="AY171" s="164">
        <f t="shared" si="336"/>
        <v>0</v>
      </c>
      <c r="AZ171" s="164">
        <f t="shared" si="336"/>
        <v>0</v>
      </c>
      <c r="BA171" s="164">
        <f t="shared" si="336"/>
        <v>0</v>
      </c>
      <c r="BB171" s="164">
        <f t="shared" si="336"/>
        <v>0</v>
      </c>
      <c r="BC171" s="164">
        <f t="shared" si="336"/>
        <v>0</v>
      </c>
      <c r="BD171" s="164">
        <f t="shared" si="336"/>
        <v>0</v>
      </c>
      <c r="BE171" s="164">
        <f t="shared" si="336"/>
        <v>0</v>
      </c>
      <c r="BF171" s="164">
        <f t="shared" si="336"/>
        <v>0</v>
      </c>
      <c r="BG171" s="164">
        <f t="shared" si="336"/>
        <v>0</v>
      </c>
      <c r="BH171" s="164">
        <f t="shared" si="336"/>
        <v>0</v>
      </c>
      <c r="BI171" s="164">
        <f t="shared" si="336"/>
        <v>0</v>
      </c>
      <c r="BJ171" s="164">
        <f t="shared" si="336"/>
        <v>0</v>
      </c>
      <c r="BK171" s="33">
        <f t="shared" si="336"/>
        <v>0</v>
      </c>
    </row>
    <row r="172" spans="9:63">
      <c r="I172" s="31">
        <v>93</v>
      </c>
      <c r="L172" s="225">
        <f t="shared" si="330"/>
        <v>0</v>
      </c>
      <c r="M172" s="164">
        <f t="shared" si="336"/>
        <v>0</v>
      </c>
      <c r="N172" s="164">
        <f t="shared" si="336"/>
        <v>0</v>
      </c>
      <c r="O172" s="164">
        <f t="shared" si="336"/>
        <v>0</v>
      </c>
      <c r="P172" s="164">
        <f t="shared" si="336"/>
        <v>0</v>
      </c>
      <c r="Q172" s="164">
        <f t="shared" si="336"/>
        <v>0</v>
      </c>
      <c r="R172" s="164">
        <f t="shared" si="336"/>
        <v>0</v>
      </c>
      <c r="S172" s="164">
        <f t="shared" si="336"/>
        <v>0</v>
      </c>
      <c r="T172" s="164">
        <f t="shared" si="336"/>
        <v>0</v>
      </c>
      <c r="U172" s="164">
        <f t="shared" si="336"/>
        <v>0</v>
      </c>
      <c r="V172" s="164">
        <f t="shared" si="336"/>
        <v>0</v>
      </c>
      <c r="W172" s="164">
        <f t="shared" si="336"/>
        <v>0</v>
      </c>
      <c r="X172" s="164">
        <f t="shared" si="336"/>
        <v>0</v>
      </c>
      <c r="Y172" s="164">
        <f t="shared" si="336"/>
        <v>0</v>
      </c>
      <c r="Z172" s="164">
        <f t="shared" si="336"/>
        <v>0</v>
      </c>
      <c r="AA172" s="164">
        <f t="shared" si="336"/>
        <v>0</v>
      </c>
      <c r="AB172" s="164">
        <f t="shared" si="336"/>
        <v>0</v>
      </c>
      <c r="AC172" s="164">
        <f t="shared" si="336"/>
        <v>0</v>
      </c>
      <c r="AD172" s="164">
        <f t="shared" si="336"/>
        <v>0</v>
      </c>
      <c r="AE172" s="164">
        <f t="shared" si="336"/>
        <v>0</v>
      </c>
      <c r="AF172" s="164">
        <f t="shared" si="336"/>
        <v>0</v>
      </c>
      <c r="AG172" s="164">
        <f t="shared" si="336"/>
        <v>0</v>
      </c>
      <c r="AH172" s="164">
        <f t="shared" si="336"/>
        <v>0</v>
      </c>
      <c r="AI172" s="164">
        <f t="shared" si="336"/>
        <v>0</v>
      </c>
      <c r="AJ172" s="164">
        <f t="shared" si="336"/>
        <v>0</v>
      </c>
      <c r="AK172" s="164">
        <f t="shared" si="336"/>
        <v>0</v>
      </c>
      <c r="AL172" s="164">
        <f t="shared" si="336"/>
        <v>0</v>
      </c>
      <c r="AM172" s="164">
        <f t="shared" si="336"/>
        <v>0</v>
      </c>
      <c r="AN172" s="164">
        <f t="shared" si="336"/>
        <v>0</v>
      </c>
      <c r="AO172" s="164">
        <f t="shared" si="336"/>
        <v>0</v>
      </c>
      <c r="AP172" s="164">
        <f t="shared" si="336"/>
        <v>0</v>
      </c>
      <c r="AQ172" s="164">
        <f t="shared" si="336"/>
        <v>0</v>
      </c>
      <c r="AR172" s="164">
        <f t="shared" si="336"/>
        <v>0</v>
      </c>
      <c r="AS172" s="164">
        <f t="shared" si="336"/>
        <v>0</v>
      </c>
      <c r="AT172" s="164">
        <f t="shared" si="336"/>
        <v>0</v>
      </c>
      <c r="AU172" s="164">
        <f t="shared" si="336"/>
        <v>0</v>
      </c>
      <c r="AV172" s="164">
        <f t="shared" si="336"/>
        <v>0</v>
      </c>
      <c r="AW172" s="164">
        <f t="shared" si="336"/>
        <v>0</v>
      </c>
      <c r="AX172" s="164">
        <f t="shared" si="336"/>
        <v>0</v>
      </c>
      <c r="AY172" s="164">
        <f t="shared" si="336"/>
        <v>0</v>
      </c>
      <c r="AZ172" s="164">
        <f t="shared" si="336"/>
        <v>0</v>
      </c>
      <c r="BA172" s="164">
        <f t="shared" si="336"/>
        <v>0</v>
      </c>
      <c r="BB172" s="164">
        <f t="shared" si="336"/>
        <v>0</v>
      </c>
      <c r="BC172" s="164">
        <f t="shared" si="336"/>
        <v>0</v>
      </c>
      <c r="BD172" s="164">
        <f t="shared" si="336"/>
        <v>0</v>
      </c>
      <c r="BE172" s="164">
        <f t="shared" si="336"/>
        <v>0</v>
      </c>
      <c r="BF172" s="164">
        <f t="shared" si="336"/>
        <v>0</v>
      </c>
      <c r="BG172" s="164">
        <f t="shared" si="336"/>
        <v>0</v>
      </c>
      <c r="BH172" s="164">
        <f t="shared" si="336"/>
        <v>0</v>
      </c>
      <c r="BI172" s="164">
        <f t="shared" si="336"/>
        <v>0</v>
      </c>
      <c r="BJ172" s="164">
        <f t="shared" si="336"/>
        <v>0</v>
      </c>
      <c r="BK172" s="33">
        <f t="shared" si="336"/>
        <v>0</v>
      </c>
    </row>
    <row r="173" spans="9:63">
      <c r="I173" s="31">
        <v>94</v>
      </c>
      <c r="L173" s="225">
        <f t="shared" si="330"/>
        <v>0</v>
      </c>
      <c r="M173" s="164">
        <f t="shared" si="336"/>
        <v>0</v>
      </c>
      <c r="N173" s="164">
        <f t="shared" si="336"/>
        <v>0</v>
      </c>
      <c r="O173" s="164">
        <f t="shared" si="336"/>
        <v>0</v>
      </c>
      <c r="P173" s="164">
        <f t="shared" si="336"/>
        <v>0</v>
      </c>
      <c r="Q173" s="164">
        <f t="shared" si="336"/>
        <v>0</v>
      </c>
      <c r="R173" s="164">
        <f t="shared" si="336"/>
        <v>0</v>
      </c>
      <c r="S173" s="164">
        <f t="shared" si="336"/>
        <v>0</v>
      </c>
      <c r="T173" s="164">
        <f t="shared" si="336"/>
        <v>0</v>
      </c>
      <c r="U173" s="164">
        <f t="shared" si="336"/>
        <v>0</v>
      </c>
      <c r="V173" s="164">
        <f t="shared" si="336"/>
        <v>0</v>
      </c>
      <c r="W173" s="164">
        <f t="shared" si="336"/>
        <v>0</v>
      </c>
      <c r="X173" s="164">
        <f t="shared" si="336"/>
        <v>0</v>
      </c>
      <c r="Y173" s="164">
        <f t="shared" si="336"/>
        <v>0</v>
      </c>
      <c r="Z173" s="164">
        <f t="shared" si="336"/>
        <v>0</v>
      </c>
      <c r="AA173" s="164">
        <f t="shared" si="336"/>
        <v>0</v>
      </c>
      <c r="AB173" s="164">
        <f t="shared" si="336"/>
        <v>0</v>
      </c>
      <c r="AC173" s="164">
        <f t="shared" si="336"/>
        <v>0</v>
      </c>
      <c r="AD173" s="164">
        <f t="shared" si="336"/>
        <v>0</v>
      </c>
      <c r="AE173" s="164">
        <f t="shared" si="336"/>
        <v>0</v>
      </c>
      <c r="AF173" s="164">
        <f t="shared" si="336"/>
        <v>0</v>
      </c>
      <c r="AG173" s="164">
        <f t="shared" si="336"/>
        <v>0</v>
      </c>
      <c r="AH173" s="164">
        <f t="shared" si="336"/>
        <v>0</v>
      </c>
      <c r="AI173" s="164">
        <f t="shared" si="336"/>
        <v>0</v>
      </c>
      <c r="AJ173" s="164">
        <f t="shared" si="336"/>
        <v>0</v>
      </c>
      <c r="AK173" s="164">
        <f t="shared" si="336"/>
        <v>0</v>
      </c>
      <c r="AL173" s="164">
        <f t="shared" si="336"/>
        <v>0</v>
      </c>
      <c r="AM173" s="164">
        <f t="shared" si="336"/>
        <v>0</v>
      </c>
      <c r="AN173" s="164">
        <f t="shared" si="336"/>
        <v>0</v>
      </c>
      <c r="AO173" s="164">
        <f t="shared" si="336"/>
        <v>0</v>
      </c>
      <c r="AP173" s="164">
        <f t="shared" si="336"/>
        <v>0</v>
      </c>
      <c r="AQ173" s="164">
        <f t="shared" si="336"/>
        <v>0</v>
      </c>
      <c r="AR173" s="164">
        <f t="shared" si="336"/>
        <v>0</v>
      </c>
      <c r="AS173" s="164">
        <f t="shared" si="336"/>
        <v>0</v>
      </c>
      <c r="AT173" s="164">
        <f t="shared" si="336"/>
        <v>0</v>
      </c>
      <c r="AU173" s="164">
        <f t="shared" si="336"/>
        <v>0</v>
      </c>
      <c r="AV173" s="164">
        <f t="shared" si="336"/>
        <v>0</v>
      </c>
      <c r="AW173" s="164">
        <f t="shared" si="336"/>
        <v>0</v>
      </c>
      <c r="AX173" s="164">
        <f t="shared" si="336"/>
        <v>0</v>
      </c>
      <c r="AY173" s="164">
        <f t="shared" si="336"/>
        <v>0</v>
      </c>
      <c r="AZ173" s="164">
        <f t="shared" si="336"/>
        <v>0</v>
      </c>
      <c r="BA173" s="164">
        <f t="shared" si="336"/>
        <v>0</v>
      </c>
      <c r="BB173" s="164">
        <f t="shared" si="336"/>
        <v>0</v>
      </c>
      <c r="BC173" s="164">
        <f t="shared" si="336"/>
        <v>0</v>
      </c>
      <c r="BD173" s="164">
        <f t="shared" si="336"/>
        <v>0</v>
      </c>
      <c r="BE173" s="164">
        <f t="shared" si="336"/>
        <v>0</v>
      </c>
      <c r="BF173" s="164">
        <f t="shared" si="336"/>
        <v>0</v>
      </c>
      <c r="BG173" s="164">
        <f t="shared" si="336"/>
        <v>0</v>
      </c>
      <c r="BH173" s="164">
        <f t="shared" si="336"/>
        <v>0</v>
      </c>
      <c r="BI173" s="164">
        <f t="shared" si="336"/>
        <v>0</v>
      </c>
      <c r="BJ173" s="164">
        <f t="shared" si="336"/>
        <v>0</v>
      </c>
      <c r="BK173" s="33">
        <f t="shared" si="336"/>
        <v>0</v>
      </c>
    </row>
    <row r="174" spans="9:63">
      <c r="I174" s="31">
        <v>95</v>
      </c>
      <c r="L174" s="225">
        <f t="shared" si="330"/>
        <v>0</v>
      </c>
      <c r="M174" s="164">
        <f t="shared" si="336"/>
        <v>0</v>
      </c>
      <c r="N174" s="164">
        <f t="shared" si="336"/>
        <v>0</v>
      </c>
      <c r="O174" s="164">
        <f t="shared" si="336"/>
        <v>0</v>
      </c>
      <c r="P174" s="164">
        <f t="shared" si="336"/>
        <v>0</v>
      </c>
      <c r="Q174" s="164">
        <f t="shared" si="336"/>
        <v>0</v>
      </c>
      <c r="R174" s="164">
        <f t="shared" si="336"/>
        <v>0</v>
      </c>
      <c r="S174" s="164">
        <f t="shared" si="336"/>
        <v>0</v>
      </c>
      <c r="T174" s="164">
        <f t="shared" si="336"/>
        <v>0</v>
      </c>
      <c r="U174" s="164">
        <f t="shared" si="336"/>
        <v>0</v>
      </c>
      <c r="V174" s="164">
        <f t="shared" si="336"/>
        <v>0</v>
      </c>
      <c r="W174" s="164">
        <f t="shared" si="336"/>
        <v>0</v>
      </c>
      <c r="X174" s="164">
        <f t="shared" si="336"/>
        <v>0</v>
      </c>
      <c r="Y174" s="164">
        <f t="shared" si="336"/>
        <v>0</v>
      </c>
      <c r="Z174" s="164">
        <f t="shared" si="336"/>
        <v>0</v>
      </c>
      <c r="AA174" s="164">
        <f t="shared" si="336"/>
        <v>0</v>
      </c>
      <c r="AB174" s="164">
        <f t="shared" si="336"/>
        <v>0</v>
      </c>
      <c r="AC174" s="164">
        <f t="shared" si="336"/>
        <v>0</v>
      </c>
      <c r="AD174" s="164">
        <f t="shared" si="336"/>
        <v>0</v>
      </c>
      <c r="AE174" s="164">
        <f t="shared" si="336"/>
        <v>0</v>
      </c>
      <c r="AF174" s="164">
        <f t="shared" si="336"/>
        <v>0</v>
      </c>
      <c r="AG174" s="164">
        <f t="shared" si="336"/>
        <v>0</v>
      </c>
      <c r="AH174" s="164">
        <f t="shared" si="336"/>
        <v>0</v>
      </c>
      <c r="AI174" s="164">
        <f t="shared" si="336"/>
        <v>0</v>
      </c>
      <c r="AJ174" s="164">
        <f t="shared" si="336"/>
        <v>0</v>
      </c>
      <c r="AK174" s="164">
        <f t="shared" si="336"/>
        <v>0</v>
      </c>
      <c r="AL174" s="164">
        <f t="shared" si="336"/>
        <v>0</v>
      </c>
      <c r="AM174" s="164">
        <f t="shared" si="336"/>
        <v>0</v>
      </c>
      <c r="AN174" s="164">
        <f t="shared" si="336"/>
        <v>0</v>
      </c>
      <c r="AO174" s="164">
        <f t="shared" si="336"/>
        <v>0</v>
      </c>
      <c r="AP174" s="164">
        <f t="shared" si="336"/>
        <v>0</v>
      </c>
      <c r="AQ174" s="164">
        <f t="shared" si="336"/>
        <v>0</v>
      </c>
      <c r="AR174" s="164">
        <f t="shared" si="336"/>
        <v>0</v>
      </c>
      <c r="AS174" s="164">
        <f t="shared" si="336"/>
        <v>0</v>
      </c>
      <c r="AT174" s="164">
        <f t="shared" si="336"/>
        <v>0</v>
      </c>
      <c r="AU174" s="164">
        <f t="shared" si="336"/>
        <v>0</v>
      </c>
      <c r="AV174" s="164">
        <f t="shared" si="336"/>
        <v>0</v>
      </c>
      <c r="AW174" s="164">
        <f t="shared" si="336"/>
        <v>0</v>
      </c>
      <c r="AX174" s="164">
        <f t="shared" si="336"/>
        <v>0</v>
      </c>
      <c r="AY174" s="164">
        <f t="shared" si="336"/>
        <v>0</v>
      </c>
      <c r="AZ174" s="164">
        <f t="shared" si="336"/>
        <v>0</v>
      </c>
      <c r="BA174" s="164">
        <f t="shared" si="336"/>
        <v>0</v>
      </c>
      <c r="BB174" s="164">
        <f t="shared" si="336"/>
        <v>0</v>
      </c>
      <c r="BC174" s="164">
        <f t="shared" si="336"/>
        <v>0</v>
      </c>
      <c r="BD174" s="164">
        <f t="shared" si="336"/>
        <v>0</v>
      </c>
      <c r="BE174" s="164">
        <f t="shared" si="336"/>
        <v>0</v>
      </c>
      <c r="BF174" s="164">
        <f t="shared" si="336"/>
        <v>0</v>
      </c>
      <c r="BG174" s="164">
        <f t="shared" si="336"/>
        <v>0</v>
      </c>
      <c r="BH174" s="164">
        <f t="shared" si="336"/>
        <v>0</v>
      </c>
      <c r="BI174" s="164">
        <f t="shared" si="336"/>
        <v>0</v>
      </c>
      <c r="BJ174" s="164">
        <f t="shared" si="336"/>
        <v>0</v>
      </c>
      <c r="BK174" s="33">
        <f t="shared" si="336"/>
        <v>0</v>
      </c>
    </row>
    <row r="175" spans="9:63">
      <c r="I175" s="31">
        <v>96</v>
      </c>
      <c r="L175" s="225">
        <f t="shared" si="330"/>
        <v>0</v>
      </c>
      <c r="M175" s="164">
        <f t="shared" si="336"/>
        <v>0</v>
      </c>
      <c r="N175" s="164">
        <f t="shared" si="336"/>
        <v>0</v>
      </c>
      <c r="O175" s="164">
        <f t="shared" si="336"/>
        <v>0</v>
      </c>
      <c r="P175" s="164">
        <f t="shared" si="336"/>
        <v>0</v>
      </c>
      <c r="Q175" s="164">
        <f t="shared" si="336"/>
        <v>0</v>
      </c>
      <c r="R175" s="164">
        <f t="shared" si="336"/>
        <v>0</v>
      </c>
      <c r="S175" s="164">
        <f t="shared" si="336"/>
        <v>0</v>
      </c>
      <c r="T175" s="164">
        <f t="shared" si="336"/>
        <v>0</v>
      </c>
      <c r="U175" s="164">
        <f t="shared" si="336"/>
        <v>0</v>
      </c>
      <c r="V175" s="164">
        <f t="shared" si="336"/>
        <v>0</v>
      </c>
      <c r="W175" s="164">
        <f t="shared" si="336"/>
        <v>0</v>
      </c>
      <c r="X175" s="164">
        <f t="shared" si="336"/>
        <v>0</v>
      </c>
      <c r="Y175" s="164">
        <f t="shared" si="336"/>
        <v>0</v>
      </c>
      <c r="Z175" s="164">
        <f t="shared" si="336"/>
        <v>0</v>
      </c>
      <c r="AA175" s="164">
        <f t="shared" si="336"/>
        <v>0</v>
      </c>
      <c r="AB175" s="164">
        <f t="shared" si="336"/>
        <v>0</v>
      </c>
      <c r="AC175" s="164">
        <f t="shared" si="336"/>
        <v>0</v>
      </c>
      <c r="AD175" s="164">
        <f t="shared" si="336"/>
        <v>0</v>
      </c>
      <c r="AE175" s="164">
        <f t="shared" si="336"/>
        <v>0</v>
      </c>
      <c r="AF175" s="164">
        <f t="shared" si="336"/>
        <v>0</v>
      </c>
      <c r="AG175" s="164">
        <f t="shared" si="336"/>
        <v>0</v>
      </c>
      <c r="AH175" s="164">
        <f t="shared" si="336"/>
        <v>0</v>
      </c>
      <c r="AI175" s="164">
        <f t="shared" si="336"/>
        <v>0</v>
      </c>
      <c r="AJ175" s="164">
        <f t="shared" si="336"/>
        <v>0</v>
      </c>
      <c r="AK175" s="164">
        <f t="shared" si="336"/>
        <v>0</v>
      </c>
      <c r="AL175" s="164">
        <f t="shared" si="336"/>
        <v>0</v>
      </c>
      <c r="AM175" s="164">
        <f t="shared" si="336"/>
        <v>0</v>
      </c>
      <c r="AN175" s="164">
        <f t="shared" si="336"/>
        <v>0</v>
      </c>
      <c r="AO175" s="164">
        <f t="shared" si="336"/>
        <v>0</v>
      </c>
      <c r="AP175" s="164">
        <f t="shared" si="336"/>
        <v>0</v>
      </c>
      <c r="AQ175" s="164">
        <f t="shared" ref="M175:BK179" si="337">IF($I175&lt;=AQ$74,AP175+1,)</f>
        <v>0</v>
      </c>
      <c r="AR175" s="164">
        <f t="shared" si="337"/>
        <v>0</v>
      </c>
      <c r="AS175" s="164">
        <f t="shared" si="337"/>
        <v>0</v>
      </c>
      <c r="AT175" s="164">
        <f t="shared" si="337"/>
        <v>0</v>
      </c>
      <c r="AU175" s="164">
        <f t="shared" si="337"/>
        <v>0</v>
      </c>
      <c r="AV175" s="164">
        <f t="shared" si="337"/>
        <v>0</v>
      </c>
      <c r="AW175" s="164">
        <f t="shared" si="337"/>
        <v>0</v>
      </c>
      <c r="AX175" s="164">
        <f t="shared" si="337"/>
        <v>0</v>
      </c>
      <c r="AY175" s="164">
        <f t="shared" si="337"/>
        <v>0</v>
      </c>
      <c r="AZ175" s="164">
        <f t="shared" si="337"/>
        <v>0</v>
      </c>
      <c r="BA175" s="164">
        <f t="shared" si="337"/>
        <v>0</v>
      </c>
      <c r="BB175" s="164">
        <f t="shared" si="337"/>
        <v>0</v>
      </c>
      <c r="BC175" s="164">
        <f t="shared" si="337"/>
        <v>0</v>
      </c>
      <c r="BD175" s="164">
        <f t="shared" si="337"/>
        <v>0</v>
      </c>
      <c r="BE175" s="164">
        <f t="shared" si="337"/>
        <v>0</v>
      </c>
      <c r="BF175" s="164">
        <f t="shared" si="337"/>
        <v>0</v>
      </c>
      <c r="BG175" s="164">
        <f t="shared" si="337"/>
        <v>0</v>
      </c>
      <c r="BH175" s="164">
        <f t="shared" si="337"/>
        <v>0</v>
      </c>
      <c r="BI175" s="164">
        <f t="shared" si="337"/>
        <v>0</v>
      </c>
      <c r="BJ175" s="164">
        <f t="shared" si="337"/>
        <v>0</v>
      </c>
      <c r="BK175" s="33">
        <f t="shared" si="337"/>
        <v>0</v>
      </c>
    </row>
    <row r="176" spans="9:63">
      <c r="I176" s="31">
        <v>97</v>
      </c>
      <c r="L176" s="225">
        <f t="shared" si="330"/>
        <v>0</v>
      </c>
      <c r="M176" s="164">
        <f t="shared" si="337"/>
        <v>0</v>
      </c>
      <c r="N176" s="164">
        <f t="shared" si="337"/>
        <v>0</v>
      </c>
      <c r="O176" s="164">
        <f t="shared" si="337"/>
        <v>0</v>
      </c>
      <c r="P176" s="164">
        <f t="shared" si="337"/>
        <v>0</v>
      </c>
      <c r="Q176" s="164">
        <f t="shared" si="337"/>
        <v>0</v>
      </c>
      <c r="R176" s="164">
        <f t="shared" si="337"/>
        <v>0</v>
      </c>
      <c r="S176" s="164">
        <f t="shared" si="337"/>
        <v>0</v>
      </c>
      <c r="T176" s="164">
        <f t="shared" si="337"/>
        <v>0</v>
      </c>
      <c r="U176" s="164">
        <f t="shared" si="337"/>
        <v>0</v>
      </c>
      <c r="V176" s="164">
        <f t="shared" si="337"/>
        <v>0</v>
      </c>
      <c r="W176" s="164">
        <f t="shared" si="337"/>
        <v>0</v>
      </c>
      <c r="X176" s="164">
        <f t="shared" si="337"/>
        <v>0</v>
      </c>
      <c r="Y176" s="164">
        <f t="shared" si="337"/>
        <v>0</v>
      </c>
      <c r="Z176" s="164">
        <f t="shared" si="337"/>
        <v>0</v>
      </c>
      <c r="AA176" s="164">
        <f t="shared" si="337"/>
        <v>0</v>
      </c>
      <c r="AB176" s="164">
        <f t="shared" si="337"/>
        <v>0</v>
      </c>
      <c r="AC176" s="164">
        <f t="shared" si="337"/>
        <v>0</v>
      </c>
      <c r="AD176" s="164">
        <f t="shared" si="337"/>
        <v>0</v>
      </c>
      <c r="AE176" s="164">
        <f t="shared" si="337"/>
        <v>0</v>
      </c>
      <c r="AF176" s="164">
        <f t="shared" si="337"/>
        <v>0</v>
      </c>
      <c r="AG176" s="164">
        <f t="shared" si="337"/>
        <v>0</v>
      </c>
      <c r="AH176" s="164">
        <f t="shared" si="337"/>
        <v>0</v>
      </c>
      <c r="AI176" s="164">
        <f t="shared" si="337"/>
        <v>0</v>
      </c>
      <c r="AJ176" s="164">
        <f t="shared" si="337"/>
        <v>0</v>
      </c>
      <c r="AK176" s="164">
        <f t="shared" si="337"/>
        <v>0</v>
      </c>
      <c r="AL176" s="164">
        <f t="shared" si="337"/>
        <v>0</v>
      </c>
      <c r="AM176" s="164">
        <f t="shared" si="337"/>
        <v>0</v>
      </c>
      <c r="AN176" s="164">
        <f t="shared" si="337"/>
        <v>0</v>
      </c>
      <c r="AO176" s="164">
        <f t="shared" si="337"/>
        <v>0</v>
      </c>
      <c r="AP176" s="164">
        <f t="shared" si="337"/>
        <v>0</v>
      </c>
      <c r="AQ176" s="164">
        <f t="shared" si="337"/>
        <v>0</v>
      </c>
      <c r="AR176" s="164">
        <f t="shared" si="337"/>
        <v>0</v>
      </c>
      <c r="AS176" s="164">
        <f t="shared" si="337"/>
        <v>0</v>
      </c>
      <c r="AT176" s="164">
        <f t="shared" si="337"/>
        <v>0</v>
      </c>
      <c r="AU176" s="164">
        <f t="shared" si="337"/>
        <v>0</v>
      </c>
      <c r="AV176" s="164">
        <f t="shared" si="337"/>
        <v>0</v>
      </c>
      <c r="AW176" s="164">
        <f t="shared" si="337"/>
        <v>0</v>
      </c>
      <c r="AX176" s="164">
        <f t="shared" si="337"/>
        <v>0</v>
      </c>
      <c r="AY176" s="164">
        <f t="shared" si="337"/>
        <v>0</v>
      </c>
      <c r="AZ176" s="164">
        <f t="shared" si="337"/>
        <v>0</v>
      </c>
      <c r="BA176" s="164">
        <f t="shared" si="337"/>
        <v>0</v>
      </c>
      <c r="BB176" s="164">
        <f t="shared" si="337"/>
        <v>0</v>
      </c>
      <c r="BC176" s="164">
        <f t="shared" si="337"/>
        <v>0</v>
      </c>
      <c r="BD176" s="164">
        <f t="shared" si="337"/>
        <v>0</v>
      </c>
      <c r="BE176" s="164">
        <f t="shared" si="337"/>
        <v>0</v>
      </c>
      <c r="BF176" s="164">
        <f t="shared" si="337"/>
        <v>0</v>
      </c>
      <c r="BG176" s="164">
        <f t="shared" si="337"/>
        <v>0</v>
      </c>
      <c r="BH176" s="164">
        <f t="shared" si="337"/>
        <v>0</v>
      </c>
      <c r="BI176" s="164">
        <f t="shared" si="337"/>
        <v>0</v>
      </c>
      <c r="BJ176" s="164">
        <f t="shared" si="337"/>
        <v>0</v>
      </c>
      <c r="BK176" s="33">
        <f t="shared" si="337"/>
        <v>0</v>
      </c>
    </row>
    <row r="177" spans="9:63">
      <c r="I177" s="31">
        <v>98</v>
      </c>
      <c r="L177" s="225">
        <f t="shared" si="330"/>
        <v>0</v>
      </c>
      <c r="M177" s="164">
        <f t="shared" si="337"/>
        <v>0</v>
      </c>
      <c r="N177" s="164">
        <f t="shared" si="337"/>
        <v>0</v>
      </c>
      <c r="O177" s="164">
        <f t="shared" si="337"/>
        <v>0</v>
      </c>
      <c r="P177" s="164">
        <f t="shared" si="337"/>
        <v>0</v>
      </c>
      <c r="Q177" s="164">
        <f t="shared" si="337"/>
        <v>0</v>
      </c>
      <c r="R177" s="164">
        <f t="shared" si="337"/>
        <v>0</v>
      </c>
      <c r="S177" s="164">
        <f t="shared" si="337"/>
        <v>0</v>
      </c>
      <c r="T177" s="164">
        <f t="shared" si="337"/>
        <v>0</v>
      </c>
      <c r="U177" s="164">
        <f t="shared" si="337"/>
        <v>0</v>
      </c>
      <c r="V177" s="164">
        <f t="shared" si="337"/>
        <v>0</v>
      </c>
      <c r="W177" s="164">
        <f t="shared" si="337"/>
        <v>0</v>
      </c>
      <c r="X177" s="164">
        <f t="shared" si="337"/>
        <v>0</v>
      </c>
      <c r="Y177" s="164">
        <f t="shared" si="337"/>
        <v>0</v>
      </c>
      <c r="Z177" s="164">
        <f t="shared" si="337"/>
        <v>0</v>
      </c>
      <c r="AA177" s="164">
        <f t="shared" si="337"/>
        <v>0</v>
      </c>
      <c r="AB177" s="164">
        <f t="shared" si="337"/>
        <v>0</v>
      </c>
      <c r="AC177" s="164">
        <f t="shared" si="337"/>
        <v>0</v>
      </c>
      <c r="AD177" s="164">
        <f t="shared" si="337"/>
        <v>0</v>
      </c>
      <c r="AE177" s="164">
        <f t="shared" si="337"/>
        <v>0</v>
      </c>
      <c r="AF177" s="164">
        <f t="shared" si="337"/>
        <v>0</v>
      </c>
      <c r="AG177" s="164">
        <f t="shared" si="337"/>
        <v>0</v>
      </c>
      <c r="AH177" s="164">
        <f t="shared" si="337"/>
        <v>0</v>
      </c>
      <c r="AI177" s="164">
        <f t="shared" si="337"/>
        <v>0</v>
      </c>
      <c r="AJ177" s="164">
        <f t="shared" si="337"/>
        <v>0</v>
      </c>
      <c r="AK177" s="164">
        <f t="shared" si="337"/>
        <v>0</v>
      </c>
      <c r="AL177" s="164">
        <f t="shared" si="337"/>
        <v>0</v>
      </c>
      <c r="AM177" s="164">
        <f t="shared" si="337"/>
        <v>0</v>
      </c>
      <c r="AN177" s="164">
        <f t="shared" si="337"/>
        <v>0</v>
      </c>
      <c r="AO177" s="164">
        <f t="shared" si="337"/>
        <v>0</v>
      </c>
      <c r="AP177" s="164">
        <f t="shared" si="337"/>
        <v>0</v>
      </c>
      <c r="AQ177" s="164">
        <f t="shared" si="337"/>
        <v>0</v>
      </c>
      <c r="AR177" s="164">
        <f t="shared" si="337"/>
        <v>0</v>
      </c>
      <c r="AS177" s="164">
        <f t="shared" si="337"/>
        <v>0</v>
      </c>
      <c r="AT177" s="164">
        <f t="shared" si="337"/>
        <v>0</v>
      </c>
      <c r="AU177" s="164">
        <f t="shared" si="337"/>
        <v>0</v>
      </c>
      <c r="AV177" s="164">
        <f t="shared" si="337"/>
        <v>0</v>
      </c>
      <c r="AW177" s="164">
        <f t="shared" si="337"/>
        <v>0</v>
      </c>
      <c r="AX177" s="164">
        <f t="shared" si="337"/>
        <v>0</v>
      </c>
      <c r="AY177" s="164">
        <f t="shared" si="337"/>
        <v>0</v>
      </c>
      <c r="AZ177" s="164">
        <f t="shared" si="337"/>
        <v>0</v>
      </c>
      <c r="BA177" s="164">
        <f t="shared" si="337"/>
        <v>0</v>
      </c>
      <c r="BB177" s="164">
        <f t="shared" si="337"/>
        <v>0</v>
      </c>
      <c r="BC177" s="164">
        <f t="shared" si="337"/>
        <v>0</v>
      </c>
      <c r="BD177" s="164">
        <f t="shared" si="337"/>
        <v>0</v>
      </c>
      <c r="BE177" s="164">
        <f t="shared" si="337"/>
        <v>0</v>
      </c>
      <c r="BF177" s="164">
        <f t="shared" si="337"/>
        <v>0</v>
      </c>
      <c r="BG177" s="164">
        <f t="shared" si="337"/>
        <v>0</v>
      </c>
      <c r="BH177" s="164">
        <f t="shared" si="337"/>
        <v>0</v>
      </c>
      <c r="BI177" s="164">
        <f t="shared" si="337"/>
        <v>0</v>
      </c>
      <c r="BJ177" s="164">
        <f t="shared" si="337"/>
        <v>0</v>
      </c>
      <c r="BK177" s="33">
        <f t="shared" si="337"/>
        <v>0</v>
      </c>
    </row>
    <row r="178" spans="9:63">
      <c r="I178" s="31">
        <v>99</v>
      </c>
      <c r="L178" s="225">
        <f t="shared" si="330"/>
        <v>0</v>
      </c>
      <c r="M178" s="164">
        <f t="shared" si="337"/>
        <v>0</v>
      </c>
      <c r="N178" s="164">
        <f t="shared" si="337"/>
        <v>0</v>
      </c>
      <c r="O178" s="164">
        <f t="shared" si="337"/>
        <v>0</v>
      </c>
      <c r="P178" s="164">
        <f t="shared" si="337"/>
        <v>0</v>
      </c>
      <c r="Q178" s="164">
        <f t="shared" si="337"/>
        <v>0</v>
      </c>
      <c r="R178" s="164">
        <f t="shared" si="337"/>
        <v>0</v>
      </c>
      <c r="S178" s="164">
        <f t="shared" si="337"/>
        <v>0</v>
      </c>
      <c r="T178" s="164">
        <f t="shared" si="337"/>
        <v>0</v>
      </c>
      <c r="U178" s="164">
        <f t="shared" si="337"/>
        <v>0</v>
      </c>
      <c r="V178" s="164">
        <f t="shared" si="337"/>
        <v>0</v>
      </c>
      <c r="W178" s="164">
        <f t="shared" si="337"/>
        <v>0</v>
      </c>
      <c r="X178" s="164">
        <f t="shared" si="337"/>
        <v>0</v>
      </c>
      <c r="Y178" s="164">
        <f t="shared" si="337"/>
        <v>0</v>
      </c>
      <c r="Z178" s="164">
        <f t="shared" si="337"/>
        <v>0</v>
      </c>
      <c r="AA178" s="164">
        <f t="shared" si="337"/>
        <v>0</v>
      </c>
      <c r="AB178" s="164">
        <f t="shared" si="337"/>
        <v>0</v>
      </c>
      <c r="AC178" s="164">
        <f t="shared" si="337"/>
        <v>0</v>
      </c>
      <c r="AD178" s="164">
        <f t="shared" si="337"/>
        <v>0</v>
      </c>
      <c r="AE178" s="164">
        <f t="shared" si="337"/>
        <v>0</v>
      </c>
      <c r="AF178" s="164">
        <f t="shared" si="337"/>
        <v>0</v>
      </c>
      <c r="AG178" s="164">
        <f t="shared" si="337"/>
        <v>0</v>
      </c>
      <c r="AH178" s="164">
        <f t="shared" si="337"/>
        <v>0</v>
      </c>
      <c r="AI178" s="164">
        <f t="shared" si="337"/>
        <v>0</v>
      </c>
      <c r="AJ178" s="164">
        <f t="shared" si="337"/>
        <v>0</v>
      </c>
      <c r="AK178" s="164">
        <f t="shared" si="337"/>
        <v>0</v>
      </c>
      <c r="AL178" s="164">
        <f t="shared" si="337"/>
        <v>0</v>
      </c>
      <c r="AM178" s="164">
        <f t="shared" si="337"/>
        <v>0</v>
      </c>
      <c r="AN178" s="164">
        <f t="shared" si="337"/>
        <v>0</v>
      </c>
      <c r="AO178" s="164">
        <f t="shared" si="337"/>
        <v>0</v>
      </c>
      <c r="AP178" s="164">
        <f t="shared" si="337"/>
        <v>0</v>
      </c>
      <c r="AQ178" s="164">
        <f t="shared" si="337"/>
        <v>0</v>
      </c>
      <c r="AR178" s="164">
        <f t="shared" si="337"/>
        <v>0</v>
      </c>
      <c r="AS178" s="164">
        <f t="shared" si="337"/>
        <v>0</v>
      </c>
      <c r="AT178" s="164">
        <f t="shared" si="337"/>
        <v>0</v>
      </c>
      <c r="AU178" s="164">
        <f t="shared" si="337"/>
        <v>0</v>
      </c>
      <c r="AV178" s="164">
        <f t="shared" si="337"/>
        <v>0</v>
      </c>
      <c r="AW178" s="164">
        <f t="shared" si="337"/>
        <v>0</v>
      </c>
      <c r="AX178" s="164">
        <f t="shared" si="337"/>
        <v>0</v>
      </c>
      <c r="AY178" s="164">
        <f t="shared" si="337"/>
        <v>0</v>
      </c>
      <c r="AZ178" s="164">
        <f t="shared" si="337"/>
        <v>0</v>
      </c>
      <c r="BA178" s="164">
        <f t="shared" si="337"/>
        <v>0</v>
      </c>
      <c r="BB178" s="164">
        <f t="shared" si="337"/>
        <v>0</v>
      </c>
      <c r="BC178" s="164">
        <f t="shared" si="337"/>
        <v>0</v>
      </c>
      <c r="BD178" s="164">
        <f t="shared" si="337"/>
        <v>0</v>
      </c>
      <c r="BE178" s="164">
        <f t="shared" si="337"/>
        <v>0</v>
      </c>
      <c r="BF178" s="164">
        <f t="shared" si="337"/>
        <v>0</v>
      </c>
      <c r="BG178" s="164">
        <f t="shared" si="337"/>
        <v>0</v>
      </c>
      <c r="BH178" s="164">
        <f t="shared" si="337"/>
        <v>0</v>
      </c>
      <c r="BI178" s="164">
        <f t="shared" si="337"/>
        <v>0</v>
      </c>
      <c r="BJ178" s="164">
        <f t="shared" si="337"/>
        <v>0</v>
      </c>
      <c r="BK178" s="33">
        <f t="shared" si="337"/>
        <v>0</v>
      </c>
    </row>
    <row r="179" spans="9:63">
      <c r="I179" s="31">
        <v>100</v>
      </c>
      <c r="L179" s="226">
        <f t="shared" si="330"/>
        <v>0</v>
      </c>
      <c r="M179" s="227">
        <f t="shared" si="337"/>
        <v>0</v>
      </c>
      <c r="N179" s="227">
        <f t="shared" si="337"/>
        <v>0</v>
      </c>
      <c r="O179" s="227">
        <f t="shared" si="337"/>
        <v>0</v>
      </c>
      <c r="P179" s="227">
        <f t="shared" si="337"/>
        <v>0</v>
      </c>
      <c r="Q179" s="227">
        <f t="shared" si="337"/>
        <v>0</v>
      </c>
      <c r="R179" s="227">
        <f t="shared" si="337"/>
        <v>0</v>
      </c>
      <c r="S179" s="227">
        <f t="shared" si="337"/>
        <v>0</v>
      </c>
      <c r="T179" s="227">
        <f t="shared" si="337"/>
        <v>0</v>
      </c>
      <c r="U179" s="227">
        <f t="shared" si="337"/>
        <v>0</v>
      </c>
      <c r="V179" s="227">
        <f t="shared" si="337"/>
        <v>0</v>
      </c>
      <c r="W179" s="227">
        <f t="shared" si="337"/>
        <v>0</v>
      </c>
      <c r="X179" s="227">
        <f t="shared" si="337"/>
        <v>0</v>
      </c>
      <c r="Y179" s="227">
        <f t="shared" si="337"/>
        <v>0</v>
      </c>
      <c r="Z179" s="227">
        <f t="shared" si="337"/>
        <v>0</v>
      </c>
      <c r="AA179" s="227">
        <f t="shared" si="337"/>
        <v>0</v>
      </c>
      <c r="AB179" s="227">
        <f t="shared" si="337"/>
        <v>0</v>
      </c>
      <c r="AC179" s="227">
        <f t="shared" si="337"/>
        <v>0</v>
      </c>
      <c r="AD179" s="227">
        <f t="shared" si="337"/>
        <v>0</v>
      </c>
      <c r="AE179" s="227">
        <f t="shared" si="337"/>
        <v>0</v>
      </c>
      <c r="AF179" s="227">
        <f t="shared" si="337"/>
        <v>0</v>
      </c>
      <c r="AG179" s="227">
        <f t="shared" si="337"/>
        <v>0</v>
      </c>
      <c r="AH179" s="227">
        <f t="shared" si="337"/>
        <v>0</v>
      </c>
      <c r="AI179" s="227">
        <f t="shared" si="337"/>
        <v>0</v>
      </c>
      <c r="AJ179" s="227">
        <f t="shared" si="337"/>
        <v>0</v>
      </c>
      <c r="AK179" s="227">
        <f t="shared" si="337"/>
        <v>0</v>
      </c>
      <c r="AL179" s="227">
        <f t="shared" si="337"/>
        <v>0</v>
      </c>
      <c r="AM179" s="227">
        <f t="shared" si="337"/>
        <v>0</v>
      </c>
      <c r="AN179" s="227">
        <f t="shared" si="337"/>
        <v>0</v>
      </c>
      <c r="AO179" s="227">
        <f t="shared" si="337"/>
        <v>0</v>
      </c>
      <c r="AP179" s="227">
        <f t="shared" si="337"/>
        <v>0</v>
      </c>
      <c r="AQ179" s="227">
        <f t="shared" si="337"/>
        <v>0</v>
      </c>
      <c r="AR179" s="227">
        <f t="shared" si="337"/>
        <v>0</v>
      </c>
      <c r="AS179" s="227">
        <f t="shared" si="337"/>
        <v>0</v>
      </c>
      <c r="AT179" s="227">
        <f t="shared" si="337"/>
        <v>0</v>
      </c>
      <c r="AU179" s="227">
        <f t="shared" si="337"/>
        <v>0</v>
      </c>
      <c r="AV179" s="227">
        <f t="shared" si="337"/>
        <v>0</v>
      </c>
      <c r="AW179" s="227">
        <f t="shared" si="337"/>
        <v>0</v>
      </c>
      <c r="AX179" s="227">
        <f t="shared" si="337"/>
        <v>0</v>
      </c>
      <c r="AY179" s="227">
        <f t="shared" si="337"/>
        <v>0</v>
      </c>
      <c r="AZ179" s="227">
        <f t="shared" si="337"/>
        <v>0</v>
      </c>
      <c r="BA179" s="227">
        <f t="shared" si="337"/>
        <v>0</v>
      </c>
      <c r="BB179" s="227">
        <f t="shared" si="337"/>
        <v>0</v>
      </c>
      <c r="BC179" s="227">
        <f t="shared" si="337"/>
        <v>0</v>
      </c>
      <c r="BD179" s="227">
        <f t="shared" si="337"/>
        <v>0</v>
      </c>
      <c r="BE179" s="227">
        <f t="shared" si="337"/>
        <v>0</v>
      </c>
      <c r="BF179" s="227">
        <f t="shared" si="337"/>
        <v>0</v>
      </c>
      <c r="BG179" s="227">
        <f t="shared" si="337"/>
        <v>0</v>
      </c>
      <c r="BH179" s="227">
        <f t="shared" si="337"/>
        <v>0</v>
      </c>
      <c r="BI179" s="227">
        <f t="shared" si="337"/>
        <v>0</v>
      </c>
      <c r="BJ179" s="227">
        <f t="shared" si="337"/>
        <v>0</v>
      </c>
      <c r="BK179" s="96">
        <f t="shared" si="337"/>
        <v>0</v>
      </c>
    </row>
    <row r="192" spans="9:63">
      <c r="I192" s="158" t="s">
        <v>75</v>
      </c>
      <c r="J192" s="231" t="s">
        <v>124</v>
      </c>
      <c r="K192" s="231"/>
      <c r="L192" s="228">
        <f>+SUM(L193:L292)</f>
        <v>23.110309524059165</v>
      </c>
      <c r="M192" s="229">
        <f t="shared" ref="M192:BK192" si="338">+SUM(M193:M292)</f>
        <v>18.371512257262623</v>
      </c>
      <c r="N192" s="229">
        <f t="shared" si="338"/>
        <v>19.45426538494355</v>
      </c>
      <c r="O192" s="229">
        <f t="shared" si="338"/>
        <v>20.903602425142108</v>
      </c>
      <c r="P192" s="229">
        <f t="shared" si="338"/>
        <v>22.385780527869255</v>
      </c>
      <c r="Q192" s="229">
        <f t="shared" si="338"/>
        <v>16.129044091537217</v>
      </c>
      <c r="R192" s="229">
        <f t="shared" si="338"/>
        <v>13.966408722171868</v>
      </c>
      <c r="S192" s="229">
        <f t="shared" si="338"/>
        <v>12.573132834858562</v>
      </c>
      <c r="T192" s="229">
        <f t="shared" si="338"/>
        <v>11.553932246659576</v>
      </c>
      <c r="U192" s="229">
        <f t="shared" si="338"/>
        <v>10.760096046843135</v>
      </c>
      <c r="V192" s="229">
        <f t="shared" si="338"/>
        <v>10.116016009459845</v>
      </c>
      <c r="W192" s="229">
        <f t="shared" si="338"/>
        <v>9.5786854817373968</v>
      </c>
      <c r="X192" s="229">
        <f t="shared" si="338"/>
        <v>9.120373111884879</v>
      </c>
      <c r="Y192" s="229">
        <f t="shared" si="338"/>
        <v>8.7235170895570935</v>
      </c>
      <c r="Z192" s="229">
        <f t="shared" si="338"/>
        <v>8.3751438967018892</v>
      </c>
      <c r="AA192" s="229">
        <f t="shared" si="338"/>
        <v>8.0660968661490315</v>
      </c>
      <c r="AB192" s="229">
        <f t="shared" si="338"/>
        <v>7.7890928186694506</v>
      </c>
      <c r="AC192" s="229">
        <f t="shared" si="338"/>
        <v>7.5391907415663111</v>
      </c>
      <c r="AD192" s="229">
        <f t="shared" si="338"/>
        <v>7.3121075232639612</v>
      </c>
      <c r="AE192" s="229">
        <f t="shared" si="338"/>
        <v>7.1046189497784518</v>
      </c>
      <c r="AF192" s="229">
        <f t="shared" si="338"/>
        <v>4.0627495928667843</v>
      </c>
      <c r="AG192" s="229">
        <f t="shared" si="338"/>
        <v>3.0034444976291694</v>
      </c>
      <c r="AH192" s="229">
        <f t="shared" si="338"/>
        <v>1.9748513212083068</v>
      </c>
      <c r="AI192" s="229">
        <f t="shared" si="338"/>
        <v>0.9744442767817223</v>
      </c>
      <c r="AJ192" s="229">
        <f t="shared" si="338"/>
        <v>0</v>
      </c>
      <c r="AK192" s="229">
        <f t="shared" si="338"/>
        <v>0</v>
      </c>
      <c r="AL192" s="229">
        <f t="shared" si="338"/>
        <v>0</v>
      </c>
      <c r="AM192" s="229">
        <f t="shared" si="338"/>
        <v>0</v>
      </c>
      <c r="AN192" s="229">
        <f t="shared" si="338"/>
        <v>0</v>
      </c>
      <c r="AO192" s="229">
        <f t="shared" si="338"/>
        <v>0</v>
      </c>
      <c r="AP192" s="229">
        <f t="shared" si="338"/>
        <v>0</v>
      </c>
      <c r="AQ192" s="229">
        <f t="shared" si="338"/>
        <v>0</v>
      </c>
      <c r="AR192" s="229">
        <f t="shared" si="338"/>
        <v>0</v>
      </c>
      <c r="AS192" s="229">
        <f t="shared" si="338"/>
        <v>0</v>
      </c>
      <c r="AT192" s="229">
        <f t="shared" si="338"/>
        <v>0</v>
      </c>
      <c r="AU192" s="229">
        <f t="shared" si="338"/>
        <v>0</v>
      </c>
      <c r="AV192" s="229">
        <f t="shared" si="338"/>
        <v>0</v>
      </c>
      <c r="AW192" s="229">
        <f t="shared" si="338"/>
        <v>0</v>
      </c>
      <c r="AX192" s="229">
        <f t="shared" si="338"/>
        <v>0</v>
      </c>
      <c r="AY192" s="229">
        <f t="shared" si="338"/>
        <v>0</v>
      </c>
      <c r="AZ192" s="229">
        <f t="shared" si="338"/>
        <v>0</v>
      </c>
      <c r="BA192" s="229">
        <f t="shared" si="338"/>
        <v>0</v>
      </c>
      <c r="BB192" s="229">
        <f t="shared" si="338"/>
        <v>0</v>
      </c>
      <c r="BC192" s="229">
        <f t="shared" si="338"/>
        <v>0</v>
      </c>
      <c r="BD192" s="229">
        <f t="shared" si="338"/>
        <v>0</v>
      </c>
      <c r="BE192" s="229">
        <f t="shared" si="338"/>
        <v>0</v>
      </c>
      <c r="BF192" s="229">
        <f t="shared" si="338"/>
        <v>0</v>
      </c>
      <c r="BG192" s="229">
        <f t="shared" si="338"/>
        <v>0</v>
      </c>
      <c r="BH192" s="229">
        <f t="shared" si="338"/>
        <v>0</v>
      </c>
      <c r="BI192" s="229">
        <f t="shared" si="338"/>
        <v>0</v>
      </c>
      <c r="BJ192" s="229">
        <f t="shared" si="338"/>
        <v>0</v>
      </c>
      <c r="BK192" s="230">
        <f t="shared" si="338"/>
        <v>0</v>
      </c>
    </row>
    <row r="193" spans="9:63">
      <c r="I193" s="31">
        <v>1</v>
      </c>
      <c r="L193" s="64">
        <f>LOOKUP(L80,$K$56:$BK$56,$K$60:$BK$60)</f>
        <v>1.9258591270049308</v>
      </c>
      <c r="M193" s="144">
        <f t="shared" ref="M193:BK193" si="339">LOOKUP(M80,$K$56:$BK$56,$K$60:$BK$60)</f>
        <v>0.88900631243690853</v>
      </c>
      <c r="N193" s="144">
        <f t="shared" si="339"/>
        <v>0.6829003022646829</v>
      </c>
      <c r="O193" s="144">
        <f t="shared" si="339"/>
        <v>0.57604495485966867</v>
      </c>
      <c r="P193" s="144">
        <f t="shared" si="339"/>
        <v>0.50754481180037436</v>
      </c>
      <c r="Q193" s="144">
        <f t="shared" si="339"/>
        <v>0.45892154717422362</v>
      </c>
      <c r="R193" s="144">
        <f t="shared" si="339"/>
        <v>0.42206352148133941</v>
      </c>
      <c r="S193" s="144">
        <f t="shared" si="339"/>
        <v>0.39290279113301169</v>
      </c>
      <c r="T193" s="144">
        <f t="shared" si="339"/>
        <v>0.36901679669198162</v>
      </c>
      <c r="U193" s="144">
        <f t="shared" si="339"/>
        <v>0.3490397850767421</v>
      </c>
      <c r="V193" s="144">
        <f t="shared" si="339"/>
        <v>0.33199370266062878</v>
      </c>
      <c r="W193" s="144">
        <f t="shared" si="339"/>
        <v>0.31723943162399526</v>
      </c>
      <c r="X193" s="144">
        <f t="shared" si="339"/>
        <v>0.30426785397262401</v>
      </c>
      <c r="Y193" s="144">
        <f t="shared" si="339"/>
        <v>0.29277949968509431</v>
      </c>
      <c r="Z193" s="144">
        <f t="shared" si="339"/>
        <v>0.28250182874437674</v>
      </c>
      <c r="AA193" s="144">
        <f t="shared" si="339"/>
        <v>0.273245200837056</v>
      </c>
      <c r="AB193" s="144">
        <f t="shared" si="339"/>
        <v>0.26482627380940371</v>
      </c>
      <c r="AC193" s="144">
        <f t="shared" si="339"/>
        <v>0.25714829410521561</v>
      </c>
      <c r="AD193" s="144">
        <f t="shared" si="339"/>
        <v>0.25010176110664617</v>
      </c>
      <c r="AE193" s="144">
        <f t="shared" si="339"/>
        <v>0.24361106919543057</v>
      </c>
      <c r="AF193" s="144">
        <f t="shared" si="339"/>
        <v>0</v>
      </c>
      <c r="AG193" s="144">
        <f t="shared" si="339"/>
        <v>0</v>
      </c>
      <c r="AH193" s="144">
        <f t="shared" si="339"/>
        <v>0</v>
      </c>
      <c r="AI193" s="144">
        <f t="shared" si="339"/>
        <v>0</v>
      </c>
      <c r="AJ193" s="144">
        <f t="shared" si="339"/>
        <v>0</v>
      </c>
      <c r="AK193" s="144">
        <f t="shared" si="339"/>
        <v>0</v>
      </c>
      <c r="AL193" s="144">
        <f t="shared" si="339"/>
        <v>0</v>
      </c>
      <c r="AM193" s="144">
        <f t="shared" si="339"/>
        <v>0</v>
      </c>
      <c r="AN193" s="144">
        <f t="shared" si="339"/>
        <v>0</v>
      </c>
      <c r="AO193" s="144">
        <f t="shared" si="339"/>
        <v>0</v>
      </c>
      <c r="AP193" s="144">
        <f t="shared" si="339"/>
        <v>0</v>
      </c>
      <c r="AQ193" s="144">
        <f t="shared" si="339"/>
        <v>0</v>
      </c>
      <c r="AR193" s="144">
        <f t="shared" si="339"/>
        <v>0</v>
      </c>
      <c r="AS193" s="144">
        <f t="shared" si="339"/>
        <v>0</v>
      </c>
      <c r="AT193" s="144">
        <f t="shared" si="339"/>
        <v>0</v>
      </c>
      <c r="AU193" s="144">
        <f t="shared" si="339"/>
        <v>0</v>
      </c>
      <c r="AV193" s="144">
        <f t="shared" si="339"/>
        <v>0</v>
      </c>
      <c r="AW193" s="144">
        <f t="shared" si="339"/>
        <v>0</v>
      </c>
      <c r="AX193" s="144">
        <f t="shared" si="339"/>
        <v>0</v>
      </c>
      <c r="AY193" s="144">
        <f t="shared" si="339"/>
        <v>0</v>
      </c>
      <c r="AZ193" s="144">
        <f t="shared" si="339"/>
        <v>0</v>
      </c>
      <c r="BA193" s="144">
        <f t="shared" si="339"/>
        <v>0</v>
      </c>
      <c r="BB193" s="144">
        <f t="shared" si="339"/>
        <v>0</v>
      </c>
      <c r="BC193" s="144">
        <f t="shared" si="339"/>
        <v>0</v>
      </c>
      <c r="BD193" s="144">
        <f t="shared" si="339"/>
        <v>0</v>
      </c>
      <c r="BE193" s="144">
        <f t="shared" si="339"/>
        <v>0</v>
      </c>
      <c r="BF193" s="144">
        <f t="shared" si="339"/>
        <v>0</v>
      </c>
      <c r="BG193" s="144">
        <f t="shared" si="339"/>
        <v>0</v>
      </c>
      <c r="BH193" s="144">
        <f t="shared" si="339"/>
        <v>0</v>
      </c>
      <c r="BI193" s="144">
        <f t="shared" si="339"/>
        <v>0</v>
      </c>
      <c r="BJ193" s="144">
        <f t="shared" si="339"/>
        <v>0</v>
      </c>
      <c r="BK193" s="36">
        <f t="shared" si="339"/>
        <v>0</v>
      </c>
    </row>
    <row r="194" spans="9:63">
      <c r="I194" s="31">
        <v>2</v>
      </c>
      <c r="L194" s="225">
        <f t="shared" ref="L194:L257" si="340">LOOKUP(L81,$K$56:$BK$56,$K$60:$BK$60)</f>
        <v>1.9258591270049308</v>
      </c>
      <c r="M194" s="164">
        <f t="shared" ref="M194:BK194" si="341">LOOKUP(M81,$K$56:$BK$56,$K$60:$BK$60)</f>
        <v>0.88900631243690853</v>
      </c>
      <c r="N194" s="164">
        <f t="shared" si="341"/>
        <v>0.6829003022646829</v>
      </c>
      <c r="O194" s="164">
        <f t="shared" si="341"/>
        <v>0.57604495485966867</v>
      </c>
      <c r="P194" s="164">
        <f t="shared" si="341"/>
        <v>0.50754481180037436</v>
      </c>
      <c r="Q194" s="164">
        <f t="shared" si="341"/>
        <v>0.45892154717422362</v>
      </c>
      <c r="R194" s="164">
        <f t="shared" si="341"/>
        <v>0.42206352148133941</v>
      </c>
      <c r="S194" s="164">
        <f t="shared" si="341"/>
        <v>0.39290279113301169</v>
      </c>
      <c r="T194" s="164">
        <f t="shared" si="341"/>
        <v>0.36901679669198162</v>
      </c>
      <c r="U194" s="164">
        <f t="shared" si="341"/>
        <v>0.3490397850767421</v>
      </c>
      <c r="V194" s="164">
        <f t="shared" si="341"/>
        <v>0.33199370266062878</v>
      </c>
      <c r="W194" s="164">
        <f t="shared" si="341"/>
        <v>0.31723943162399526</v>
      </c>
      <c r="X194" s="164">
        <f t="shared" si="341"/>
        <v>0.30426785397262401</v>
      </c>
      <c r="Y194" s="164">
        <f t="shared" si="341"/>
        <v>0.29277949968509431</v>
      </c>
      <c r="Z194" s="164">
        <f t="shared" si="341"/>
        <v>0.28250182874437674</v>
      </c>
      <c r="AA194" s="164">
        <f t="shared" si="341"/>
        <v>0.273245200837056</v>
      </c>
      <c r="AB194" s="164">
        <f t="shared" si="341"/>
        <v>0.26482627380940371</v>
      </c>
      <c r="AC194" s="164">
        <f t="shared" si="341"/>
        <v>0.25714829410521561</v>
      </c>
      <c r="AD194" s="164">
        <f t="shared" si="341"/>
        <v>0.25010176110664617</v>
      </c>
      <c r="AE194" s="164">
        <f t="shared" si="341"/>
        <v>0.24361106919543057</v>
      </c>
      <c r="AF194" s="164">
        <f t="shared" si="341"/>
        <v>0</v>
      </c>
      <c r="AG194" s="164">
        <f t="shared" si="341"/>
        <v>0</v>
      </c>
      <c r="AH194" s="164">
        <f t="shared" si="341"/>
        <v>0</v>
      </c>
      <c r="AI194" s="164">
        <f t="shared" si="341"/>
        <v>0</v>
      </c>
      <c r="AJ194" s="164">
        <f t="shared" si="341"/>
        <v>0</v>
      </c>
      <c r="AK194" s="164">
        <f t="shared" si="341"/>
        <v>0</v>
      </c>
      <c r="AL194" s="164">
        <f t="shared" si="341"/>
        <v>0</v>
      </c>
      <c r="AM194" s="164">
        <f t="shared" si="341"/>
        <v>0</v>
      </c>
      <c r="AN194" s="164">
        <f t="shared" si="341"/>
        <v>0</v>
      </c>
      <c r="AO194" s="164">
        <f t="shared" si="341"/>
        <v>0</v>
      </c>
      <c r="AP194" s="164">
        <f t="shared" si="341"/>
        <v>0</v>
      </c>
      <c r="AQ194" s="164">
        <f t="shared" si="341"/>
        <v>0</v>
      </c>
      <c r="AR194" s="164">
        <f t="shared" si="341"/>
        <v>0</v>
      </c>
      <c r="AS194" s="164">
        <f t="shared" si="341"/>
        <v>0</v>
      </c>
      <c r="AT194" s="164">
        <f t="shared" si="341"/>
        <v>0</v>
      </c>
      <c r="AU194" s="164">
        <f t="shared" si="341"/>
        <v>0</v>
      </c>
      <c r="AV194" s="164">
        <f t="shared" si="341"/>
        <v>0</v>
      </c>
      <c r="AW194" s="164">
        <f t="shared" si="341"/>
        <v>0</v>
      </c>
      <c r="AX194" s="164">
        <f t="shared" si="341"/>
        <v>0</v>
      </c>
      <c r="AY194" s="164">
        <f t="shared" si="341"/>
        <v>0</v>
      </c>
      <c r="AZ194" s="164">
        <f t="shared" si="341"/>
        <v>0</v>
      </c>
      <c r="BA194" s="164">
        <f t="shared" si="341"/>
        <v>0</v>
      </c>
      <c r="BB194" s="164">
        <f t="shared" si="341"/>
        <v>0</v>
      </c>
      <c r="BC194" s="164">
        <f t="shared" si="341"/>
        <v>0</v>
      </c>
      <c r="BD194" s="164">
        <f t="shared" si="341"/>
        <v>0</v>
      </c>
      <c r="BE194" s="164">
        <f t="shared" si="341"/>
        <v>0</v>
      </c>
      <c r="BF194" s="164">
        <f t="shared" si="341"/>
        <v>0</v>
      </c>
      <c r="BG194" s="164">
        <f t="shared" si="341"/>
        <v>0</v>
      </c>
      <c r="BH194" s="164">
        <f t="shared" si="341"/>
        <v>0</v>
      </c>
      <c r="BI194" s="164">
        <f t="shared" si="341"/>
        <v>0</v>
      </c>
      <c r="BJ194" s="164">
        <f t="shared" si="341"/>
        <v>0</v>
      </c>
      <c r="BK194" s="33">
        <f t="shared" si="341"/>
        <v>0</v>
      </c>
    </row>
    <row r="195" spans="9:63">
      <c r="I195" s="31">
        <v>3</v>
      </c>
      <c r="L195" s="225">
        <f t="shared" si="340"/>
        <v>1.9258591270049308</v>
      </c>
      <c r="M195" s="164">
        <f t="shared" ref="M195:BK195" si="342">LOOKUP(M82,$K$56:$BK$56,$K$60:$BK$60)</f>
        <v>0.88900631243690853</v>
      </c>
      <c r="N195" s="164">
        <f t="shared" si="342"/>
        <v>0.6829003022646829</v>
      </c>
      <c r="O195" s="164">
        <f t="shared" si="342"/>
        <v>0.57604495485966867</v>
      </c>
      <c r="P195" s="164">
        <f t="shared" si="342"/>
        <v>0.50754481180037436</v>
      </c>
      <c r="Q195" s="164">
        <f t="shared" si="342"/>
        <v>0.45892154717422362</v>
      </c>
      <c r="R195" s="164">
        <f t="shared" si="342"/>
        <v>0.42206352148133941</v>
      </c>
      <c r="S195" s="164">
        <f t="shared" si="342"/>
        <v>0.39290279113301169</v>
      </c>
      <c r="T195" s="164">
        <f t="shared" si="342"/>
        <v>0.36901679669198162</v>
      </c>
      <c r="U195" s="164">
        <f t="shared" si="342"/>
        <v>0.3490397850767421</v>
      </c>
      <c r="V195" s="164">
        <f t="shared" si="342"/>
        <v>0.33199370266062878</v>
      </c>
      <c r="W195" s="164">
        <f t="shared" si="342"/>
        <v>0.31723943162399526</v>
      </c>
      <c r="X195" s="164">
        <f t="shared" si="342"/>
        <v>0.30426785397262401</v>
      </c>
      <c r="Y195" s="164">
        <f t="shared" si="342"/>
        <v>0.29277949968509431</v>
      </c>
      <c r="Z195" s="164">
        <f t="shared" si="342"/>
        <v>0.28250182874437674</v>
      </c>
      <c r="AA195" s="164">
        <f t="shared" si="342"/>
        <v>0.273245200837056</v>
      </c>
      <c r="AB195" s="164">
        <f t="shared" si="342"/>
        <v>0.26482627380940371</v>
      </c>
      <c r="AC195" s="164">
        <f t="shared" si="342"/>
        <v>0.25714829410521561</v>
      </c>
      <c r="AD195" s="164">
        <f t="shared" si="342"/>
        <v>0.25010176110664617</v>
      </c>
      <c r="AE195" s="164">
        <f t="shared" si="342"/>
        <v>0.24361106919543057</v>
      </c>
      <c r="AF195" s="164">
        <f t="shared" si="342"/>
        <v>0</v>
      </c>
      <c r="AG195" s="164">
        <f t="shared" si="342"/>
        <v>0</v>
      </c>
      <c r="AH195" s="164">
        <f t="shared" si="342"/>
        <v>0</v>
      </c>
      <c r="AI195" s="164">
        <f t="shared" si="342"/>
        <v>0</v>
      </c>
      <c r="AJ195" s="164">
        <f t="shared" si="342"/>
        <v>0</v>
      </c>
      <c r="AK195" s="164">
        <f t="shared" si="342"/>
        <v>0</v>
      </c>
      <c r="AL195" s="164">
        <f t="shared" si="342"/>
        <v>0</v>
      </c>
      <c r="AM195" s="164">
        <f t="shared" si="342"/>
        <v>0</v>
      </c>
      <c r="AN195" s="164">
        <f t="shared" si="342"/>
        <v>0</v>
      </c>
      <c r="AO195" s="164">
        <f t="shared" si="342"/>
        <v>0</v>
      </c>
      <c r="AP195" s="164">
        <f t="shared" si="342"/>
        <v>0</v>
      </c>
      <c r="AQ195" s="164">
        <f t="shared" si="342"/>
        <v>0</v>
      </c>
      <c r="AR195" s="164">
        <f t="shared" si="342"/>
        <v>0</v>
      </c>
      <c r="AS195" s="164">
        <f t="shared" si="342"/>
        <v>0</v>
      </c>
      <c r="AT195" s="164">
        <f t="shared" si="342"/>
        <v>0</v>
      </c>
      <c r="AU195" s="164">
        <f t="shared" si="342"/>
        <v>0</v>
      </c>
      <c r="AV195" s="164">
        <f t="shared" si="342"/>
        <v>0</v>
      </c>
      <c r="AW195" s="164">
        <f t="shared" si="342"/>
        <v>0</v>
      </c>
      <c r="AX195" s="164">
        <f t="shared" si="342"/>
        <v>0</v>
      </c>
      <c r="AY195" s="164">
        <f t="shared" si="342"/>
        <v>0</v>
      </c>
      <c r="AZ195" s="164">
        <f t="shared" si="342"/>
        <v>0</v>
      </c>
      <c r="BA195" s="164">
        <f t="shared" si="342"/>
        <v>0</v>
      </c>
      <c r="BB195" s="164">
        <f t="shared" si="342"/>
        <v>0</v>
      </c>
      <c r="BC195" s="164">
        <f t="shared" si="342"/>
        <v>0</v>
      </c>
      <c r="BD195" s="164">
        <f t="shared" si="342"/>
        <v>0</v>
      </c>
      <c r="BE195" s="164">
        <f t="shared" si="342"/>
        <v>0</v>
      </c>
      <c r="BF195" s="164">
        <f t="shared" si="342"/>
        <v>0</v>
      </c>
      <c r="BG195" s="164">
        <f t="shared" si="342"/>
        <v>0</v>
      </c>
      <c r="BH195" s="164">
        <f t="shared" si="342"/>
        <v>0</v>
      </c>
      <c r="BI195" s="164">
        <f t="shared" si="342"/>
        <v>0</v>
      </c>
      <c r="BJ195" s="164">
        <f t="shared" si="342"/>
        <v>0</v>
      </c>
      <c r="BK195" s="33">
        <f t="shared" si="342"/>
        <v>0</v>
      </c>
    </row>
    <row r="196" spans="9:63">
      <c r="I196" s="31">
        <v>4</v>
      </c>
      <c r="L196" s="225">
        <f t="shared" si="340"/>
        <v>1.9258591270049308</v>
      </c>
      <c r="M196" s="164">
        <f t="shared" ref="M196:BK196" si="343">LOOKUP(M83,$K$56:$BK$56,$K$60:$BK$60)</f>
        <v>0.88900631243690853</v>
      </c>
      <c r="N196" s="164">
        <f t="shared" si="343"/>
        <v>0.6829003022646829</v>
      </c>
      <c r="O196" s="164">
        <f t="shared" si="343"/>
        <v>0.57604495485966867</v>
      </c>
      <c r="P196" s="164">
        <f t="shared" si="343"/>
        <v>0.50754481180037436</v>
      </c>
      <c r="Q196" s="164">
        <f t="shared" si="343"/>
        <v>0.45892154717422362</v>
      </c>
      <c r="R196" s="164">
        <f t="shared" si="343"/>
        <v>0.42206352148133941</v>
      </c>
      <c r="S196" s="164">
        <f t="shared" si="343"/>
        <v>0.39290279113301169</v>
      </c>
      <c r="T196" s="164">
        <f t="shared" si="343"/>
        <v>0.36901679669198162</v>
      </c>
      <c r="U196" s="164">
        <f t="shared" si="343"/>
        <v>0.3490397850767421</v>
      </c>
      <c r="V196" s="164">
        <f t="shared" si="343"/>
        <v>0.33199370266062878</v>
      </c>
      <c r="W196" s="164">
        <f t="shared" si="343"/>
        <v>0.31723943162399526</v>
      </c>
      <c r="X196" s="164">
        <f t="shared" si="343"/>
        <v>0.30426785397262401</v>
      </c>
      <c r="Y196" s="164">
        <f t="shared" si="343"/>
        <v>0.29277949968509431</v>
      </c>
      <c r="Z196" s="164">
        <f t="shared" si="343"/>
        <v>0.28250182874437674</v>
      </c>
      <c r="AA196" s="164">
        <f t="shared" si="343"/>
        <v>0.273245200837056</v>
      </c>
      <c r="AB196" s="164">
        <f t="shared" si="343"/>
        <v>0.26482627380940371</v>
      </c>
      <c r="AC196" s="164">
        <f t="shared" si="343"/>
        <v>0.25714829410521561</v>
      </c>
      <c r="AD196" s="164">
        <f t="shared" si="343"/>
        <v>0.25010176110664617</v>
      </c>
      <c r="AE196" s="164">
        <f t="shared" si="343"/>
        <v>0.24361106919543057</v>
      </c>
      <c r="AF196" s="164">
        <f t="shared" si="343"/>
        <v>0</v>
      </c>
      <c r="AG196" s="164">
        <f t="shared" si="343"/>
        <v>0</v>
      </c>
      <c r="AH196" s="164">
        <f t="shared" si="343"/>
        <v>0</v>
      </c>
      <c r="AI196" s="164">
        <f t="shared" si="343"/>
        <v>0</v>
      </c>
      <c r="AJ196" s="164">
        <f t="shared" si="343"/>
        <v>0</v>
      </c>
      <c r="AK196" s="164">
        <f t="shared" si="343"/>
        <v>0</v>
      </c>
      <c r="AL196" s="164">
        <f t="shared" si="343"/>
        <v>0</v>
      </c>
      <c r="AM196" s="164">
        <f t="shared" si="343"/>
        <v>0</v>
      </c>
      <c r="AN196" s="164">
        <f t="shared" si="343"/>
        <v>0</v>
      </c>
      <c r="AO196" s="164">
        <f t="shared" si="343"/>
        <v>0</v>
      </c>
      <c r="AP196" s="164">
        <f t="shared" si="343"/>
        <v>0</v>
      </c>
      <c r="AQ196" s="164">
        <f t="shared" si="343"/>
        <v>0</v>
      </c>
      <c r="AR196" s="164">
        <f t="shared" si="343"/>
        <v>0</v>
      </c>
      <c r="AS196" s="164">
        <f t="shared" si="343"/>
        <v>0</v>
      </c>
      <c r="AT196" s="164">
        <f t="shared" si="343"/>
        <v>0</v>
      </c>
      <c r="AU196" s="164">
        <f t="shared" si="343"/>
        <v>0</v>
      </c>
      <c r="AV196" s="164">
        <f t="shared" si="343"/>
        <v>0</v>
      </c>
      <c r="AW196" s="164">
        <f t="shared" si="343"/>
        <v>0</v>
      </c>
      <c r="AX196" s="164">
        <f t="shared" si="343"/>
        <v>0</v>
      </c>
      <c r="AY196" s="164">
        <f t="shared" si="343"/>
        <v>0</v>
      </c>
      <c r="AZ196" s="164">
        <f t="shared" si="343"/>
        <v>0</v>
      </c>
      <c r="BA196" s="164">
        <f t="shared" si="343"/>
        <v>0</v>
      </c>
      <c r="BB196" s="164">
        <f t="shared" si="343"/>
        <v>0</v>
      </c>
      <c r="BC196" s="164">
        <f t="shared" si="343"/>
        <v>0</v>
      </c>
      <c r="BD196" s="164">
        <f t="shared" si="343"/>
        <v>0</v>
      </c>
      <c r="BE196" s="164">
        <f t="shared" si="343"/>
        <v>0</v>
      </c>
      <c r="BF196" s="164">
        <f t="shared" si="343"/>
        <v>0</v>
      </c>
      <c r="BG196" s="164">
        <f t="shared" si="343"/>
        <v>0</v>
      </c>
      <c r="BH196" s="164">
        <f t="shared" si="343"/>
        <v>0</v>
      </c>
      <c r="BI196" s="164">
        <f t="shared" si="343"/>
        <v>0</v>
      </c>
      <c r="BJ196" s="164">
        <f t="shared" si="343"/>
        <v>0</v>
      </c>
      <c r="BK196" s="33">
        <f t="shared" si="343"/>
        <v>0</v>
      </c>
    </row>
    <row r="197" spans="9:63">
      <c r="I197" s="31">
        <v>5</v>
      </c>
      <c r="L197" s="225">
        <f t="shared" si="340"/>
        <v>1.9258591270049308</v>
      </c>
      <c r="M197" s="164">
        <f t="shared" ref="M197:BK197" si="344">LOOKUP(M84,$K$56:$BK$56,$K$60:$BK$60)</f>
        <v>0.88900631243690853</v>
      </c>
      <c r="N197" s="164">
        <f t="shared" si="344"/>
        <v>0.6829003022646829</v>
      </c>
      <c r="O197" s="164">
        <f t="shared" si="344"/>
        <v>0.57604495485966867</v>
      </c>
      <c r="P197" s="164">
        <f t="shared" si="344"/>
        <v>0.50754481180037436</v>
      </c>
      <c r="Q197" s="164">
        <f t="shared" si="344"/>
        <v>0.45892154717422362</v>
      </c>
      <c r="R197" s="164">
        <f t="shared" si="344"/>
        <v>0.42206352148133941</v>
      </c>
      <c r="S197" s="164">
        <f t="shared" si="344"/>
        <v>0.39290279113301169</v>
      </c>
      <c r="T197" s="164">
        <f t="shared" si="344"/>
        <v>0.36901679669198162</v>
      </c>
      <c r="U197" s="164">
        <f t="shared" si="344"/>
        <v>0.3490397850767421</v>
      </c>
      <c r="V197" s="164">
        <f t="shared" si="344"/>
        <v>0.33199370266062878</v>
      </c>
      <c r="W197" s="164">
        <f t="shared" si="344"/>
        <v>0.31723943162399526</v>
      </c>
      <c r="X197" s="164">
        <f t="shared" si="344"/>
        <v>0.30426785397262401</v>
      </c>
      <c r="Y197" s="164">
        <f t="shared" si="344"/>
        <v>0.29277949968509431</v>
      </c>
      <c r="Z197" s="164">
        <f t="shared" si="344"/>
        <v>0.28250182874437674</v>
      </c>
      <c r="AA197" s="164">
        <f t="shared" si="344"/>
        <v>0.273245200837056</v>
      </c>
      <c r="AB197" s="164">
        <f t="shared" si="344"/>
        <v>0.26482627380940371</v>
      </c>
      <c r="AC197" s="164">
        <f t="shared" si="344"/>
        <v>0.25714829410521561</v>
      </c>
      <c r="AD197" s="164">
        <f t="shared" si="344"/>
        <v>0.25010176110664617</v>
      </c>
      <c r="AE197" s="164">
        <f t="shared" si="344"/>
        <v>0.24361106919543057</v>
      </c>
      <c r="AF197" s="164">
        <f t="shared" si="344"/>
        <v>0</v>
      </c>
      <c r="AG197" s="164">
        <f t="shared" si="344"/>
        <v>0</v>
      </c>
      <c r="AH197" s="164">
        <f t="shared" si="344"/>
        <v>0</v>
      </c>
      <c r="AI197" s="164">
        <f t="shared" si="344"/>
        <v>0</v>
      </c>
      <c r="AJ197" s="164">
        <f t="shared" si="344"/>
        <v>0</v>
      </c>
      <c r="AK197" s="164">
        <f t="shared" si="344"/>
        <v>0</v>
      </c>
      <c r="AL197" s="164">
        <f t="shared" si="344"/>
        <v>0</v>
      </c>
      <c r="AM197" s="164">
        <f t="shared" si="344"/>
        <v>0</v>
      </c>
      <c r="AN197" s="164">
        <f t="shared" si="344"/>
        <v>0</v>
      </c>
      <c r="AO197" s="164">
        <f t="shared" si="344"/>
        <v>0</v>
      </c>
      <c r="AP197" s="164">
        <f t="shared" si="344"/>
        <v>0</v>
      </c>
      <c r="AQ197" s="164">
        <f t="shared" si="344"/>
        <v>0</v>
      </c>
      <c r="AR197" s="164">
        <f t="shared" si="344"/>
        <v>0</v>
      </c>
      <c r="AS197" s="164">
        <f t="shared" si="344"/>
        <v>0</v>
      </c>
      <c r="AT197" s="164">
        <f t="shared" si="344"/>
        <v>0</v>
      </c>
      <c r="AU197" s="164">
        <f t="shared" si="344"/>
        <v>0</v>
      </c>
      <c r="AV197" s="164">
        <f t="shared" si="344"/>
        <v>0</v>
      </c>
      <c r="AW197" s="164">
        <f t="shared" si="344"/>
        <v>0</v>
      </c>
      <c r="AX197" s="164">
        <f t="shared" si="344"/>
        <v>0</v>
      </c>
      <c r="AY197" s="164">
        <f t="shared" si="344"/>
        <v>0</v>
      </c>
      <c r="AZ197" s="164">
        <f t="shared" si="344"/>
        <v>0</v>
      </c>
      <c r="BA197" s="164">
        <f t="shared" si="344"/>
        <v>0</v>
      </c>
      <c r="BB197" s="164">
        <f t="shared" si="344"/>
        <v>0</v>
      </c>
      <c r="BC197" s="164">
        <f t="shared" si="344"/>
        <v>0</v>
      </c>
      <c r="BD197" s="164">
        <f t="shared" si="344"/>
        <v>0</v>
      </c>
      <c r="BE197" s="164">
        <f t="shared" si="344"/>
        <v>0</v>
      </c>
      <c r="BF197" s="164">
        <f t="shared" si="344"/>
        <v>0</v>
      </c>
      <c r="BG197" s="164">
        <f t="shared" si="344"/>
        <v>0</v>
      </c>
      <c r="BH197" s="164">
        <f t="shared" si="344"/>
        <v>0</v>
      </c>
      <c r="BI197" s="164">
        <f t="shared" si="344"/>
        <v>0</v>
      </c>
      <c r="BJ197" s="164">
        <f t="shared" si="344"/>
        <v>0</v>
      </c>
      <c r="BK197" s="33">
        <f t="shared" si="344"/>
        <v>0</v>
      </c>
    </row>
    <row r="198" spans="9:63">
      <c r="I198" s="31">
        <v>6</v>
      </c>
      <c r="L198" s="225">
        <f t="shared" si="340"/>
        <v>1.9258591270049308</v>
      </c>
      <c r="M198" s="164">
        <f t="shared" ref="M198:BK198" si="345">LOOKUP(M85,$K$56:$BK$56,$K$60:$BK$60)</f>
        <v>0.88900631243690853</v>
      </c>
      <c r="N198" s="164">
        <f t="shared" si="345"/>
        <v>0.6829003022646829</v>
      </c>
      <c r="O198" s="164">
        <f t="shared" si="345"/>
        <v>0.57604495485966867</v>
      </c>
      <c r="P198" s="164">
        <f t="shared" si="345"/>
        <v>0.50754481180037436</v>
      </c>
      <c r="Q198" s="164">
        <f t="shared" si="345"/>
        <v>0.45892154717422362</v>
      </c>
      <c r="R198" s="164">
        <f t="shared" si="345"/>
        <v>0.42206352148133941</v>
      </c>
      <c r="S198" s="164">
        <f t="shared" si="345"/>
        <v>0.39290279113301169</v>
      </c>
      <c r="T198" s="164">
        <f t="shared" si="345"/>
        <v>0.36901679669198162</v>
      </c>
      <c r="U198" s="164">
        <f t="shared" si="345"/>
        <v>0.3490397850767421</v>
      </c>
      <c r="V198" s="164">
        <f t="shared" si="345"/>
        <v>0.33199370266062878</v>
      </c>
      <c r="W198" s="164">
        <f t="shared" si="345"/>
        <v>0.31723943162399526</v>
      </c>
      <c r="X198" s="164">
        <f t="shared" si="345"/>
        <v>0.30426785397262401</v>
      </c>
      <c r="Y198" s="164">
        <f t="shared" si="345"/>
        <v>0.29277949968509431</v>
      </c>
      <c r="Z198" s="164">
        <f t="shared" si="345"/>
        <v>0.28250182874437674</v>
      </c>
      <c r="AA198" s="164">
        <f t="shared" si="345"/>
        <v>0.273245200837056</v>
      </c>
      <c r="AB198" s="164">
        <f t="shared" si="345"/>
        <v>0.26482627380940371</v>
      </c>
      <c r="AC198" s="164">
        <f t="shared" si="345"/>
        <v>0.25714829410521561</v>
      </c>
      <c r="AD198" s="164">
        <f t="shared" si="345"/>
        <v>0.25010176110664617</v>
      </c>
      <c r="AE198" s="164">
        <f t="shared" si="345"/>
        <v>0.24361106919543057</v>
      </c>
      <c r="AF198" s="164">
        <f t="shared" si="345"/>
        <v>0</v>
      </c>
      <c r="AG198" s="164">
        <f t="shared" si="345"/>
        <v>0</v>
      </c>
      <c r="AH198" s="164">
        <f t="shared" si="345"/>
        <v>0</v>
      </c>
      <c r="AI198" s="164">
        <f t="shared" si="345"/>
        <v>0</v>
      </c>
      <c r="AJ198" s="164">
        <f t="shared" si="345"/>
        <v>0</v>
      </c>
      <c r="AK198" s="164">
        <f t="shared" si="345"/>
        <v>0</v>
      </c>
      <c r="AL198" s="164">
        <f t="shared" si="345"/>
        <v>0</v>
      </c>
      <c r="AM198" s="164">
        <f t="shared" si="345"/>
        <v>0</v>
      </c>
      <c r="AN198" s="164">
        <f t="shared" si="345"/>
        <v>0</v>
      </c>
      <c r="AO198" s="164">
        <f t="shared" si="345"/>
        <v>0</v>
      </c>
      <c r="AP198" s="164">
        <f t="shared" si="345"/>
        <v>0</v>
      </c>
      <c r="AQ198" s="164">
        <f t="shared" si="345"/>
        <v>0</v>
      </c>
      <c r="AR198" s="164">
        <f t="shared" si="345"/>
        <v>0</v>
      </c>
      <c r="AS198" s="164">
        <f t="shared" si="345"/>
        <v>0</v>
      </c>
      <c r="AT198" s="164">
        <f t="shared" si="345"/>
        <v>0</v>
      </c>
      <c r="AU198" s="164">
        <f t="shared" si="345"/>
        <v>0</v>
      </c>
      <c r="AV198" s="164">
        <f t="shared" si="345"/>
        <v>0</v>
      </c>
      <c r="AW198" s="164">
        <f t="shared" si="345"/>
        <v>0</v>
      </c>
      <c r="AX198" s="164">
        <f t="shared" si="345"/>
        <v>0</v>
      </c>
      <c r="AY198" s="164">
        <f t="shared" si="345"/>
        <v>0</v>
      </c>
      <c r="AZ198" s="164">
        <f t="shared" si="345"/>
        <v>0</v>
      </c>
      <c r="BA198" s="164">
        <f t="shared" si="345"/>
        <v>0</v>
      </c>
      <c r="BB198" s="164">
        <f t="shared" si="345"/>
        <v>0</v>
      </c>
      <c r="BC198" s="164">
        <f t="shared" si="345"/>
        <v>0</v>
      </c>
      <c r="BD198" s="164">
        <f t="shared" si="345"/>
        <v>0</v>
      </c>
      <c r="BE198" s="164">
        <f t="shared" si="345"/>
        <v>0</v>
      </c>
      <c r="BF198" s="164">
        <f t="shared" si="345"/>
        <v>0</v>
      </c>
      <c r="BG198" s="164">
        <f t="shared" si="345"/>
        <v>0</v>
      </c>
      <c r="BH198" s="164">
        <f t="shared" si="345"/>
        <v>0</v>
      </c>
      <c r="BI198" s="164">
        <f t="shared" si="345"/>
        <v>0</v>
      </c>
      <c r="BJ198" s="164">
        <f t="shared" si="345"/>
        <v>0</v>
      </c>
      <c r="BK198" s="33">
        <f t="shared" si="345"/>
        <v>0</v>
      </c>
    </row>
    <row r="199" spans="9:63">
      <c r="I199" s="31">
        <v>7</v>
      </c>
      <c r="L199" s="225">
        <f t="shared" si="340"/>
        <v>1.9258591270049308</v>
      </c>
      <c r="M199" s="164">
        <f t="shared" ref="M199:BK199" si="346">LOOKUP(M86,$K$56:$BK$56,$K$60:$BK$60)</f>
        <v>0.88900631243690853</v>
      </c>
      <c r="N199" s="164">
        <f t="shared" si="346"/>
        <v>0.6829003022646829</v>
      </c>
      <c r="O199" s="164">
        <f t="shared" si="346"/>
        <v>0.57604495485966867</v>
      </c>
      <c r="P199" s="164">
        <f t="shared" si="346"/>
        <v>0.50754481180037436</v>
      </c>
      <c r="Q199" s="164">
        <f t="shared" si="346"/>
        <v>0.45892154717422362</v>
      </c>
      <c r="R199" s="164">
        <f t="shared" si="346"/>
        <v>0.42206352148133941</v>
      </c>
      <c r="S199" s="164">
        <f t="shared" si="346"/>
        <v>0.39290279113301169</v>
      </c>
      <c r="T199" s="164">
        <f t="shared" si="346"/>
        <v>0.36901679669198162</v>
      </c>
      <c r="U199" s="164">
        <f t="shared" si="346"/>
        <v>0.3490397850767421</v>
      </c>
      <c r="V199" s="164">
        <f t="shared" si="346"/>
        <v>0.33199370266062878</v>
      </c>
      <c r="W199" s="164">
        <f t="shared" si="346"/>
        <v>0.31723943162399526</v>
      </c>
      <c r="X199" s="164">
        <f t="shared" si="346"/>
        <v>0.30426785397262401</v>
      </c>
      <c r="Y199" s="164">
        <f t="shared" si="346"/>
        <v>0.29277949968509431</v>
      </c>
      <c r="Z199" s="164">
        <f t="shared" si="346"/>
        <v>0.28250182874437674</v>
      </c>
      <c r="AA199" s="164">
        <f t="shared" si="346"/>
        <v>0.273245200837056</v>
      </c>
      <c r="AB199" s="164">
        <f t="shared" si="346"/>
        <v>0.26482627380940371</v>
      </c>
      <c r="AC199" s="164">
        <f t="shared" si="346"/>
        <v>0.25714829410521561</v>
      </c>
      <c r="AD199" s="164">
        <f t="shared" si="346"/>
        <v>0.25010176110664617</v>
      </c>
      <c r="AE199" s="164">
        <f t="shared" si="346"/>
        <v>0.24361106919543057</v>
      </c>
      <c r="AF199" s="164">
        <f t="shared" si="346"/>
        <v>0</v>
      </c>
      <c r="AG199" s="164">
        <f t="shared" si="346"/>
        <v>0</v>
      </c>
      <c r="AH199" s="164">
        <f t="shared" si="346"/>
        <v>0</v>
      </c>
      <c r="AI199" s="164">
        <f t="shared" si="346"/>
        <v>0</v>
      </c>
      <c r="AJ199" s="164">
        <f t="shared" si="346"/>
        <v>0</v>
      </c>
      <c r="AK199" s="164">
        <f t="shared" si="346"/>
        <v>0</v>
      </c>
      <c r="AL199" s="164">
        <f t="shared" si="346"/>
        <v>0</v>
      </c>
      <c r="AM199" s="164">
        <f t="shared" si="346"/>
        <v>0</v>
      </c>
      <c r="AN199" s="164">
        <f t="shared" si="346"/>
        <v>0</v>
      </c>
      <c r="AO199" s="164">
        <f t="shared" si="346"/>
        <v>0</v>
      </c>
      <c r="AP199" s="164">
        <f t="shared" si="346"/>
        <v>0</v>
      </c>
      <c r="AQ199" s="164">
        <f t="shared" si="346"/>
        <v>0</v>
      </c>
      <c r="AR199" s="164">
        <f t="shared" si="346"/>
        <v>0</v>
      </c>
      <c r="AS199" s="164">
        <f t="shared" si="346"/>
        <v>0</v>
      </c>
      <c r="AT199" s="164">
        <f t="shared" si="346"/>
        <v>0</v>
      </c>
      <c r="AU199" s="164">
        <f t="shared" si="346"/>
        <v>0</v>
      </c>
      <c r="AV199" s="164">
        <f t="shared" si="346"/>
        <v>0</v>
      </c>
      <c r="AW199" s="164">
        <f t="shared" si="346"/>
        <v>0</v>
      </c>
      <c r="AX199" s="164">
        <f t="shared" si="346"/>
        <v>0</v>
      </c>
      <c r="AY199" s="164">
        <f t="shared" si="346"/>
        <v>0</v>
      </c>
      <c r="AZ199" s="164">
        <f t="shared" si="346"/>
        <v>0</v>
      </c>
      <c r="BA199" s="164">
        <f t="shared" si="346"/>
        <v>0</v>
      </c>
      <c r="BB199" s="164">
        <f t="shared" si="346"/>
        <v>0</v>
      </c>
      <c r="BC199" s="164">
        <f t="shared" si="346"/>
        <v>0</v>
      </c>
      <c r="BD199" s="164">
        <f t="shared" si="346"/>
        <v>0</v>
      </c>
      <c r="BE199" s="164">
        <f t="shared" si="346"/>
        <v>0</v>
      </c>
      <c r="BF199" s="164">
        <f t="shared" si="346"/>
        <v>0</v>
      </c>
      <c r="BG199" s="164">
        <f t="shared" si="346"/>
        <v>0</v>
      </c>
      <c r="BH199" s="164">
        <f t="shared" si="346"/>
        <v>0</v>
      </c>
      <c r="BI199" s="164">
        <f t="shared" si="346"/>
        <v>0</v>
      </c>
      <c r="BJ199" s="164">
        <f t="shared" si="346"/>
        <v>0</v>
      </c>
      <c r="BK199" s="33">
        <f t="shared" si="346"/>
        <v>0</v>
      </c>
    </row>
    <row r="200" spans="9:63">
      <c r="I200" s="31">
        <v>8</v>
      </c>
      <c r="L200" s="225">
        <f t="shared" si="340"/>
        <v>1.9258591270049308</v>
      </c>
      <c r="M200" s="164">
        <f t="shared" ref="M200:BK200" si="347">LOOKUP(M87,$K$56:$BK$56,$K$60:$BK$60)</f>
        <v>0.88900631243690853</v>
      </c>
      <c r="N200" s="164">
        <f t="shared" si="347"/>
        <v>0.6829003022646829</v>
      </c>
      <c r="O200" s="164">
        <f t="shared" si="347"/>
        <v>0.57604495485966867</v>
      </c>
      <c r="P200" s="164">
        <f t="shared" si="347"/>
        <v>0.50754481180037436</v>
      </c>
      <c r="Q200" s="164">
        <f t="shared" si="347"/>
        <v>0.45892154717422362</v>
      </c>
      <c r="R200" s="164">
        <f t="shared" si="347"/>
        <v>0.42206352148133941</v>
      </c>
      <c r="S200" s="164">
        <f t="shared" si="347"/>
        <v>0.39290279113301169</v>
      </c>
      <c r="T200" s="164">
        <f t="shared" si="347"/>
        <v>0.36901679669198162</v>
      </c>
      <c r="U200" s="164">
        <f t="shared" si="347"/>
        <v>0.3490397850767421</v>
      </c>
      <c r="V200" s="164">
        <f t="shared" si="347"/>
        <v>0.33199370266062878</v>
      </c>
      <c r="W200" s="164">
        <f t="shared" si="347"/>
        <v>0.31723943162399526</v>
      </c>
      <c r="X200" s="164">
        <f t="shared" si="347"/>
        <v>0.30426785397262401</v>
      </c>
      <c r="Y200" s="164">
        <f t="shared" si="347"/>
        <v>0.29277949968509431</v>
      </c>
      <c r="Z200" s="164">
        <f t="shared" si="347"/>
        <v>0.28250182874437674</v>
      </c>
      <c r="AA200" s="164">
        <f t="shared" si="347"/>
        <v>0.273245200837056</v>
      </c>
      <c r="AB200" s="164">
        <f t="shared" si="347"/>
        <v>0.26482627380940371</v>
      </c>
      <c r="AC200" s="164">
        <f t="shared" si="347"/>
        <v>0.25714829410521561</v>
      </c>
      <c r="AD200" s="164">
        <f t="shared" si="347"/>
        <v>0.25010176110664617</v>
      </c>
      <c r="AE200" s="164">
        <f t="shared" si="347"/>
        <v>0.24361106919543057</v>
      </c>
      <c r="AF200" s="164">
        <f t="shared" si="347"/>
        <v>0</v>
      </c>
      <c r="AG200" s="164">
        <f t="shared" si="347"/>
        <v>0</v>
      </c>
      <c r="AH200" s="164">
        <f t="shared" si="347"/>
        <v>0</v>
      </c>
      <c r="AI200" s="164">
        <f t="shared" si="347"/>
        <v>0</v>
      </c>
      <c r="AJ200" s="164">
        <f t="shared" si="347"/>
        <v>0</v>
      </c>
      <c r="AK200" s="164">
        <f t="shared" si="347"/>
        <v>0</v>
      </c>
      <c r="AL200" s="164">
        <f t="shared" si="347"/>
        <v>0</v>
      </c>
      <c r="AM200" s="164">
        <f t="shared" si="347"/>
        <v>0</v>
      </c>
      <c r="AN200" s="164">
        <f t="shared" si="347"/>
        <v>0</v>
      </c>
      <c r="AO200" s="164">
        <f t="shared" si="347"/>
        <v>0</v>
      </c>
      <c r="AP200" s="164">
        <f t="shared" si="347"/>
        <v>0</v>
      </c>
      <c r="AQ200" s="164">
        <f t="shared" si="347"/>
        <v>0</v>
      </c>
      <c r="AR200" s="164">
        <f t="shared" si="347"/>
        <v>0</v>
      </c>
      <c r="AS200" s="164">
        <f t="shared" si="347"/>
        <v>0</v>
      </c>
      <c r="AT200" s="164">
        <f t="shared" si="347"/>
        <v>0</v>
      </c>
      <c r="AU200" s="164">
        <f t="shared" si="347"/>
        <v>0</v>
      </c>
      <c r="AV200" s="164">
        <f t="shared" si="347"/>
        <v>0</v>
      </c>
      <c r="AW200" s="164">
        <f t="shared" si="347"/>
        <v>0</v>
      </c>
      <c r="AX200" s="164">
        <f t="shared" si="347"/>
        <v>0</v>
      </c>
      <c r="AY200" s="164">
        <f t="shared" si="347"/>
        <v>0</v>
      </c>
      <c r="AZ200" s="164">
        <f t="shared" si="347"/>
        <v>0</v>
      </c>
      <c r="BA200" s="164">
        <f t="shared" si="347"/>
        <v>0</v>
      </c>
      <c r="BB200" s="164">
        <f t="shared" si="347"/>
        <v>0</v>
      </c>
      <c r="BC200" s="164">
        <f t="shared" si="347"/>
        <v>0</v>
      </c>
      <c r="BD200" s="164">
        <f t="shared" si="347"/>
        <v>0</v>
      </c>
      <c r="BE200" s="164">
        <f t="shared" si="347"/>
        <v>0</v>
      </c>
      <c r="BF200" s="164">
        <f t="shared" si="347"/>
        <v>0</v>
      </c>
      <c r="BG200" s="164">
        <f t="shared" si="347"/>
        <v>0</v>
      </c>
      <c r="BH200" s="164">
        <f t="shared" si="347"/>
        <v>0</v>
      </c>
      <c r="BI200" s="164">
        <f t="shared" si="347"/>
        <v>0</v>
      </c>
      <c r="BJ200" s="164">
        <f t="shared" si="347"/>
        <v>0</v>
      </c>
      <c r="BK200" s="33">
        <f t="shared" si="347"/>
        <v>0</v>
      </c>
    </row>
    <row r="201" spans="9:63">
      <c r="I201" s="31">
        <v>9</v>
      </c>
      <c r="L201" s="225">
        <f t="shared" si="340"/>
        <v>1.9258591270049308</v>
      </c>
      <c r="M201" s="164">
        <f t="shared" ref="M201:BK201" si="348">LOOKUP(M88,$K$56:$BK$56,$K$60:$BK$60)</f>
        <v>0.88900631243690853</v>
      </c>
      <c r="N201" s="164">
        <f t="shared" si="348"/>
        <v>0.6829003022646829</v>
      </c>
      <c r="O201" s="164">
        <f t="shared" si="348"/>
        <v>0.57604495485966867</v>
      </c>
      <c r="P201" s="164">
        <f t="shared" si="348"/>
        <v>0.50754481180037436</v>
      </c>
      <c r="Q201" s="164">
        <f t="shared" si="348"/>
        <v>0.45892154717422362</v>
      </c>
      <c r="R201" s="164">
        <f t="shared" si="348"/>
        <v>0.42206352148133941</v>
      </c>
      <c r="S201" s="164">
        <f t="shared" si="348"/>
        <v>0.39290279113301169</v>
      </c>
      <c r="T201" s="164">
        <f t="shared" si="348"/>
        <v>0.36901679669198162</v>
      </c>
      <c r="U201" s="164">
        <f t="shared" si="348"/>
        <v>0.3490397850767421</v>
      </c>
      <c r="V201" s="164">
        <f t="shared" si="348"/>
        <v>0.33199370266062878</v>
      </c>
      <c r="W201" s="164">
        <f t="shared" si="348"/>
        <v>0.31723943162399526</v>
      </c>
      <c r="X201" s="164">
        <f t="shared" si="348"/>
        <v>0.30426785397262401</v>
      </c>
      <c r="Y201" s="164">
        <f t="shared" si="348"/>
        <v>0.29277949968509431</v>
      </c>
      <c r="Z201" s="164">
        <f t="shared" si="348"/>
        <v>0.28250182874437674</v>
      </c>
      <c r="AA201" s="164">
        <f t="shared" si="348"/>
        <v>0.273245200837056</v>
      </c>
      <c r="AB201" s="164">
        <f t="shared" si="348"/>
        <v>0.26482627380940371</v>
      </c>
      <c r="AC201" s="164">
        <f t="shared" si="348"/>
        <v>0.25714829410521561</v>
      </c>
      <c r="AD201" s="164">
        <f t="shared" si="348"/>
        <v>0.25010176110664617</v>
      </c>
      <c r="AE201" s="164">
        <f t="shared" si="348"/>
        <v>0.24361106919543057</v>
      </c>
      <c r="AF201" s="164">
        <f t="shared" si="348"/>
        <v>0</v>
      </c>
      <c r="AG201" s="164">
        <f t="shared" si="348"/>
        <v>0</v>
      </c>
      <c r="AH201" s="164">
        <f t="shared" si="348"/>
        <v>0</v>
      </c>
      <c r="AI201" s="164">
        <f t="shared" si="348"/>
        <v>0</v>
      </c>
      <c r="AJ201" s="164">
        <f t="shared" si="348"/>
        <v>0</v>
      </c>
      <c r="AK201" s="164">
        <f t="shared" si="348"/>
        <v>0</v>
      </c>
      <c r="AL201" s="164">
        <f t="shared" si="348"/>
        <v>0</v>
      </c>
      <c r="AM201" s="164">
        <f t="shared" si="348"/>
        <v>0</v>
      </c>
      <c r="AN201" s="164">
        <f t="shared" si="348"/>
        <v>0</v>
      </c>
      <c r="AO201" s="164">
        <f t="shared" si="348"/>
        <v>0</v>
      </c>
      <c r="AP201" s="164">
        <f t="shared" si="348"/>
        <v>0</v>
      </c>
      <c r="AQ201" s="164">
        <f t="shared" si="348"/>
        <v>0</v>
      </c>
      <c r="AR201" s="164">
        <f t="shared" si="348"/>
        <v>0</v>
      </c>
      <c r="AS201" s="164">
        <f t="shared" si="348"/>
        <v>0</v>
      </c>
      <c r="AT201" s="164">
        <f t="shared" si="348"/>
        <v>0</v>
      </c>
      <c r="AU201" s="164">
        <f t="shared" si="348"/>
        <v>0</v>
      </c>
      <c r="AV201" s="164">
        <f t="shared" si="348"/>
        <v>0</v>
      </c>
      <c r="AW201" s="164">
        <f t="shared" si="348"/>
        <v>0</v>
      </c>
      <c r="AX201" s="164">
        <f t="shared" si="348"/>
        <v>0</v>
      </c>
      <c r="AY201" s="164">
        <f t="shared" si="348"/>
        <v>0</v>
      </c>
      <c r="AZ201" s="164">
        <f t="shared" si="348"/>
        <v>0</v>
      </c>
      <c r="BA201" s="164">
        <f t="shared" si="348"/>
        <v>0</v>
      </c>
      <c r="BB201" s="164">
        <f t="shared" si="348"/>
        <v>0</v>
      </c>
      <c r="BC201" s="164">
        <f t="shared" si="348"/>
        <v>0</v>
      </c>
      <c r="BD201" s="164">
        <f t="shared" si="348"/>
        <v>0</v>
      </c>
      <c r="BE201" s="164">
        <f t="shared" si="348"/>
        <v>0</v>
      </c>
      <c r="BF201" s="164">
        <f t="shared" si="348"/>
        <v>0</v>
      </c>
      <c r="BG201" s="164">
        <f t="shared" si="348"/>
        <v>0</v>
      </c>
      <c r="BH201" s="164">
        <f t="shared" si="348"/>
        <v>0</v>
      </c>
      <c r="BI201" s="164">
        <f t="shared" si="348"/>
        <v>0</v>
      </c>
      <c r="BJ201" s="164">
        <f t="shared" si="348"/>
        <v>0</v>
      </c>
      <c r="BK201" s="33">
        <f t="shared" si="348"/>
        <v>0</v>
      </c>
    </row>
    <row r="202" spans="9:63">
      <c r="I202" s="31">
        <v>10</v>
      </c>
      <c r="L202" s="225">
        <f t="shared" si="340"/>
        <v>1.9258591270049308</v>
      </c>
      <c r="M202" s="164">
        <f t="shared" ref="M202:BK202" si="349">LOOKUP(M89,$K$56:$BK$56,$K$60:$BK$60)</f>
        <v>0.88900631243690853</v>
      </c>
      <c r="N202" s="164">
        <f t="shared" si="349"/>
        <v>0.6829003022646829</v>
      </c>
      <c r="O202" s="164">
        <f t="shared" si="349"/>
        <v>0.57604495485966867</v>
      </c>
      <c r="P202" s="164">
        <f t="shared" si="349"/>
        <v>0.50754481180037436</v>
      </c>
      <c r="Q202" s="164">
        <f t="shared" si="349"/>
        <v>0.45892154717422362</v>
      </c>
      <c r="R202" s="164">
        <f t="shared" si="349"/>
        <v>0.42206352148133941</v>
      </c>
      <c r="S202" s="164">
        <f t="shared" si="349"/>
        <v>0.39290279113301169</v>
      </c>
      <c r="T202" s="164">
        <f t="shared" si="349"/>
        <v>0.36901679669198162</v>
      </c>
      <c r="U202" s="164">
        <f t="shared" si="349"/>
        <v>0.3490397850767421</v>
      </c>
      <c r="V202" s="164">
        <f t="shared" si="349"/>
        <v>0.33199370266062878</v>
      </c>
      <c r="W202" s="164">
        <f t="shared" si="349"/>
        <v>0.31723943162399526</v>
      </c>
      <c r="X202" s="164">
        <f t="shared" si="349"/>
        <v>0.30426785397262401</v>
      </c>
      <c r="Y202" s="164">
        <f t="shared" si="349"/>
        <v>0.29277949968509431</v>
      </c>
      <c r="Z202" s="164">
        <f t="shared" si="349"/>
        <v>0.28250182874437674</v>
      </c>
      <c r="AA202" s="164">
        <f t="shared" si="349"/>
        <v>0.273245200837056</v>
      </c>
      <c r="AB202" s="164">
        <f t="shared" si="349"/>
        <v>0.26482627380940371</v>
      </c>
      <c r="AC202" s="164">
        <f t="shared" si="349"/>
        <v>0.25714829410521561</v>
      </c>
      <c r="AD202" s="164">
        <f t="shared" si="349"/>
        <v>0.25010176110664617</v>
      </c>
      <c r="AE202" s="164">
        <f t="shared" si="349"/>
        <v>0.24361106919543057</v>
      </c>
      <c r="AF202" s="164">
        <f t="shared" si="349"/>
        <v>0</v>
      </c>
      <c r="AG202" s="164">
        <f t="shared" si="349"/>
        <v>0</v>
      </c>
      <c r="AH202" s="164">
        <f t="shared" si="349"/>
        <v>0</v>
      </c>
      <c r="AI202" s="164">
        <f t="shared" si="349"/>
        <v>0</v>
      </c>
      <c r="AJ202" s="164">
        <f t="shared" si="349"/>
        <v>0</v>
      </c>
      <c r="AK202" s="164">
        <f t="shared" si="349"/>
        <v>0</v>
      </c>
      <c r="AL202" s="164">
        <f t="shared" si="349"/>
        <v>0</v>
      </c>
      <c r="AM202" s="164">
        <f t="shared" si="349"/>
        <v>0</v>
      </c>
      <c r="AN202" s="164">
        <f t="shared" si="349"/>
        <v>0</v>
      </c>
      <c r="AO202" s="164">
        <f t="shared" si="349"/>
        <v>0</v>
      </c>
      <c r="AP202" s="164">
        <f t="shared" si="349"/>
        <v>0</v>
      </c>
      <c r="AQ202" s="164">
        <f t="shared" si="349"/>
        <v>0</v>
      </c>
      <c r="AR202" s="164">
        <f t="shared" si="349"/>
        <v>0</v>
      </c>
      <c r="AS202" s="164">
        <f t="shared" si="349"/>
        <v>0</v>
      </c>
      <c r="AT202" s="164">
        <f t="shared" si="349"/>
        <v>0</v>
      </c>
      <c r="AU202" s="164">
        <f t="shared" si="349"/>
        <v>0</v>
      </c>
      <c r="AV202" s="164">
        <f t="shared" si="349"/>
        <v>0</v>
      </c>
      <c r="AW202" s="164">
        <f t="shared" si="349"/>
        <v>0</v>
      </c>
      <c r="AX202" s="164">
        <f t="shared" si="349"/>
        <v>0</v>
      </c>
      <c r="AY202" s="164">
        <f t="shared" si="349"/>
        <v>0</v>
      </c>
      <c r="AZ202" s="164">
        <f t="shared" si="349"/>
        <v>0</v>
      </c>
      <c r="BA202" s="164">
        <f t="shared" si="349"/>
        <v>0</v>
      </c>
      <c r="BB202" s="164">
        <f t="shared" si="349"/>
        <v>0</v>
      </c>
      <c r="BC202" s="164">
        <f t="shared" si="349"/>
        <v>0</v>
      </c>
      <c r="BD202" s="164">
        <f t="shared" si="349"/>
        <v>0</v>
      </c>
      <c r="BE202" s="164">
        <f t="shared" si="349"/>
        <v>0</v>
      </c>
      <c r="BF202" s="164">
        <f t="shared" si="349"/>
        <v>0</v>
      </c>
      <c r="BG202" s="164">
        <f t="shared" si="349"/>
        <v>0</v>
      </c>
      <c r="BH202" s="164">
        <f t="shared" si="349"/>
        <v>0</v>
      </c>
      <c r="BI202" s="164">
        <f t="shared" si="349"/>
        <v>0</v>
      </c>
      <c r="BJ202" s="164">
        <f t="shared" si="349"/>
        <v>0</v>
      </c>
      <c r="BK202" s="33">
        <f t="shared" si="349"/>
        <v>0</v>
      </c>
    </row>
    <row r="203" spans="9:63">
      <c r="I203" s="31">
        <v>11</v>
      </c>
      <c r="L203" s="225">
        <f t="shared" si="340"/>
        <v>1.9258591270049308</v>
      </c>
      <c r="M203" s="164">
        <f t="shared" ref="M203:BK203" si="350">LOOKUP(M90,$K$56:$BK$56,$K$60:$BK$60)</f>
        <v>0.88900631243690853</v>
      </c>
      <c r="N203" s="164">
        <f t="shared" si="350"/>
        <v>0.6829003022646829</v>
      </c>
      <c r="O203" s="164">
        <f t="shared" si="350"/>
        <v>0.57604495485966867</v>
      </c>
      <c r="P203" s="164">
        <f t="shared" si="350"/>
        <v>0.50754481180037436</v>
      </c>
      <c r="Q203" s="164">
        <f t="shared" si="350"/>
        <v>0.45892154717422362</v>
      </c>
      <c r="R203" s="164">
        <f t="shared" si="350"/>
        <v>0.42206352148133941</v>
      </c>
      <c r="S203" s="164">
        <f t="shared" si="350"/>
        <v>0.39290279113301169</v>
      </c>
      <c r="T203" s="164">
        <f t="shared" si="350"/>
        <v>0.36901679669198162</v>
      </c>
      <c r="U203" s="164">
        <f t="shared" si="350"/>
        <v>0.3490397850767421</v>
      </c>
      <c r="V203" s="164">
        <f t="shared" si="350"/>
        <v>0.33199370266062878</v>
      </c>
      <c r="W203" s="164">
        <f t="shared" si="350"/>
        <v>0.31723943162399526</v>
      </c>
      <c r="X203" s="164">
        <f t="shared" si="350"/>
        <v>0.30426785397262401</v>
      </c>
      <c r="Y203" s="164">
        <f t="shared" si="350"/>
        <v>0.29277949968509431</v>
      </c>
      <c r="Z203" s="164">
        <f t="shared" si="350"/>
        <v>0.28250182874437674</v>
      </c>
      <c r="AA203" s="164">
        <f t="shared" si="350"/>
        <v>0.273245200837056</v>
      </c>
      <c r="AB203" s="164">
        <f t="shared" si="350"/>
        <v>0.26482627380940371</v>
      </c>
      <c r="AC203" s="164">
        <f t="shared" si="350"/>
        <v>0.25714829410521561</v>
      </c>
      <c r="AD203" s="164">
        <f t="shared" si="350"/>
        <v>0.25010176110664617</v>
      </c>
      <c r="AE203" s="164">
        <f t="shared" si="350"/>
        <v>0.24361106919543057</v>
      </c>
      <c r="AF203" s="164">
        <f t="shared" si="350"/>
        <v>0</v>
      </c>
      <c r="AG203" s="164">
        <f t="shared" si="350"/>
        <v>0</v>
      </c>
      <c r="AH203" s="164">
        <f t="shared" si="350"/>
        <v>0</v>
      </c>
      <c r="AI203" s="164">
        <f t="shared" si="350"/>
        <v>0</v>
      </c>
      <c r="AJ203" s="164">
        <f t="shared" si="350"/>
        <v>0</v>
      </c>
      <c r="AK203" s="164">
        <f t="shared" si="350"/>
        <v>0</v>
      </c>
      <c r="AL203" s="164">
        <f t="shared" si="350"/>
        <v>0</v>
      </c>
      <c r="AM203" s="164">
        <f t="shared" si="350"/>
        <v>0</v>
      </c>
      <c r="AN203" s="164">
        <f t="shared" si="350"/>
        <v>0</v>
      </c>
      <c r="AO203" s="164">
        <f t="shared" si="350"/>
        <v>0</v>
      </c>
      <c r="AP203" s="164">
        <f t="shared" si="350"/>
        <v>0</v>
      </c>
      <c r="AQ203" s="164">
        <f t="shared" si="350"/>
        <v>0</v>
      </c>
      <c r="AR203" s="164">
        <f t="shared" si="350"/>
        <v>0</v>
      </c>
      <c r="AS203" s="164">
        <f t="shared" si="350"/>
        <v>0</v>
      </c>
      <c r="AT203" s="164">
        <f t="shared" si="350"/>
        <v>0</v>
      </c>
      <c r="AU203" s="164">
        <f t="shared" si="350"/>
        <v>0</v>
      </c>
      <c r="AV203" s="164">
        <f t="shared" si="350"/>
        <v>0</v>
      </c>
      <c r="AW203" s="164">
        <f t="shared" si="350"/>
        <v>0</v>
      </c>
      <c r="AX203" s="164">
        <f t="shared" si="350"/>
        <v>0</v>
      </c>
      <c r="AY203" s="164">
        <f t="shared" si="350"/>
        <v>0</v>
      </c>
      <c r="AZ203" s="164">
        <f t="shared" si="350"/>
        <v>0</v>
      </c>
      <c r="BA203" s="164">
        <f t="shared" si="350"/>
        <v>0</v>
      </c>
      <c r="BB203" s="164">
        <f t="shared" si="350"/>
        <v>0</v>
      </c>
      <c r="BC203" s="164">
        <f t="shared" si="350"/>
        <v>0</v>
      </c>
      <c r="BD203" s="164">
        <f t="shared" si="350"/>
        <v>0</v>
      </c>
      <c r="BE203" s="164">
        <f t="shared" si="350"/>
        <v>0</v>
      </c>
      <c r="BF203" s="164">
        <f t="shared" si="350"/>
        <v>0</v>
      </c>
      <c r="BG203" s="164">
        <f t="shared" si="350"/>
        <v>0</v>
      </c>
      <c r="BH203" s="164">
        <f t="shared" si="350"/>
        <v>0</v>
      </c>
      <c r="BI203" s="164">
        <f t="shared" si="350"/>
        <v>0</v>
      </c>
      <c r="BJ203" s="164">
        <f t="shared" si="350"/>
        <v>0</v>
      </c>
      <c r="BK203" s="33">
        <f t="shared" si="350"/>
        <v>0</v>
      </c>
    </row>
    <row r="204" spans="9:63">
      <c r="I204" s="31">
        <v>12</v>
      </c>
      <c r="L204" s="225">
        <f t="shared" si="340"/>
        <v>1.9258591270049308</v>
      </c>
      <c r="M204" s="164">
        <f t="shared" ref="M204:BK204" si="351">LOOKUP(M91,$K$56:$BK$56,$K$60:$BK$60)</f>
        <v>0.88900631243690853</v>
      </c>
      <c r="N204" s="164">
        <f t="shared" si="351"/>
        <v>0.6829003022646829</v>
      </c>
      <c r="O204" s="164">
        <f t="shared" si="351"/>
        <v>0.57604495485966867</v>
      </c>
      <c r="P204" s="164">
        <f t="shared" si="351"/>
        <v>0.50754481180037436</v>
      </c>
      <c r="Q204" s="164">
        <f t="shared" si="351"/>
        <v>0.45892154717422362</v>
      </c>
      <c r="R204" s="164">
        <f t="shared" si="351"/>
        <v>0.42206352148133941</v>
      </c>
      <c r="S204" s="164">
        <f t="shared" si="351"/>
        <v>0.39290279113301169</v>
      </c>
      <c r="T204" s="164">
        <f t="shared" si="351"/>
        <v>0.36901679669198162</v>
      </c>
      <c r="U204" s="164">
        <f t="shared" si="351"/>
        <v>0.3490397850767421</v>
      </c>
      <c r="V204" s="164">
        <f t="shared" si="351"/>
        <v>0.33199370266062878</v>
      </c>
      <c r="W204" s="164">
        <f t="shared" si="351"/>
        <v>0.31723943162399526</v>
      </c>
      <c r="X204" s="164">
        <f t="shared" si="351"/>
        <v>0.30426785397262401</v>
      </c>
      <c r="Y204" s="164">
        <f t="shared" si="351"/>
        <v>0.29277949968509431</v>
      </c>
      <c r="Z204" s="164">
        <f t="shared" si="351"/>
        <v>0.28250182874437674</v>
      </c>
      <c r="AA204" s="164">
        <f t="shared" si="351"/>
        <v>0.273245200837056</v>
      </c>
      <c r="AB204" s="164">
        <f t="shared" si="351"/>
        <v>0.26482627380940371</v>
      </c>
      <c r="AC204" s="164">
        <f t="shared" si="351"/>
        <v>0.25714829410521561</v>
      </c>
      <c r="AD204" s="164">
        <f t="shared" si="351"/>
        <v>0.25010176110664617</v>
      </c>
      <c r="AE204" s="164">
        <f t="shared" si="351"/>
        <v>0.24361106919543057</v>
      </c>
      <c r="AF204" s="164">
        <f t="shared" si="351"/>
        <v>0</v>
      </c>
      <c r="AG204" s="164">
        <f t="shared" si="351"/>
        <v>0</v>
      </c>
      <c r="AH204" s="164">
        <f t="shared" si="351"/>
        <v>0</v>
      </c>
      <c r="AI204" s="164">
        <f t="shared" si="351"/>
        <v>0</v>
      </c>
      <c r="AJ204" s="164">
        <f t="shared" si="351"/>
        <v>0</v>
      </c>
      <c r="AK204" s="164">
        <f t="shared" si="351"/>
        <v>0</v>
      </c>
      <c r="AL204" s="164">
        <f t="shared" si="351"/>
        <v>0</v>
      </c>
      <c r="AM204" s="164">
        <f t="shared" si="351"/>
        <v>0</v>
      </c>
      <c r="AN204" s="164">
        <f t="shared" si="351"/>
        <v>0</v>
      </c>
      <c r="AO204" s="164">
        <f t="shared" si="351"/>
        <v>0</v>
      </c>
      <c r="AP204" s="164">
        <f t="shared" si="351"/>
        <v>0</v>
      </c>
      <c r="AQ204" s="164">
        <f t="shared" si="351"/>
        <v>0</v>
      </c>
      <c r="AR204" s="164">
        <f t="shared" si="351"/>
        <v>0</v>
      </c>
      <c r="AS204" s="164">
        <f t="shared" si="351"/>
        <v>0</v>
      </c>
      <c r="AT204" s="164">
        <f t="shared" si="351"/>
        <v>0</v>
      </c>
      <c r="AU204" s="164">
        <f t="shared" si="351"/>
        <v>0</v>
      </c>
      <c r="AV204" s="164">
        <f t="shared" si="351"/>
        <v>0</v>
      </c>
      <c r="AW204" s="164">
        <f t="shared" si="351"/>
        <v>0</v>
      </c>
      <c r="AX204" s="164">
        <f t="shared" si="351"/>
        <v>0</v>
      </c>
      <c r="AY204" s="164">
        <f t="shared" si="351"/>
        <v>0</v>
      </c>
      <c r="AZ204" s="164">
        <f t="shared" si="351"/>
        <v>0</v>
      </c>
      <c r="BA204" s="164">
        <f t="shared" si="351"/>
        <v>0</v>
      </c>
      <c r="BB204" s="164">
        <f t="shared" si="351"/>
        <v>0</v>
      </c>
      <c r="BC204" s="164">
        <f t="shared" si="351"/>
        <v>0</v>
      </c>
      <c r="BD204" s="164">
        <f t="shared" si="351"/>
        <v>0</v>
      </c>
      <c r="BE204" s="164">
        <f t="shared" si="351"/>
        <v>0</v>
      </c>
      <c r="BF204" s="164">
        <f t="shared" si="351"/>
        <v>0</v>
      </c>
      <c r="BG204" s="164">
        <f t="shared" si="351"/>
        <v>0</v>
      </c>
      <c r="BH204" s="164">
        <f t="shared" si="351"/>
        <v>0</v>
      </c>
      <c r="BI204" s="164">
        <f t="shared" si="351"/>
        <v>0</v>
      </c>
      <c r="BJ204" s="164">
        <f t="shared" si="351"/>
        <v>0</v>
      </c>
      <c r="BK204" s="33">
        <f t="shared" si="351"/>
        <v>0</v>
      </c>
    </row>
    <row r="205" spans="9:63">
      <c r="I205" s="31">
        <v>13</v>
      </c>
      <c r="L205" s="225">
        <f t="shared" si="340"/>
        <v>0</v>
      </c>
      <c r="M205" s="164">
        <f t="shared" ref="M205:BK205" si="352">LOOKUP(M92,$K$56:$BK$56,$K$60:$BK$60)</f>
        <v>1.9258591270049308</v>
      </c>
      <c r="N205" s="164">
        <f t="shared" si="352"/>
        <v>0.88900631243690853</v>
      </c>
      <c r="O205" s="164">
        <f t="shared" si="352"/>
        <v>0.6829003022646829</v>
      </c>
      <c r="P205" s="164">
        <f t="shared" si="352"/>
        <v>0.57604495485966867</v>
      </c>
      <c r="Q205" s="164">
        <f t="shared" si="352"/>
        <v>0.50754481180037436</v>
      </c>
      <c r="R205" s="164">
        <f t="shared" si="352"/>
        <v>0.45892154717422362</v>
      </c>
      <c r="S205" s="164">
        <f t="shared" si="352"/>
        <v>0.42206352148133941</v>
      </c>
      <c r="T205" s="164">
        <f t="shared" si="352"/>
        <v>0.39290279113301169</v>
      </c>
      <c r="U205" s="164">
        <f t="shared" si="352"/>
        <v>0.36901679669198162</v>
      </c>
      <c r="V205" s="164">
        <f t="shared" si="352"/>
        <v>0.3490397850767421</v>
      </c>
      <c r="W205" s="164">
        <f t="shared" si="352"/>
        <v>0.33199370266062878</v>
      </c>
      <c r="X205" s="164">
        <f t="shared" si="352"/>
        <v>0.31723943162399526</v>
      </c>
      <c r="Y205" s="164">
        <f t="shared" si="352"/>
        <v>0.30426785397262401</v>
      </c>
      <c r="Z205" s="164">
        <f t="shared" si="352"/>
        <v>0.29277949968509431</v>
      </c>
      <c r="AA205" s="164">
        <f t="shared" si="352"/>
        <v>0.28250182874437674</v>
      </c>
      <c r="AB205" s="164">
        <f t="shared" si="352"/>
        <v>0.273245200837056</v>
      </c>
      <c r="AC205" s="164">
        <f t="shared" si="352"/>
        <v>0.26482627380940371</v>
      </c>
      <c r="AD205" s="164">
        <f t="shared" si="352"/>
        <v>0.25714829410521561</v>
      </c>
      <c r="AE205" s="164">
        <f t="shared" si="352"/>
        <v>0.25010176110664617</v>
      </c>
      <c r="AF205" s="164">
        <f t="shared" si="352"/>
        <v>0.24361106919543057</v>
      </c>
      <c r="AG205" s="164">
        <f t="shared" si="352"/>
        <v>0</v>
      </c>
      <c r="AH205" s="164">
        <f t="shared" si="352"/>
        <v>0</v>
      </c>
      <c r="AI205" s="164">
        <f t="shared" si="352"/>
        <v>0</v>
      </c>
      <c r="AJ205" s="164">
        <f t="shared" si="352"/>
        <v>0</v>
      </c>
      <c r="AK205" s="164">
        <f t="shared" si="352"/>
        <v>0</v>
      </c>
      <c r="AL205" s="164">
        <f t="shared" si="352"/>
        <v>0</v>
      </c>
      <c r="AM205" s="164">
        <f t="shared" si="352"/>
        <v>0</v>
      </c>
      <c r="AN205" s="164">
        <f t="shared" si="352"/>
        <v>0</v>
      </c>
      <c r="AO205" s="164">
        <f t="shared" si="352"/>
        <v>0</v>
      </c>
      <c r="AP205" s="164">
        <f t="shared" si="352"/>
        <v>0</v>
      </c>
      <c r="AQ205" s="164">
        <f t="shared" si="352"/>
        <v>0</v>
      </c>
      <c r="AR205" s="164">
        <f t="shared" si="352"/>
        <v>0</v>
      </c>
      <c r="AS205" s="164">
        <f t="shared" si="352"/>
        <v>0</v>
      </c>
      <c r="AT205" s="164">
        <f t="shared" si="352"/>
        <v>0</v>
      </c>
      <c r="AU205" s="164">
        <f t="shared" si="352"/>
        <v>0</v>
      </c>
      <c r="AV205" s="164">
        <f t="shared" si="352"/>
        <v>0</v>
      </c>
      <c r="AW205" s="164">
        <f t="shared" si="352"/>
        <v>0</v>
      </c>
      <c r="AX205" s="164">
        <f t="shared" si="352"/>
        <v>0</v>
      </c>
      <c r="AY205" s="164">
        <f t="shared" si="352"/>
        <v>0</v>
      </c>
      <c r="AZ205" s="164">
        <f t="shared" si="352"/>
        <v>0</v>
      </c>
      <c r="BA205" s="164">
        <f t="shared" si="352"/>
        <v>0</v>
      </c>
      <c r="BB205" s="164">
        <f t="shared" si="352"/>
        <v>0</v>
      </c>
      <c r="BC205" s="164">
        <f t="shared" si="352"/>
        <v>0</v>
      </c>
      <c r="BD205" s="164">
        <f t="shared" si="352"/>
        <v>0</v>
      </c>
      <c r="BE205" s="164">
        <f t="shared" si="352"/>
        <v>0</v>
      </c>
      <c r="BF205" s="164">
        <f t="shared" si="352"/>
        <v>0</v>
      </c>
      <c r="BG205" s="164">
        <f t="shared" si="352"/>
        <v>0</v>
      </c>
      <c r="BH205" s="164">
        <f t="shared" si="352"/>
        <v>0</v>
      </c>
      <c r="BI205" s="164">
        <f t="shared" si="352"/>
        <v>0</v>
      </c>
      <c r="BJ205" s="164">
        <f t="shared" si="352"/>
        <v>0</v>
      </c>
      <c r="BK205" s="33">
        <f t="shared" si="352"/>
        <v>0</v>
      </c>
    </row>
    <row r="206" spans="9:63">
      <c r="I206" s="31">
        <v>14</v>
      </c>
      <c r="L206" s="225">
        <f t="shared" si="340"/>
        <v>0</v>
      </c>
      <c r="M206" s="164">
        <f t="shared" ref="M206:BK206" si="353">LOOKUP(M93,$K$56:$BK$56,$K$60:$BK$60)</f>
        <v>1.9258591270049308</v>
      </c>
      <c r="N206" s="164">
        <f t="shared" si="353"/>
        <v>0.88900631243690853</v>
      </c>
      <c r="O206" s="164">
        <f t="shared" si="353"/>
        <v>0.6829003022646829</v>
      </c>
      <c r="P206" s="164">
        <f t="shared" si="353"/>
        <v>0.57604495485966867</v>
      </c>
      <c r="Q206" s="164">
        <f t="shared" si="353"/>
        <v>0.50754481180037436</v>
      </c>
      <c r="R206" s="164">
        <f t="shared" si="353"/>
        <v>0.45892154717422362</v>
      </c>
      <c r="S206" s="164">
        <f t="shared" si="353"/>
        <v>0.42206352148133941</v>
      </c>
      <c r="T206" s="164">
        <f t="shared" si="353"/>
        <v>0.39290279113301169</v>
      </c>
      <c r="U206" s="164">
        <f t="shared" si="353"/>
        <v>0.36901679669198162</v>
      </c>
      <c r="V206" s="164">
        <f t="shared" si="353"/>
        <v>0.3490397850767421</v>
      </c>
      <c r="W206" s="164">
        <f t="shared" si="353"/>
        <v>0.33199370266062878</v>
      </c>
      <c r="X206" s="164">
        <f t="shared" si="353"/>
        <v>0.31723943162399526</v>
      </c>
      <c r="Y206" s="164">
        <f t="shared" si="353"/>
        <v>0.30426785397262401</v>
      </c>
      <c r="Z206" s="164">
        <f t="shared" si="353"/>
        <v>0.29277949968509431</v>
      </c>
      <c r="AA206" s="164">
        <f t="shared" si="353"/>
        <v>0.28250182874437674</v>
      </c>
      <c r="AB206" s="164">
        <f t="shared" si="353"/>
        <v>0.273245200837056</v>
      </c>
      <c r="AC206" s="164">
        <f t="shared" si="353"/>
        <v>0.26482627380940371</v>
      </c>
      <c r="AD206" s="164">
        <f t="shared" si="353"/>
        <v>0.25714829410521561</v>
      </c>
      <c r="AE206" s="164">
        <f t="shared" si="353"/>
        <v>0.25010176110664617</v>
      </c>
      <c r="AF206" s="164">
        <f t="shared" si="353"/>
        <v>0.24361106919543057</v>
      </c>
      <c r="AG206" s="164">
        <f t="shared" si="353"/>
        <v>0</v>
      </c>
      <c r="AH206" s="164">
        <f t="shared" si="353"/>
        <v>0</v>
      </c>
      <c r="AI206" s="164">
        <f t="shared" si="353"/>
        <v>0</v>
      </c>
      <c r="AJ206" s="164">
        <f t="shared" si="353"/>
        <v>0</v>
      </c>
      <c r="AK206" s="164">
        <f t="shared" si="353"/>
        <v>0</v>
      </c>
      <c r="AL206" s="164">
        <f t="shared" si="353"/>
        <v>0</v>
      </c>
      <c r="AM206" s="164">
        <f t="shared" si="353"/>
        <v>0</v>
      </c>
      <c r="AN206" s="164">
        <f t="shared" si="353"/>
        <v>0</v>
      </c>
      <c r="AO206" s="164">
        <f t="shared" si="353"/>
        <v>0</v>
      </c>
      <c r="AP206" s="164">
        <f t="shared" si="353"/>
        <v>0</v>
      </c>
      <c r="AQ206" s="164">
        <f t="shared" si="353"/>
        <v>0</v>
      </c>
      <c r="AR206" s="164">
        <f t="shared" si="353"/>
        <v>0</v>
      </c>
      <c r="AS206" s="164">
        <f t="shared" si="353"/>
        <v>0</v>
      </c>
      <c r="AT206" s="164">
        <f t="shared" si="353"/>
        <v>0</v>
      </c>
      <c r="AU206" s="164">
        <f t="shared" si="353"/>
        <v>0</v>
      </c>
      <c r="AV206" s="164">
        <f t="shared" si="353"/>
        <v>0</v>
      </c>
      <c r="AW206" s="164">
        <f t="shared" si="353"/>
        <v>0</v>
      </c>
      <c r="AX206" s="164">
        <f t="shared" si="353"/>
        <v>0</v>
      </c>
      <c r="AY206" s="164">
        <f t="shared" si="353"/>
        <v>0</v>
      </c>
      <c r="AZ206" s="164">
        <f t="shared" si="353"/>
        <v>0</v>
      </c>
      <c r="BA206" s="164">
        <f t="shared" si="353"/>
        <v>0</v>
      </c>
      <c r="BB206" s="164">
        <f t="shared" si="353"/>
        <v>0</v>
      </c>
      <c r="BC206" s="164">
        <f t="shared" si="353"/>
        <v>0</v>
      </c>
      <c r="BD206" s="164">
        <f t="shared" si="353"/>
        <v>0</v>
      </c>
      <c r="BE206" s="164">
        <f t="shared" si="353"/>
        <v>0</v>
      </c>
      <c r="BF206" s="164">
        <f t="shared" si="353"/>
        <v>0</v>
      </c>
      <c r="BG206" s="164">
        <f t="shared" si="353"/>
        <v>0</v>
      </c>
      <c r="BH206" s="164">
        <f t="shared" si="353"/>
        <v>0</v>
      </c>
      <c r="BI206" s="164">
        <f t="shared" si="353"/>
        <v>0</v>
      </c>
      <c r="BJ206" s="164">
        <f t="shared" si="353"/>
        <v>0</v>
      </c>
      <c r="BK206" s="33">
        <f t="shared" si="353"/>
        <v>0</v>
      </c>
    </row>
    <row r="207" spans="9:63">
      <c r="I207" s="31">
        <v>15</v>
      </c>
      <c r="L207" s="225">
        <f t="shared" si="340"/>
        <v>0</v>
      </c>
      <c r="M207" s="164">
        <f t="shared" ref="M207:BK207" si="354">LOOKUP(M94,$K$56:$BK$56,$K$60:$BK$60)</f>
        <v>1.9258591270049308</v>
      </c>
      <c r="N207" s="164">
        <f t="shared" si="354"/>
        <v>0.88900631243690853</v>
      </c>
      <c r="O207" s="164">
        <f t="shared" si="354"/>
        <v>0.6829003022646829</v>
      </c>
      <c r="P207" s="164">
        <f t="shared" si="354"/>
        <v>0.57604495485966867</v>
      </c>
      <c r="Q207" s="164">
        <f t="shared" si="354"/>
        <v>0.50754481180037436</v>
      </c>
      <c r="R207" s="164">
        <f t="shared" si="354"/>
        <v>0.45892154717422362</v>
      </c>
      <c r="S207" s="164">
        <f t="shared" si="354"/>
        <v>0.42206352148133941</v>
      </c>
      <c r="T207" s="164">
        <f t="shared" si="354"/>
        <v>0.39290279113301169</v>
      </c>
      <c r="U207" s="164">
        <f t="shared" si="354"/>
        <v>0.36901679669198162</v>
      </c>
      <c r="V207" s="164">
        <f t="shared" si="354"/>
        <v>0.3490397850767421</v>
      </c>
      <c r="W207" s="164">
        <f t="shared" si="354"/>
        <v>0.33199370266062878</v>
      </c>
      <c r="X207" s="164">
        <f t="shared" si="354"/>
        <v>0.31723943162399526</v>
      </c>
      <c r="Y207" s="164">
        <f t="shared" si="354"/>
        <v>0.30426785397262401</v>
      </c>
      <c r="Z207" s="164">
        <f t="shared" si="354"/>
        <v>0.29277949968509431</v>
      </c>
      <c r="AA207" s="164">
        <f t="shared" si="354"/>
        <v>0.28250182874437674</v>
      </c>
      <c r="AB207" s="164">
        <f t="shared" si="354"/>
        <v>0.273245200837056</v>
      </c>
      <c r="AC207" s="164">
        <f t="shared" si="354"/>
        <v>0.26482627380940371</v>
      </c>
      <c r="AD207" s="164">
        <f t="shared" si="354"/>
        <v>0.25714829410521561</v>
      </c>
      <c r="AE207" s="164">
        <f t="shared" si="354"/>
        <v>0.25010176110664617</v>
      </c>
      <c r="AF207" s="164">
        <f t="shared" si="354"/>
        <v>0.24361106919543057</v>
      </c>
      <c r="AG207" s="164">
        <f t="shared" si="354"/>
        <v>0</v>
      </c>
      <c r="AH207" s="164">
        <f t="shared" si="354"/>
        <v>0</v>
      </c>
      <c r="AI207" s="164">
        <f t="shared" si="354"/>
        <v>0</v>
      </c>
      <c r="AJ207" s="164">
        <f t="shared" si="354"/>
        <v>0</v>
      </c>
      <c r="AK207" s="164">
        <f t="shared" si="354"/>
        <v>0</v>
      </c>
      <c r="AL207" s="164">
        <f t="shared" si="354"/>
        <v>0</v>
      </c>
      <c r="AM207" s="164">
        <f t="shared" si="354"/>
        <v>0</v>
      </c>
      <c r="AN207" s="164">
        <f t="shared" si="354"/>
        <v>0</v>
      </c>
      <c r="AO207" s="164">
        <f t="shared" si="354"/>
        <v>0</v>
      </c>
      <c r="AP207" s="164">
        <f t="shared" si="354"/>
        <v>0</v>
      </c>
      <c r="AQ207" s="164">
        <f t="shared" si="354"/>
        <v>0</v>
      </c>
      <c r="AR207" s="164">
        <f t="shared" si="354"/>
        <v>0</v>
      </c>
      <c r="AS207" s="164">
        <f t="shared" si="354"/>
        <v>0</v>
      </c>
      <c r="AT207" s="164">
        <f t="shared" si="354"/>
        <v>0</v>
      </c>
      <c r="AU207" s="164">
        <f t="shared" si="354"/>
        <v>0</v>
      </c>
      <c r="AV207" s="164">
        <f t="shared" si="354"/>
        <v>0</v>
      </c>
      <c r="AW207" s="164">
        <f t="shared" si="354"/>
        <v>0</v>
      </c>
      <c r="AX207" s="164">
        <f t="shared" si="354"/>
        <v>0</v>
      </c>
      <c r="AY207" s="164">
        <f t="shared" si="354"/>
        <v>0</v>
      </c>
      <c r="AZ207" s="164">
        <f t="shared" si="354"/>
        <v>0</v>
      </c>
      <c r="BA207" s="164">
        <f t="shared" si="354"/>
        <v>0</v>
      </c>
      <c r="BB207" s="164">
        <f t="shared" si="354"/>
        <v>0</v>
      </c>
      <c r="BC207" s="164">
        <f t="shared" si="354"/>
        <v>0</v>
      </c>
      <c r="BD207" s="164">
        <f t="shared" si="354"/>
        <v>0</v>
      </c>
      <c r="BE207" s="164">
        <f t="shared" si="354"/>
        <v>0</v>
      </c>
      <c r="BF207" s="164">
        <f t="shared" si="354"/>
        <v>0</v>
      </c>
      <c r="BG207" s="164">
        <f t="shared" si="354"/>
        <v>0</v>
      </c>
      <c r="BH207" s="164">
        <f t="shared" si="354"/>
        <v>0</v>
      </c>
      <c r="BI207" s="164">
        <f t="shared" si="354"/>
        <v>0</v>
      </c>
      <c r="BJ207" s="164">
        <f t="shared" si="354"/>
        <v>0</v>
      </c>
      <c r="BK207" s="33">
        <f t="shared" si="354"/>
        <v>0</v>
      </c>
    </row>
    <row r="208" spans="9:63">
      <c r="I208" s="31">
        <v>16</v>
      </c>
      <c r="L208" s="225">
        <f t="shared" si="340"/>
        <v>0</v>
      </c>
      <c r="M208" s="164">
        <f t="shared" ref="M208:BK208" si="355">LOOKUP(M95,$K$56:$BK$56,$K$60:$BK$60)</f>
        <v>1.9258591270049308</v>
      </c>
      <c r="N208" s="164">
        <f t="shared" si="355"/>
        <v>0.88900631243690853</v>
      </c>
      <c r="O208" s="164">
        <f t="shared" si="355"/>
        <v>0.6829003022646829</v>
      </c>
      <c r="P208" s="164">
        <f t="shared" si="355"/>
        <v>0.57604495485966867</v>
      </c>
      <c r="Q208" s="164">
        <f t="shared" si="355"/>
        <v>0.50754481180037436</v>
      </c>
      <c r="R208" s="164">
        <f t="shared" si="355"/>
        <v>0.45892154717422362</v>
      </c>
      <c r="S208" s="164">
        <f t="shared" si="355"/>
        <v>0.42206352148133941</v>
      </c>
      <c r="T208" s="164">
        <f t="shared" si="355"/>
        <v>0.39290279113301169</v>
      </c>
      <c r="U208" s="164">
        <f t="shared" si="355"/>
        <v>0.36901679669198162</v>
      </c>
      <c r="V208" s="164">
        <f t="shared" si="355"/>
        <v>0.3490397850767421</v>
      </c>
      <c r="W208" s="164">
        <f t="shared" si="355"/>
        <v>0.33199370266062878</v>
      </c>
      <c r="X208" s="164">
        <f t="shared" si="355"/>
        <v>0.31723943162399526</v>
      </c>
      <c r="Y208" s="164">
        <f t="shared" si="355"/>
        <v>0.30426785397262401</v>
      </c>
      <c r="Z208" s="164">
        <f t="shared" si="355"/>
        <v>0.29277949968509431</v>
      </c>
      <c r="AA208" s="164">
        <f t="shared" si="355"/>
        <v>0.28250182874437674</v>
      </c>
      <c r="AB208" s="164">
        <f t="shared" si="355"/>
        <v>0.273245200837056</v>
      </c>
      <c r="AC208" s="164">
        <f t="shared" si="355"/>
        <v>0.26482627380940371</v>
      </c>
      <c r="AD208" s="164">
        <f t="shared" si="355"/>
        <v>0.25714829410521561</v>
      </c>
      <c r="AE208" s="164">
        <f t="shared" si="355"/>
        <v>0.25010176110664617</v>
      </c>
      <c r="AF208" s="164">
        <f t="shared" si="355"/>
        <v>0.24361106919543057</v>
      </c>
      <c r="AG208" s="164">
        <f t="shared" si="355"/>
        <v>0</v>
      </c>
      <c r="AH208" s="164">
        <f t="shared" si="355"/>
        <v>0</v>
      </c>
      <c r="AI208" s="164">
        <f t="shared" si="355"/>
        <v>0</v>
      </c>
      <c r="AJ208" s="164">
        <f t="shared" si="355"/>
        <v>0</v>
      </c>
      <c r="AK208" s="164">
        <f t="shared" si="355"/>
        <v>0</v>
      </c>
      <c r="AL208" s="164">
        <f t="shared" si="355"/>
        <v>0</v>
      </c>
      <c r="AM208" s="164">
        <f t="shared" si="355"/>
        <v>0</v>
      </c>
      <c r="AN208" s="164">
        <f t="shared" si="355"/>
        <v>0</v>
      </c>
      <c r="AO208" s="164">
        <f t="shared" si="355"/>
        <v>0</v>
      </c>
      <c r="AP208" s="164">
        <f t="shared" si="355"/>
        <v>0</v>
      </c>
      <c r="AQ208" s="164">
        <f t="shared" si="355"/>
        <v>0</v>
      </c>
      <c r="AR208" s="164">
        <f t="shared" si="355"/>
        <v>0</v>
      </c>
      <c r="AS208" s="164">
        <f t="shared" si="355"/>
        <v>0</v>
      </c>
      <c r="AT208" s="164">
        <f t="shared" si="355"/>
        <v>0</v>
      </c>
      <c r="AU208" s="164">
        <f t="shared" si="355"/>
        <v>0</v>
      </c>
      <c r="AV208" s="164">
        <f t="shared" si="355"/>
        <v>0</v>
      </c>
      <c r="AW208" s="164">
        <f t="shared" si="355"/>
        <v>0</v>
      </c>
      <c r="AX208" s="164">
        <f t="shared" si="355"/>
        <v>0</v>
      </c>
      <c r="AY208" s="164">
        <f t="shared" si="355"/>
        <v>0</v>
      </c>
      <c r="AZ208" s="164">
        <f t="shared" si="355"/>
        <v>0</v>
      </c>
      <c r="BA208" s="164">
        <f t="shared" si="355"/>
        <v>0</v>
      </c>
      <c r="BB208" s="164">
        <f t="shared" si="355"/>
        <v>0</v>
      </c>
      <c r="BC208" s="164">
        <f t="shared" si="355"/>
        <v>0</v>
      </c>
      <c r="BD208" s="164">
        <f t="shared" si="355"/>
        <v>0</v>
      </c>
      <c r="BE208" s="164">
        <f t="shared" si="355"/>
        <v>0</v>
      </c>
      <c r="BF208" s="164">
        <f t="shared" si="355"/>
        <v>0</v>
      </c>
      <c r="BG208" s="164">
        <f t="shared" si="355"/>
        <v>0</v>
      </c>
      <c r="BH208" s="164">
        <f t="shared" si="355"/>
        <v>0</v>
      </c>
      <c r="BI208" s="164">
        <f t="shared" si="355"/>
        <v>0</v>
      </c>
      <c r="BJ208" s="164">
        <f t="shared" si="355"/>
        <v>0</v>
      </c>
      <c r="BK208" s="33">
        <f t="shared" si="355"/>
        <v>0</v>
      </c>
    </row>
    <row r="209" spans="9:63">
      <c r="I209" s="31">
        <v>17</v>
      </c>
      <c r="L209" s="225">
        <f t="shared" si="340"/>
        <v>0</v>
      </c>
      <c r="M209" s="164">
        <f t="shared" ref="M209:BK209" si="356">LOOKUP(M96,$K$56:$BK$56,$K$60:$BK$60)</f>
        <v>0</v>
      </c>
      <c r="N209" s="164">
        <f t="shared" si="356"/>
        <v>1.9258591270049308</v>
      </c>
      <c r="O209" s="164">
        <f t="shared" si="356"/>
        <v>0.88900631243690853</v>
      </c>
      <c r="P209" s="164">
        <f t="shared" si="356"/>
        <v>0.6829003022646829</v>
      </c>
      <c r="Q209" s="164">
        <f t="shared" si="356"/>
        <v>0.57604495485966867</v>
      </c>
      <c r="R209" s="164">
        <f t="shared" si="356"/>
        <v>0.50754481180037436</v>
      </c>
      <c r="S209" s="164">
        <f t="shared" si="356"/>
        <v>0.45892154717422362</v>
      </c>
      <c r="T209" s="164">
        <f t="shared" si="356"/>
        <v>0.42206352148133941</v>
      </c>
      <c r="U209" s="164">
        <f t="shared" si="356"/>
        <v>0.39290279113301169</v>
      </c>
      <c r="V209" s="164">
        <f t="shared" si="356"/>
        <v>0.36901679669198162</v>
      </c>
      <c r="W209" s="164">
        <f t="shared" si="356"/>
        <v>0.3490397850767421</v>
      </c>
      <c r="X209" s="164">
        <f t="shared" si="356"/>
        <v>0.33199370266062878</v>
      </c>
      <c r="Y209" s="164">
        <f t="shared" si="356"/>
        <v>0.31723943162399526</v>
      </c>
      <c r="Z209" s="164">
        <f t="shared" si="356"/>
        <v>0.30426785397262401</v>
      </c>
      <c r="AA209" s="164">
        <f t="shared" si="356"/>
        <v>0.29277949968509431</v>
      </c>
      <c r="AB209" s="164">
        <f t="shared" si="356"/>
        <v>0.28250182874437674</v>
      </c>
      <c r="AC209" s="164">
        <f t="shared" si="356"/>
        <v>0.273245200837056</v>
      </c>
      <c r="AD209" s="164">
        <f t="shared" si="356"/>
        <v>0.26482627380940371</v>
      </c>
      <c r="AE209" s="164">
        <f t="shared" si="356"/>
        <v>0.25714829410521561</v>
      </c>
      <c r="AF209" s="164">
        <f t="shared" si="356"/>
        <v>0.25010176110664617</v>
      </c>
      <c r="AG209" s="164">
        <f t="shared" si="356"/>
        <v>0.24361106919543057</v>
      </c>
      <c r="AH209" s="164">
        <f t="shared" si="356"/>
        <v>0</v>
      </c>
      <c r="AI209" s="164">
        <f t="shared" si="356"/>
        <v>0</v>
      </c>
      <c r="AJ209" s="164">
        <f t="shared" si="356"/>
        <v>0</v>
      </c>
      <c r="AK209" s="164">
        <f t="shared" si="356"/>
        <v>0</v>
      </c>
      <c r="AL209" s="164">
        <f t="shared" si="356"/>
        <v>0</v>
      </c>
      <c r="AM209" s="164">
        <f t="shared" si="356"/>
        <v>0</v>
      </c>
      <c r="AN209" s="164">
        <f t="shared" si="356"/>
        <v>0</v>
      </c>
      <c r="AO209" s="164">
        <f t="shared" si="356"/>
        <v>0</v>
      </c>
      <c r="AP209" s="164">
        <f t="shared" si="356"/>
        <v>0</v>
      </c>
      <c r="AQ209" s="164">
        <f t="shared" si="356"/>
        <v>0</v>
      </c>
      <c r="AR209" s="164">
        <f t="shared" si="356"/>
        <v>0</v>
      </c>
      <c r="AS209" s="164">
        <f t="shared" si="356"/>
        <v>0</v>
      </c>
      <c r="AT209" s="164">
        <f t="shared" si="356"/>
        <v>0</v>
      </c>
      <c r="AU209" s="164">
        <f t="shared" si="356"/>
        <v>0</v>
      </c>
      <c r="AV209" s="164">
        <f t="shared" si="356"/>
        <v>0</v>
      </c>
      <c r="AW209" s="164">
        <f t="shared" si="356"/>
        <v>0</v>
      </c>
      <c r="AX209" s="164">
        <f t="shared" si="356"/>
        <v>0</v>
      </c>
      <c r="AY209" s="164">
        <f t="shared" si="356"/>
        <v>0</v>
      </c>
      <c r="AZ209" s="164">
        <f t="shared" si="356"/>
        <v>0</v>
      </c>
      <c r="BA209" s="164">
        <f t="shared" si="356"/>
        <v>0</v>
      </c>
      <c r="BB209" s="164">
        <f t="shared" si="356"/>
        <v>0</v>
      </c>
      <c r="BC209" s="164">
        <f t="shared" si="356"/>
        <v>0</v>
      </c>
      <c r="BD209" s="164">
        <f t="shared" si="356"/>
        <v>0</v>
      </c>
      <c r="BE209" s="164">
        <f t="shared" si="356"/>
        <v>0</v>
      </c>
      <c r="BF209" s="164">
        <f t="shared" si="356"/>
        <v>0</v>
      </c>
      <c r="BG209" s="164">
        <f t="shared" si="356"/>
        <v>0</v>
      </c>
      <c r="BH209" s="164">
        <f t="shared" si="356"/>
        <v>0</v>
      </c>
      <c r="BI209" s="164">
        <f t="shared" si="356"/>
        <v>0</v>
      </c>
      <c r="BJ209" s="164">
        <f t="shared" si="356"/>
        <v>0</v>
      </c>
      <c r="BK209" s="33">
        <f t="shared" si="356"/>
        <v>0</v>
      </c>
    </row>
    <row r="210" spans="9:63">
      <c r="I210" s="31">
        <v>18</v>
      </c>
      <c r="L210" s="225">
        <f t="shared" si="340"/>
        <v>0</v>
      </c>
      <c r="M210" s="164">
        <f t="shared" ref="M210:BK210" si="357">LOOKUP(M97,$K$56:$BK$56,$K$60:$BK$60)</f>
        <v>0</v>
      </c>
      <c r="N210" s="164">
        <f t="shared" si="357"/>
        <v>1.9258591270049308</v>
      </c>
      <c r="O210" s="164">
        <f t="shared" si="357"/>
        <v>0.88900631243690853</v>
      </c>
      <c r="P210" s="164">
        <f t="shared" si="357"/>
        <v>0.6829003022646829</v>
      </c>
      <c r="Q210" s="164">
        <f t="shared" si="357"/>
        <v>0.57604495485966867</v>
      </c>
      <c r="R210" s="164">
        <f t="shared" si="357"/>
        <v>0.50754481180037436</v>
      </c>
      <c r="S210" s="164">
        <f t="shared" si="357"/>
        <v>0.45892154717422362</v>
      </c>
      <c r="T210" s="164">
        <f t="shared" si="357"/>
        <v>0.42206352148133941</v>
      </c>
      <c r="U210" s="164">
        <f t="shared" si="357"/>
        <v>0.39290279113301169</v>
      </c>
      <c r="V210" s="164">
        <f t="shared" si="357"/>
        <v>0.36901679669198162</v>
      </c>
      <c r="W210" s="164">
        <f t="shared" si="357"/>
        <v>0.3490397850767421</v>
      </c>
      <c r="X210" s="164">
        <f t="shared" si="357"/>
        <v>0.33199370266062878</v>
      </c>
      <c r="Y210" s="164">
        <f t="shared" si="357"/>
        <v>0.31723943162399526</v>
      </c>
      <c r="Z210" s="164">
        <f t="shared" si="357"/>
        <v>0.30426785397262401</v>
      </c>
      <c r="AA210" s="164">
        <f t="shared" si="357"/>
        <v>0.29277949968509431</v>
      </c>
      <c r="AB210" s="164">
        <f t="shared" si="357"/>
        <v>0.28250182874437674</v>
      </c>
      <c r="AC210" s="164">
        <f t="shared" si="357"/>
        <v>0.273245200837056</v>
      </c>
      <c r="AD210" s="164">
        <f t="shared" si="357"/>
        <v>0.26482627380940371</v>
      </c>
      <c r="AE210" s="164">
        <f t="shared" si="357"/>
        <v>0.25714829410521561</v>
      </c>
      <c r="AF210" s="164">
        <f t="shared" si="357"/>
        <v>0.25010176110664617</v>
      </c>
      <c r="AG210" s="164">
        <f t="shared" si="357"/>
        <v>0.24361106919543057</v>
      </c>
      <c r="AH210" s="164">
        <f t="shared" si="357"/>
        <v>0</v>
      </c>
      <c r="AI210" s="164">
        <f t="shared" si="357"/>
        <v>0</v>
      </c>
      <c r="AJ210" s="164">
        <f t="shared" si="357"/>
        <v>0</v>
      </c>
      <c r="AK210" s="164">
        <f t="shared" si="357"/>
        <v>0</v>
      </c>
      <c r="AL210" s="164">
        <f t="shared" si="357"/>
        <v>0</v>
      </c>
      <c r="AM210" s="164">
        <f t="shared" si="357"/>
        <v>0</v>
      </c>
      <c r="AN210" s="164">
        <f t="shared" si="357"/>
        <v>0</v>
      </c>
      <c r="AO210" s="164">
        <f t="shared" si="357"/>
        <v>0</v>
      </c>
      <c r="AP210" s="164">
        <f t="shared" si="357"/>
        <v>0</v>
      </c>
      <c r="AQ210" s="164">
        <f t="shared" si="357"/>
        <v>0</v>
      </c>
      <c r="AR210" s="164">
        <f t="shared" si="357"/>
        <v>0</v>
      </c>
      <c r="AS210" s="164">
        <f t="shared" si="357"/>
        <v>0</v>
      </c>
      <c r="AT210" s="164">
        <f t="shared" si="357"/>
        <v>0</v>
      </c>
      <c r="AU210" s="164">
        <f t="shared" si="357"/>
        <v>0</v>
      </c>
      <c r="AV210" s="164">
        <f t="shared" si="357"/>
        <v>0</v>
      </c>
      <c r="AW210" s="164">
        <f t="shared" si="357"/>
        <v>0</v>
      </c>
      <c r="AX210" s="164">
        <f t="shared" si="357"/>
        <v>0</v>
      </c>
      <c r="AY210" s="164">
        <f t="shared" si="357"/>
        <v>0</v>
      </c>
      <c r="AZ210" s="164">
        <f t="shared" si="357"/>
        <v>0</v>
      </c>
      <c r="BA210" s="164">
        <f t="shared" si="357"/>
        <v>0</v>
      </c>
      <c r="BB210" s="164">
        <f t="shared" si="357"/>
        <v>0</v>
      </c>
      <c r="BC210" s="164">
        <f t="shared" si="357"/>
        <v>0</v>
      </c>
      <c r="BD210" s="164">
        <f t="shared" si="357"/>
        <v>0</v>
      </c>
      <c r="BE210" s="164">
        <f t="shared" si="357"/>
        <v>0</v>
      </c>
      <c r="BF210" s="164">
        <f t="shared" si="357"/>
        <v>0</v>
      </c>
      <c r="BG210" s="164">
        <f t="shared" si="357"/>
        <v>0</v>
      </c>
      <c r="BH210" s="164">
        <f t="shared" si="357"/>
        <v>0</v>
      </c>
      <c r="BI210" s="164">
        <f t="shared" si="357"/>
        <v>0</v>
      </c>
      <c r="BJ210" s="164">
        <f t="shared" si="357"/>
        <v>0</v>
      </c>
      <c r="BK210" s="33">
        <f t="shared" si="357"/>
        <v>0</v>
      </c>
    </row>
    <row r="211" spans="9:63">
      <c r="I211" s="31">
        <v>19</v>
      </c>
      <c r="L211" s="225">
        <f t="shared" si="340"/>
        <v>0</v>
      </c>
      <c r="M211" s="164">
        <f t="shared" ref="M211:BK211" si="358">LOOKUP(M98,$K$56:$BK$56,$K$60:$BK$60)</f>
        <v>0</v>
      </c>
      <c r="N211" s="164">
        <f t="shared" si="358"/>
        <v>1.9258591270049308</v>
      </c>
      <c r="O211" s="164">
        <f t="shared" si="358"/>
        <v>0.88900631243690853</v>
      </c>
      <c r="P211" s="164">
        <f t="shared" si="358"/>
        <v>0.6829003022646829</v>
      </c>
      <c r="Q211" s="164">
        <f t="shared" si="358"/>
        <v>0.57604495485966867</v>
      </c>
      <c r="R211" s="164">
        <f t="shared" si="358"/>
        <v>0.50754481180037436</v>
      </c>
      <c r="S211" s="164">
        <f t="shared" si="358"/>
        <v>0.45892154717422362</v>
      </c>
      <c r="T211" s="164">
        <f t="shared" si="358"/>
        <v>0.42206352148133941</v>
      </c>
      <c r="U211" s="164">
        <f t="shared" si="358"/>
        <v>0.39290279113301169</v>
      </c>
      <c r="V211" s="164">
        <f t="shared" si="358"/>
        <v>0.36901679669198162</v>
      </c>
      <c r="W211" s="164">
        <f t="shared" si="358"/>
        <v>0.3490397850767421</v>
      </c>
      <c r="X211" s="164">
        <f t="shared" si="358"/>
        <v>0.33199370266062878</v>
      </c>
      <c r="Y211" s="164">
        <f t="shared" si="358"/>
        <v>0.31723943162399526</v>
      </c>
      <c r="Z211" s="164">
        <f t="shared" si="358"/>
        <v>0.30426785397262401</v>
      </c>
      <c r="AA211" s="164">
        <f t="shared" si="358"/>
        <v>0.29277949968509431</v>
      </c>
      <c r="AB211" s="164">
        <f t="shared" si="358"/>
        <v>0.28250182874437674</v>
      </c>
      <c r="AC211" s="164">
        <f t="shared" si="358"/>
        <v>0.273245200837056</v>
      </c>
      <c r="AD211" s="164">
        <f t="shared" si="358"/>
        <v>0.26482627380940371</v>
      </c>
      <c r="AE211" s="164">
        <f t="shared" si="358"/>
        <v>0.25714829410521561</v>
      </c>
      <c r="AF211" s="164">
        <f t="shared" si="358"/>
        <v>0.25010176110664617</v>
      </c>
      <c r="AG211" s="164">
        <f t="shared" si="358"/>
        <v>0.24361106919543057</v>
      </c>
      <c r="AH211" s="164">
        <f t="shared" si="358"/>
        <v>0</v>
      </c>
      <c r="AI211" s="164">
        <f t="shared" si="358"/>
        <v>0</v>
      </c>
      <c r="AJ211" s="164">
        <f t="shared" si="358"/>
        <v>0</v>
      </c>
      <c r="AK211" s="164">
        <f t="shared" si="358"/>
        <v>0</v>
      </c>
      <c r="AL211" s="164">
        <f t="shared" si="358"/>
        <v>0</v>
      </c>
      <c r="AM211" s="164">
        <f t="shared" si="358"/>
        <v>0</v>
      </c>
      <c r="AN211" s="164">
        <f t="shared" si="358"/>
        <v>0</v>
      </c>
      <c r="AO211" s="164">
        <f t="shared" si="358"/>
        <v>0</v>
      </c>
      <c r="AP211" s="164">
        <f t="shared" si="358"/>
        <v>0</v>
      </c>
      <c r="AQ211" s="164">
        <f t="shared" si="358"/>
        <v>0</v>
      </c>
      <c r="AR211" s="164">
        <f t="shared" si="358"/>
        <v>0</v>
      </c>
      <c r="AS211" s="164">
        <f t="shared" si="358"/>
        <v>0</v>
      </c>
      <c r="AT211" s="164">
        <f t="shared" si="358"/>
        <v>0</v>
      </c>
      <c r="AU211" s="164">
        <f t="shared" si="358"/>
        <v>0</v>
      </c>
      <c r="AV211" s="164">
        <f t="shared" si="358"/>
        <v>0</v>
      </c>
      <c r="AW211" s="164">
        <f t="shared" si="358"/>
        <v>0</v>
      </c>
      <c r="AX211" s="164">
        <f t="shared" si="358"/>
        <v>0</v>
      </c>
      <c r="AY211" s="164">
        <f t="shared" si="358"/>
        <v>0</v>
      </c>
      <c r="AZ211" s="164">
        <f t="shared" si="358"/>
        <v>0</v>
      </c>
      <c r="BA211" s="164">
        <f t="shared" si="358"/>
        <v>0</v>
      </c>
      <c r="BB211" s="164">
        <f t="shared" si="358"/>
        <v>0</v>
      </c>
      <c r="BC211" s="164">
        <f t="shared" si="358"/>
        <v>0</v>
      </c>
      <c r="BD211" s="164">
        <f t="shared" si="358"/>
        <v>0</v>
      </c>
      <c r="BE211" s="164">
        <f t="shared" si="358"/>
        <v>0</v>
      </c>
      <c r="BF211" s="164">
        <f t="shared" si="358"/>
        <v>0</v>
      </c>
      <c r="BG211" s="164">
        <f t="shared" si="358"/>
        <v>0</v>
      </c>
      <c r="BH211" s="164">
        <f t="shared" si="358"/>
        <v>0</v>
      </c>
      <c r="BI211" s="164">
        <f t="shared" si="358"/>
        <v>0</v>
      </c>
      <c r="BJ211" s="164">
        <f t="shared" si="358"/>
        <v>0</v>
      </c>
      <c r="BK211" s="33">
        <f t="shared" si="358"/>
        <v>0</v>
      </c>
    </row>
    <row r="212" spans="9:63">
      <c r="I212" s="31">
        <v>20</v>
      </c>
      <c r="L212" s="225">
        <f t="shared" si="340"/>
        <v>0</v>
      </c>
      <c r="M212" s="164">
        <f t="shared" ref="M212:BK212" si="359">LOOKUP(M99,$K$56:$BK$56,$K$60:$BK$60)</f>
        <v>0</v>
      </c>
      <c r="N212" s="164">
        <f t="shared" si="359"/>
        <v>1.9258591270049308</v>
      </c>
      <c r="O212" s="164">
        <f t="shared" si="359"/>
        <v>0.88900631243690853</v>
      </c>
      <c r="P212" s="164">
        <f t="shared" si="359"/>
        <v>0.6829003022646829</v>
      </c>
      <c r="Q212" s="164">
        <f t="shared" si="359"/>
        <v>0.57604495485966867</v>
      </c>
      <c r="R212" s="164">
        <f t="shared" si="359"/>
        <v>0.50754481180037436</v>
      </c>
      <c r="S212" s="164">
        <f t="shared" si="359"/>
        <v>0.45892154717422362</v>
      </c>
      <c r="T212" s="164">
        <f t="shared" si="359"/>
        <v>0.42206352148133941</v>
      </c>
      <c r="U212" s="164">
        <f t="shared" si="359"/>
        <v>0.39290279113301169</v>
      </c>
      <c r="V212" s="164">
        <f t="shared" si="359"/>
        <v>0.36901679669198162</v>
      </c>
      <c r="W212" s="164">
        <f t="shared" si="359"/>
        <v>0.3490397850767421</v>
      </c>
      <c r="X212" s="164">
        <f t="shared" si="359"/>
        <v>0.33199370266062878</v>
      </c>
      <c r="Y212" s="164">
        <f t="shared" si="359"/>
        <v>0.31723943162399526</v>
      </c>
      <c r="Z212" s="164">
        <f t="shared" si="359"/>
        <v>0.30426785397262401</v>
      </c>
      <c r="AA212" s="164">
        <f t="shared" si="359"/>
        <v>0.29277949968509431</v>
      </c>
      <c r="AB212" s="164">
        <f t="shared" si="359"/>
        <v>0.28250182874437674</v>
      </c>
      <c r="AC212" s="164">
        <f t="shared" si="359"/>
        <v>0.273245200837056</v>
      </c>
      <c r="AD212" s="164">
        <f t="shared" si="359"/>
        <v>0.26482627380940371</v>
      </c>
      <c r="AE212" s="164">
        <f t="shared" si="359"/>
        <v>0.25714829410521561</v>
      </c>
      <c r="AF212" s="164">
        <f t="shared" si="359"/>
        <v>0.25010176110664617</v>
      </c>
      <c r="AG212" s="164">
        <f t="shared" si="359"/>
        <v>0.24361106919543057</v>
      </c>
      <c r="AH212" s="164">
        <f t="shared" si="359"/>
        <v>0</v>
      </c>
      <c r="AI212" s="164">
        <f t="shared" si="359"/>
        <v>0</v>
      </c>
      <c r="AJ212" s="164">
        <f t="shared" si="359"/>
        <v>0</v>
      </c>
      <c r="AK212" s="164">
        <f t="shared" si="359"/>
        <v>0</v>
      </c>
      <c r="AL212" s="164">
        <f t="shared" si="359"/>
        <v>0</v>
      </c>
      <c r="AM212" s="164">
        <f t="shared" si="359"/>
        <v>0</v>
      </c>
      <c r="AN212" s="164">
        <f t="shared" si="359"/>
        <v>0</v>
      </c>
      <c r="AO212" s="164">
        <f t="shared" si="359"/>
        <v>0</v>
      </c>
      <c r="AP212" s="164">
        <f t="shared" si="359"/>
        <v>0</v>
      </c>
      <c r="AQ212" s="164">
        <f t="shared" si="359"/>
        <v>0</v>
      </c>
      <c r="AR212" s="164">
        <f t="shared" si="359"/>
        <v>0</v>
      </c>
      <c r="AS212" s="164">
        <f t="shared" si="359"/>
        <v>0</v>
      </c>
      <c r="AT212" s="164">
        <f t="shared" si="359"/>
        <v>0</v>
      </c>
      <c r="AU212" s="164">
        <f t="shared" si="359"/>
        <v>0</v>
      </c>
      <c r="AV212" s="164">
        <f t="shared" si="359"/>
        <v>0</v>
      </c>
      <c r="AW212" s="164">
        <f t="shared" si="359"/>
        <v>0</v>
      </c>
      <c r="AX212" s="164">
        <f t="shared" si="359"/>
        <v>0</v>
      </c>
      <c r="AY212" s="164">
        <f t="shared" si="359"/>
        <v>0</v>
      </c>
      <c r="AZ212" s="164">
        <f t="shared" si="359"/>
        <v>0</v>
      </c>
      <c r="BA212" s="164">
        <f t="shared" si="359"/>
        <v>0</v>
      </c>
      <c r="BB212" s="164">
        <f t="shared" si="359"/>
        <v>0</v>
      </c>
      <c r="BC212" s="164">
        <f t="shared" si="359"/>
        <v>0</v>
      </c>
      <c r="BD212" s="164">
        <f t="shared" si="359"/>
        <v>0</v>
      </c>
      <c r="BE212" s="164">
        <f t="shared" si="359"/>
        <v>0</v>
      </c>
      <c r="BF212" s="164">
        <f t="shared" si="359"/>
        <v>0</v>
      </c>
      <c r="BG212" s="164">
        <f t="shared" si="359"/>
        <v>0</v>
      </c>
      <c r="BH212" s="164">
        <f t="shared" si="359"/>
        <v>0</v>
      </c>
      <c r="BI212" s="164">
        <f t="shared" si="359"/>
        <v>0</v>
      </c>
      <c r="BJ212" s="164">
        <f t="shared" si="359"/>
        <v>0</v>
      </c>
      <c r="BK212" s="33">
        <f t="shared" si="359"/>
        <v>0</v>
      </c>
    </row>
    <row r="213" spans="9:63">
      <c r="I213" s="31">
        <v>21</v>
      </c>
      <c r="L213" s="225">
        <f t="shared" si="340"/>
        <v>0</v>
      </c>
      <c r="M213" s="164">
        <f t="shared" ref="M213:BK213" si="360">LOOKUP(M100,$K$56:$BK$56,$K$60:$BK$60)</f>
        <v>0</v>
      </c>
      <c r="N213" s="164">
        <f t="shared" si="360"/>
        <v>0</v>
      </c>
      <c r="O213" s="164">
        <f t="shared" si="360"/>
        <v>1.9258591270049308</v>
      </c>
      <c r="P213" s="164">
        <f t="shared" si="360"/>
        <v>0.88900631243690853</v>
      </c>
      <c r="Q213" s="164">
        <f t="shared" si="360"/>
        <v>0.6829003022646829</v>
      </c>
      <c r="R213" s="164">
        <f t="shared" si="360"/>
        <v>0.57604495485966867</v>
      </c>
      <c r="S213" s="164">
        <f t="shared" si="360"/>
        <v>0.50754481180037436</v>
      </c>
      <c r="T213" s="164">
        <f t="shared" si="360"/>
        <v>0.45892154717422362</v>
      </c>
      <c r="U213" s="164">
        <f t="shared" si="360"/>
        <v>0.42206352148133941</v>
      </c>
      <c r="V213" s="164">
        <f t="shared" si="360"/>
        <v>0.39290279113301169</v>
      </c>
      <c r="W213" s="164">
        <f t="shared" si="360"/>
        <v>0.36901679669198162</v>
      </c>
      <c r="X213" s="164">
        <f t="shared" si="360"/>
        <v>0.3490397850767421</v>
      </c>
      <c r="Y213" s="164">
        <f t="shared" si="360"/>
        <v>0.33199370266062878</v>
      </c>
      <c r="Z213" s="164">
        <f t="shared" si="360"/>
        <v>0.31723943162399526</v>
      </c>
      <c r="AA213" s="164">
        <f t="shared" si="360"/>
        <v>0.30426785397262401</v>
      </c>
      <c r="AB213" s="164">
        <f t="shared" si="360"/>
        <v>0.29277949968509431</v>
      </c>
      <c r="AC213" s="164">
        <f t="shared" si="360"/>
        <v>0.28250182874437674</v>
      </c>
      <c r="AD213" s="164">
        <f t="shared" si="360"/>
        <v>0.273245200837056</v>
      </c>
      <c r="AE213" s="164">
        <f t="shared" si="360"/>
        <v>0.26482627380940371</v>
      </c>
      <c r="AF213" s="164">
        <f t="shared" si="360"/>
        <v>0.25714829410521561</v>
      </c>
      <c r="AG213" s="164">
        <f t="shared" si="360"/>
        <v>0.25010176110664617</v>
      </c>
      <c r="AH213" s="164">
        <f t="shared" si="360"/>
        <v>0.24361106919543057</v>
      </c>
      <c r="AI213" s="164">
        <f t="shared" si="360"/>
        <v>0</v>
      </c>
      <c r="AJ213" s="164">
        <f t="shared" si="360"/>
        <v>0</v>
      </c>
      <c r="AK213" s="164">
        <f t="shared" si="360"/>
        <v>0</v>
      </c>
      <c r="AL213" s="164">
        <f t="shared" si="360"/>
        <v>0</v>
      </c>
      <c r="AM213" s="164">
        <f t="shared" si="360"/>
        <v>0</v>
      </c>
      <c r="AN213" s="164">
        <f t="shared" si="360"/>
        <v>0</v>
      </c>
      <c r="AO213" s="164">
        <f t="shared" si="360"/>
        <v>0</v>
      </c>
      <c r="AP213" s="164">
        <f t="shared" si="360"/>
        <v>0</v>
      </c>
      <c r="AQ213" s="164">
        <f t="shared" si="360"/>
        <v>0</v>
      </c>
      <c r="AR213" s="164">
        <f t="shared" si="360"/>
        <v>0</v>
      </c>
      <c r="AS213" s="164">
        <f t="shared" si="360"/>
        <v>0</v>
      </c>
      <c r="AT213" s="164">
        <f t="shared" si="360"/>
        <v>0</v>
      </c>
      <c r="AU213" s="164">
        <f t="shared" si="360"/>
        <v>0</v>
      </c>
      <c r="AV213" s="164">
        <f t="shared" si="360"/>
        <v>0</v>
      </c>
      <c r="AW213" s="164">
        <f t="shared" si="360"/>
        <v>0</v>
      </c>
      <c r="AX213" s="164">
        <f t="shared" si="360"/>
        <v>0</v>
      </c>
      <c r="AY213" s="164">
        <f t="shared" si="360"/>
        <v>0</v>
      </c>
      <c r="AZ213" s="164">
        <f t="shared" si="360"/>
        <v>0</v>
      </c>
      <c r="BA213" s="164">
        <f t="shared" si="360"/>
        <v>0</v>
      </c>
      <c r="BB213" s="164">
        <f t="shared" si="360"/>
        <v>0</v>
      </c>
      <c r="BC213" s="164">
        <f t="shared" si="360"/>
        <v>0</v>
      </c>
      <c r="BD213" s="164">
        <f t="shared" si="360"/>
        <v>0</v>
      </c>
      <c r="BE213" s="164">
        <f t="shared" si="360"/>
        <v>0</v>
      </c>
      <c r="BF213" s="164">
        <f t="shared" si="360"/>
        <v>0</v>
      </c>
      <c r="BG213" s="164">
        <f t="shared" si="360"/>
        <v>0</v>
      </c>
      <c r="BH213" s="164">
        <f t="shared" si="360"/>
        <v>0</v>
      </c>
      <c r="BI213" s="164">
        <f t="shared" si="360"/>
        <v>0</v>
      </c>
      <c r="BJ213" s="164">
        <f t="shared" si="360"/>
        <v>0</v>
      </c>
      <c r="BK213" s="33">
        <f t="shared" si="360"/>
        <v>0</v>
      </c>
    </row>
    <row r="214" spans="9:63">
      <c r="I214" s="31">
        <v>22</v>
      </c>
      <c r="L214" s="225">
        <f t="shared" si="340"/>
        <v>0</v>
      </c>
      <c r="M214" s="164">
        <f t="shared" ref="M214:BK214" si="361">LOOKUP(M101,$K$56:$BK$56,$K$60:$BK$60)</f>
        <v>0</v>
      </c>
      <c r="N214" s="164">
        <f t="shared" si="361"/>
        <v>0</v>
      </c>
      <c r="O214" s="164">
        <f t="shared" si="361"/>
        <v>1.9258591270049308</v>
      </c>
      <c r="P214" s="164">
        <f t="shared" si="361"/>
        <v>0.88900631243690853</v>
      </c>
      <c r="Q214" s="164">
        <f t="shared" si="361"/>
        <v>0.6829003022646829</v>
      </c>
      <c r="R214" s="164">
        <f t="shared" si="361"/>
        <v>0.57604495485966867</v>
      </c>
      <c r="S214" s="164">
        <f t="shared" si="361"/>
        <v>0.50754481180037436</v>
      </c>
      <c r="T214" s="164">
        <f t="shared" si="361"/>
        <v>0.45892154717422362</v>
      </c>
      <c r="U214" s="164">
        <f t="shared" si="361"/>
        <v>0.42206352148133941</v>
      </c>
      <c r="V214" s="164">
        <f t="shared" si="361"/>
        <v>0.39290279113301169</v>
      </c>
      <c r="W214" s="164">
        <f t="shared" si="361"/>
        <v>0.36901679669198162</v>
      </c>
      <c r="X214" s="164">
        <f t="shared" si="361"/>
        <v>0.3490397850767421</v>
      </c>
      <c r="Y214" s="164">
        <f t="shared" si="361"/>
        <v>0.33199370266062878</v>
      </c>
      <c r="Z214" s="164">
        <f t="shared" si="361"/>
        <v>0.31723943162399526</v>
      </c>
      <c r="AA214" s="164">
        <f t="shared" si="361"/>
        <v>0.30426785397262401</v>
      </c>
      <c r="AB214" s="164">
        <f t="shared" si="361"/>
        <v>0.29277949968509431</v>
      </c>
      <c r="AC214" s="164">
        <f t="shared" si="361"/>
        <v>0.28250182874437674</v>
      </c>
      <c r="AD214" s="164">
        <f t="shared" si="361"/>
        <v>0.273245200837056</v>
      </c>
      <c r="AE214" s="164">
        <f t="shared" si="361"/>
        <v>0.26482627380940371</v>
      </c>
      <c r="AF214" s="164">
        <f t="shared" si="361"/>
        <v>0.25714829410521561</v>
      </c>
      <c r="AG214" s="164">
        <f t="shared" si="361"/>
        <v>0.25010176110664617</v>
      </c>
      <c r="AH214" s="164">
        <f t="shared" si="361"/>
        <v>0.24361106919543057</v>
      </c>
      <c r="AI214" s="164">
        <f t="shared" si="361"/>
        <v>0</v>
      </c>
      <c r="AJ214" s="164">
        <f t="shared" si="361"/>
        <v>0</v>
      </c>
      <c r="AK214" s="164">
        <f t="shared" si="361"/>
        <v>0</v>
      </c>
      <c r="AL214" s="164">
        <f t="shared" si="361"/>
        <v>0</v>
      </c>
      <c r="AM214" s="164">
        <f t="shared" si="361"/>
        <v>0</v>
      </c>
      <c r="AN214" s="164">
        <f t="shared" si="361"/>
        <v>0</v>
      </c>
      <c r="AO214" s="164">
        <f t="shared" si="361"/>
        <v>0</v>
      </c>
      <c r="AP214" s="164">
        <f t="shared" si="361"/>
        <v>0</v>
      </c>
      <c r="AQ214" s="164">
        <f t="shared" si="361"/>
        <v>0</v>
      </c>
      <c r="AR214" s="164">
        <f t="shared" si="361"/>
        <v>0</v>
      </c>
      <c r="AS214" s="164">
        <f t="shared" si="361"/>
        <v>0</v>
      </c>
      <c r="AT214" s="164">
        <f t="shared" si="361"/>
        <v>0</v>
      </c>
      <c r="AU214" s="164">
        <f t="shared" si="361"/>
        <v>0</v>
      </c>
      <c r="AV214" s="164">
        <f t="shared" si="361"/>
        <v>0</v>
      </c>
      <c r="AW214" s="164">
        <f t="shared" si="361"/>
        <v>0</v>
      </c>
      <c r="AX214" s="164">
        <f t="shared" si="361"/>
        <v>0</v>
      </c>
      <c r="AY214" s="164">
        <f t="shared" si="361"/>
        <v>0</v>
      </c>
      <c r="AZ214" s="164">
        <f t="shared" si="361"/>
        <v>0</v>
      </c>
      <c r="BA214" s="164">
        <f t="shared" si="361"/>
        <v>0</v>
      </c>
      <c r="BB214" s="164">
        <f t="shared" si="361"/>
        <v>0</v>
      </c>
      <c r="BC214" s="164">
        <f t="shared" si="361"/>
        <v>0</v>
      </c>
      <c r="BD214" s="164">
        <f t="shared" si="361"/>
        <v>0</v>
      </c>
      <c r="BE214" s="164">
        <f t="shared" si="361"/>
        <v>0</v>
      </c>
      <c r="BF214" s="164">
        <f t="shared" si="361"/>
        <v>0</v>
      </c>
      <c r="BG214" s="164">
        <f t="shared" si="361"/>
        <v>0</v>
      </c>
      <c r="BH214" s="164">
        <f t="shared" si="361"/>
        <v>0</v>
      </c>
      <c r="BI214" s="164">
        <f t="shared" si="361"/>
        <v>0</v>
      </c>
      <c r="BJ214" s="164">
        <f t="shared" si="361"/>
        <v>0</v>
      </c>
      <c r="BK214" s="33">
        <f t="shared" si="361"/>
        <v>0</v>
      </c>
    </row>
    <row r="215" spans="9:63">
      <c r="I215" s="31">
        <v>23</v>
      </c>
      <c r="L215" s="225">
        <f t="shared" si="340"/>
        <v>0</v>
      </c>
      <c r="M215" s="164">
        <f t="shared" ref="M215:BK215" si="362">LOOKUP(M102,$K$56:$BK$56,$K$60:$BK$60)</f>
        <v>0</v>
      </c>
      <c r="N215" s="164">
        <f t="shared" si="362"/>
        <v>0</v>
      </c>
      <c r="O215" s="164">
        <f t="shared" si="362"/>
        <v>1.9258591270049308</v>
      </c>
      <c r="P215" s="164">
        <f t="shared" si="362"/>
        <v>0.88900631243690853</v>
      </c>
      <c r="Q215" s="164">
        <f t="shared" si="362"/>
        <v>0.6829003022646829</v>
      </c>
      <c r="R215" s="164">
        <f t="shared" si="362"/>
        <v>0.57604495485966867</v>
      </c>
      <c r="S215" s="164">
        <f t="shared" si="362"/>
        <v>0.50754481180037436</v>
      </c>
      <c r="T215" s="164">
        <f t="shared" si="362"/>
        <v>0.45892154717422362</v>
      </c>
      <c r="U215" s="164">
        <f t="shared" si="362"/>
        <v>0.42206352148133941</v>
      </c>
      <c r="V215" s="164">
        <f t="shared" si="362"/>
        <v>0.39290279113301169</v>
      </c>
      <c r="W215" s="164">
        <f t="shared" si="362"/>
        <v>0.36901679669198162</v>
      </c>
      <c r="X215" s="164">
        <f t="shared" si="362"/>
        <v>0.3490397850767421</v>
      </c>
      <c r="Y215" s="164">
        <f t="shared" si="362"/>
        <v>0.33199370266062878</v>
      </c>
      <c r="Z215" s="164">
        <f t="shared" si="362"/>
        <v>0.31723943162399526</v>
      </c>
      <c r="AA215" s="164">
        <f t="shared" si="362"/>
        <v>0.30426785397262401</v>
      </c>
      <c r="AB215" s="164">
        <f t="shared" si="362"/>
        <v>0.29277949968509431</v>
      </c>
      <c r="AC215" s="164">
        <f t="shared" si="362"/>
        <v>0.28250182874437674</v>
      </c>
      <c r="AD215" s="164">
        <f t="shared" si="362"/>
        <v>0.273245200837056</v>
      </c>
      <c r="AE215" s="164">
        <f t="shared" si="362"/>
        <v>0.26482627380940371</v>
      </c>
      <c r="AF215" s="164">
        <f t="shared" si="362"/>
        <v>0.25714829410521561</v>
      </c>
      <c r="AG215" s="164">
        <f t="shared" si="362"/>
        <v>0.25010176110664617</v>
      </c>
      <c r="AH215" s="164">
        <f t="shared" si="362"/>
        <v>0.24361106919543057</v>
      </c>
      <c r="AI215" s="164">
        <f t="shared" si="362"/>
        <v>0</v>
      </c>
      <c r="AJ215" s="164">
        <f t="shared" si="362"/>
        <v>0</v>
      </c>
      <c r="AK215" s="164">
        <f t="shared" si="362"/>
        <v>0</v>
      </c>
      <c r="AL215" s="164">
        <f t="shared" si="362"/>
        <v>0</v>
      </c>
      <c r="AM215" s="164">
        <f t="shared" si="362"/>
        <v>0</v>
      </c>
      <c r="AN215" s="164">
        <f t="shared" si="362"/>
        <v>0</v>
      </c>
      <c r="AO215" s="164">
        <f t="shared" si="362"/>
        <v>0</v>
      </c>
      <c r="AP215" s="164">
        <f t="shared" si="362"/>
        <v>0</v>
      </c>
      <c r="AQ215" s="164">
        <f t="shared" si="362"/>
        <v>0</v>
      </c>
      <c r="AR215" s="164">
        <f t="shared" si="362"/>
        <v>0</v>
      </c>
      <c r="AS215" s="164">
        <f t="shared" si="362"/>
        <v>0</v>
      </c>
      <c r="AT215" s="164">
        <f t="shared" si="362"/>
        <v>0</v>
      </c>
      <c r="AU215" s="164">
        <f t="shared" si="362"/>
        <v>0</v>
      </c>
      <c r="AV215" s="164">
        <f t="shared" si="362"/>
        <v>0</v>
      </c>
      <c r="AW215" s="164">
        <f t="shared" si="362"/>
        <v>0</v>
      </c>
      <c r="AX215" s="164">
        <f t="shared" si="362"/>
        <v>0</v>
      </c>
      <c r="AY215" s="164">
        <f t="shared" si="362"/>
        <v>0</v>
      </c>
      <c r="AZ215" s="164">
        <f t="shared" si="362"/>
        <v>0</v>
      </c>
      <c r="BA215" s="164">
        <f t="shared" si="362"/>
        <v>0</v>
      </c>
      <c r="BB215" s="164">
        <f t="shared" si="362"/>
        <v>0</v>
      </c>
      <c r="BC215" s="164">
        <f t="shared" si="362"/>
        <v>0</v>
      </c>
      <c r="BD215" s="164">
        <f t="shared" si="362"/>
        <v>0</v>
      </c>
      <c r="BE215" s="164">
        <f t="shared" si="362"/>
        <v>0</v>
      </c>
      <c r="BF215" s="164">
        <f t="shared" si="362"/>
        <v>0</v>
      </c>
      <c r="BG215" s="164">
        <f t="shared" si="362"/>
        <v>0</v>
      </c>
      <c r="BH215" s="164">
        <f t="shared" si="362"/>
        <v>0</v>
      </c>
      <c r="BI215" s="164">
        <f t="shared" si="362"/>
        <v>0</v>
      </c>
      <c r="BJ215" s="164">
        <f t="shared" si="362"/>
        <v>0</v>
      </c>
      <c r="BK215" s="33">
        <f t="shared" si="362"/>
        <v>0</v>
      </c>
    </row>
    <row r="216" spans="9:63">
      <c r="I216" s="31">
        <v>24</v>
      </c>
      <c r="L216" s="225">
        <f t="shared" si="340"/>
        <v>0</v>
      </c>
      <c r="M216" s="164">
        <f t="shared" ref="M216:BK216" si="363">LOOKUP(M103,$K$56:$BK$56,$K$60:$BK$60)</f>
        <v>0</v>
      </c>
      <c r="N216" s="164">
        <f t="shared" si="363"/>
        <v>0</v>
      </c>
      <c r="O216" s="164">
        <f t="shared" si="363"/>
        <v>1.9258591270049308</v>
      </c>
      <c r="P216" s="164">
        <f t="shared" si="363"/>
        <v>0.88900631243690853</v>
      </c>
      <c r="Q216" s="164">
        <f t="shared" si="363"/>
        <v>0.6829003022646829</v>
      </c>
      <c r="R216" s="164">
        <f t="shared" si="363"/>
        <v>0.57604495485966867</v>
      </c>
      <c r="S216" s="164">
        <f t="shared" si="363"/>
        <v>0.50754481180037436</v>
      </c>
      <c r="T216" s="164">
        <f t="shared" si="363"/>
        <v>0.45892154717422362</v>
      </c>
      <c r="U216" s="164">
        <f t="shared" si="363"/>
        <v>0.42206352148133941</v>
      </c>
      <c r="V216" s="164">
        <f t="shared" si="363"/>
        <v>0.39290279113301169</v>
      </c>
      <c r="W216" s="164">
        <f t="shared" si="363"/>
        <v>0.36901679669198162</v>
      </c>
      <c r="X216" s="164">
        <f t="shared" si="363"/>
        <v>0.3490397850767421</v>
      </c>
      <c r="Y216" s="164">
        <f t="shared" si="363"/>
        <v>0.33199370266062878</v>
      </c>
      <c r="Z216" s="164">
        <f t="shared" si="363"/>
        <v>0.31723943162399526</v>
      </c>
      <c r="AA216" s="164">
        <f t="shared" si="363"/>
        <v>0.30426785397262401</v>
      </c>
      <c r="AB216" s="164">
        <f t="shared" si="363"/>
        <v>0.29277949968509431</v>
      </c>
      <c r="AC216" s="164">
        <f t="shared" si="363"/>
        <v>0.28250182874437674</v>
      </c>
      <c r="AD216" s="164">
        <f t="shared" si="363"/>
        <v>0.273245200837056</v>
      </c>
      <c r="AE216" s="164">
        <f t="shared" si="363"/>
        <v>0.26482627380940371</v>
      </c>
      <c r="AF216" s="164">
        <f t="shared" si="363"/>
        <v>0.25714829410521561</v>
      </c>
      <c r="AG216" s="164">
        <f t="shared" si="363"/>
        <v>0.25010176110664617</v>
      </c>
      <c r="AH216" s="164">
        <f t="shared" si="363"/>
        <v>0.24361106919543057</v>
      </c>
      <c r="AI216" s="164">
        <f t="shared" si="363"/>
        <v>0</v>
      </c>
      <c r="AJ216" s="164">
        <f t="shared" si="363"/>
        <v>0</v>
      </c>
      <c r="AK216" s="164">
        <f t="shared" si="363"/>
        <v>0</v>
      </c>
      <c r="AL216" s="164">
        <f t="shared" si="363"/>
        <v>0</v>
      </c>
      <c r="AM216" s="164">
        <f t="shared" si="363"/>
        <v>0</v>
      </c>
      <c r="AN216" s="164">
        <f t="shared" si="363"/>
        <v>0</v>
      </c>
      <c r="AO216" s="164">
        <f t="shared" si="363"/>
        <v>0</v>
      </c>
      <c r="AP216" s="164">
        <f t="shared" si="363"/>
        <v>0</v>
      </c>
      <c r="AQ216" s="164">
        <f t="shared" si="363"/>
        <v>0</v>
      </c>
      <c r="AR216" s="164">
        <f t="shared" si="363"/>
        <v>0</v>
      </c>
      <c r="AS216" s="164">
        <f t="shared" si="363"/>
        <v>0</v>
      </c>
      <c r="AT216" s="164">
        <f t="shared" si="363"/>
        <v>0</v>
      </c>
      <c r="AU216" s="164">
        <f t="shared" si="363"/>
        <v>0</v>
      </c>
      <c r="AV216" s="164">
        <f t="shared" si="363"/>
        <v>0</v>
      </c>
      <c r="AW216" s="164">
        <f t="shared" si="363"/>
        <v>0</v>
      </c>
      <c r="AX216" s="164">
        <f t="shared" si="363"/>
        <v>0</v>
      </c>
      <c r="AY216" s="164">
        <f t="shared" si="363"/>
        <v>0</v>
      </c>
      <c r="AZ216" s="164">
        <f t="shared" si="363"/>
        <v>0</v>
      </c>
      <c r="BA216" s="164">
        <f t="shared" si="363"/>
        <v>0</v>
      </c>
      <c r="BB216" s="164">
        <f t="shared" si="363"/>
        <v>0</v>
      </c>
      <c r="BC216" s="164">
        <f t="shared" si="363"/>
        <v>0</v>
      </c>
      <c r="BD216" s="164">
        <f t="shared" si="363"/>
        <v>0</v>
      </c>
      <c r="BE216" s="164">
        <f t="shared" si="363"/>
        <v>0</v>
      </c>
      <c r="BF216" s="164">
        <f t="shared" si="363"/>
        <v>0</v>
      </c>
      <c r="BG216" s="164">
        <f t="shared" si="363"/>
        <v>0</v>
      </c>
      <c r="BH216" s="164">
        <f t="shared" si="363"/>
        <v>0</v>
      </c>
      <c r="BI216" s="164">
        <f t="shared" si="363"/>
        <v>0</v>
      </c>
      <c r="BJ216" s="164">
        <f t="shared" si="363"/>
        <v>0</v>
      </c>
      <c r="BK216" s="33">
        <f t="shared" si="363"/>
        <v>0</v>
      </c>
    </row>
    <row r="217" spans="9:63">
      <c r="I217" s="31">
        <v>25</v>
      </c>
      <c r="L217" s="225">
        <f t="shared" si="340"/>
        <v>0</v>
      </c>
      <c r="M217" s="164">
        <f t="shared" ref="M217:BK217" si="364">LOOKUP(M104,$K$56:$BK$56,$K$60:$BK$60)</f>
        <v>0</v>
      </c>
      <c r="N217" s="164">
        <f t="shared" si="364"/>
        <v>0</v>
      </c>
      <c r="O217" s="164">
        <f t="shared" si="364"/>
        <v>0</v>
      </c>
      <c r="P217" s="164">
        <f t="shared" si="364"/>
        <v>1.9258591270049308</v>
      </c>
      <c r="Q217" s="164">
        <f t="shared" si="364"/>
        <v>0.88900631243690853</v>
      </c>
      <c r="R217" s="164">
        <f t="shared" si="364"/>
        <v>0.6829003022646829</v>
      </c>
      <c r="S217" s="164">
        <f t="shared" si="364"/>
        <v>0.57604495485966867</v>
      </c>
      <c r="T217" s="164">
        <f t="shared" si="364"/>
        <v>0.50754481180037436</v>
      </c>
      <c r="U217" s="164">
        <f t="shared" si="364"/>
        <v>0.45892154717422362</v>
      </c>
      <c r="V217" s="164">
        <f t="shared" si="364"/>
        <v>0.42206352148133941</v>
      </c>
      <c r="W217" s="164">
        <f t="shared" si="364"/>
        <v>0.39290279113301169</v>
      </c>
      <c r="X217" s="164">
        <f t="shared" si="364"/>
        <v>0.36901679669198162</v>
      </c>
      <c r="Y217" s="164">
        <f t="shared" si="364"/>
        <v>0.3490397850767421</v>
      </c>
      <c r="Z217" s="164">
        <f t="shared" si="364"/>
        <v>0.33199370266062878</v>
      </c>
      <c r="AA217" s="164">
        <f t="shared" si="364"/>
        <v>0.31723943162399526</v>
      </c>
      <c r="AB217" s="164">
        <f t="shared" si="364"/>
        <v>0.30426785397262401</v>
      </c>
      <c r="AC217" s="164">
        <f t="shared" si="364"/>
        <v>0.29277949968509431</v>
      </c>
      <c r="AD217" s="164">
        <f t="shared" si="364"/>
        <v>0.28250182874437674</v>
      </c>
      <c r="AE217" s="164">
        <f t="shared" si="364"/>
        <v>0.273245200837056</v>
      </c>
      <c r="AF217" s="164">
        <f t="shared" si="364"/>
        <v>0.26482627380940371</v>
      </c>
      <c r="AG217" s="164">
        <f t="shared" si="364"/>
        <v>0.25714829410521561</v>
      </c>
      <c r="AH217" s="164">
        <f t="shared" si="364"/>
        <v>0.25010176110664617</v>
      </c>
      <c r="AI217" s="164">
        <f t="shared" si="364"/>
        <v>0.24361106919543057</v>
      </c>
      <c r="AJ217" s="164">
        <f t="shared" si="364"/>
        <v>0</v>
      </c>
      <c r="AK217" s="164">
        <f t="shared" si="364"/>
        <v>0</v>
      </c>
      <c r="AL217" s="164">
        <f t="shared" si="364"/>
        <v>0</v>
      </c>
      <c r="AM217" s="164">
        <f t="shared" si="364"/>
        <v>0</v>
      </c>
      <c r="AN217" s="164">
        <f t="shared" si="364"/>
        <v>0</v>
      </c>
      <c r="AO217" s="164">
        <f t="shared" si="364"/>
        <v>0</v>
      </c>
      <c r="AP217" s="164">
        <f t="shared" si="364"/>
        <v>0</v>
      </c>
      <c r="AQ217" s="164">
        <f t="shared" si="364"/>
        <v>0</v>
      </c>
      <c r="AR217" s="164">
        <f t="shared" si="364"/>
        <v>0</v>
      </c>
      <c r="AS217" s="164">
        <f t="shared" si="364"/>
        <v>0</v>
      </c>
      <c r="AT217" s="164">
        <f t="shared" si="364"/>
        <v>0</v>
      </c>
      <c r="AU217" s="164">
        <f t="shared" si="364"/>
        <v>0</v>
      </c>
      <c r="AV217" s="164">
        <f t="shared" si="364"/>
        <v>0</v>
      </c>
      <c r="AW217" s="164">
        <f t="shared" si="364"/>
        <v>0</v>
      </c>
      <c r="AX217" s="164">
        <f t="shared" si="364"/>
        <v>0</v>
      </c>
      <c r="AY217" s="164">
        <f t="shared" si="364"/>
        <v>0</v>
      </c>
      <c r="AZ217" s="164">
        <f t="shared" si="364"/>
        <v>0</v>
      </c>
      <c r="BA217" s="164">
        <f t="shared" si="364"/>
        <v>0</v>
      </c>
      <c r="BB217" s="164">
        <f t="shared" si="364"/>
        <v>0</v>
      </c>
      <c r="BC217" s="164">
        <f t="shared" si="364"/>
        <v>0</v>
      </c>
      <c r="BD217" s="164">
        <f t="shared" si="364"/>
        <v>0</v>
      </c>
      <c r="BE217" s="164">
        <f t="shared" si="364"/>
        <v>0</v>
      </c>
      <c r="BF217" s="164">
        <f t="shared" si="364"/>
        <v>0</v>
      </c>
      <c r="BG217" s="164">
        <f t="shared" si="364"/>
        <v>0</v>
      </c>
      <c r="BH217" s="164">
        <f t="shared" si="364"/>
        <v>0</v>
      </c>
      <c r="BI217" s="164">
        <f t="shared" si="364"/>
        <v>0</v>
      </c>
      <c r="BJ217" s="164">
        <f t="shared" si="364"/>
        <v>0</v>
      </c>
      <c r="BK217" s="33">
        <f t="shared" si="364"/>
        <v>0</v>
      </c>
    </row>
    <row r="218" spans="9:63">
      <c r="I218" s="31">
        <v>26</v>
      </c>
      <c r="L218" s="225">
        <f t="shared" si="340"/>
        <v>0</v>
      </c>
      <c r="M218" s="164">
        <f t="shared" ref="M218:BK218" si="365">LOOKUP(M105,$K$56:$BK$56,$K$60:$BK$60)</f>
        <v>0</v>
      </c>
      <c r="N218" s="164">
        <f t="shared" si="365"/>
        <v>0</v>
      </c>
      <c r="O218" s="164">
        <f t="shared" si="365"/>
        <v>0</v>
      </c>
      <c r="P218" s="164">
        <f t="shared" si="365"/>
        <v>1.9258591270049308</v>
      </c>
      <c r="Q218" s="164">
        <f t="shared" si="365"/>
        <v>0.88900631243690853</v>
      </c>
      <c r="R218" s="164">
        <f t="shared" si="365"/>
        <v>0.6829003022646829</v>
      </c>
      <c r="S218" s="164">
        <f t="shared" si="365"/>
        <v>0.57604495485966867</v>
      </c>
      <c r="T218" s="164">
        <f t="shared" si="365"/>
        <v>0.50754481180037436</v>
      </c>
      <c r="U218" s="164">
        <f t="shared" si="365"/>
        <v>0.45892154717422362</v>
      </c>
      <c r="V218" s="164">
        <f t="shared" si="365"/>
        <v>0.42206352148133941</v>
      </c>
      <c r="W218" s="164">
        <f t="shared" si="365"/>
        <v>0.39290279113301169</v>
      </c>
      <c r="X218" s="164">
        <f t="shared" si="365"/>
        <v>0.36901679669198162</v>
      </c>
      <c r="Y218" s="164">
        <f t="shared" si="365"/>
        <v>0.3490397850767421</v>
      </c>
      <c r="Z218" s="164">
        <f t="shared" si="365"/>
        <v>0.33199370266062878</v>
      </c>
      <c r="AA218" s="164">
        <f t="shared" si="365"/>
        <v>0.31723943162399526</v>
      </c>
      <c r="AB218" s="164">
        <f t="shared" si="365"/>
        <v>0.30426785397262401</v>
      </c>
      <c r="AC218" s="164">
        <f t="shared" si="365"/>
        <v>0.29277949968509431</v>
      </c>
      <c r="AD218" s="164">
        <f t="shared" si="365"/>
        <v>0.28250182874437674</v>
      </c>
      <c r="AE218" s="164">
        <f t="shared" si="365"/>
        <v>0.273245200837056</v>
      </c>
      <c r="AF218" s="164">
        <f t="shared" si="365"/>
        <v>0.26482627380940371</v>
      </c>
      <c r="AG218" s="164">
        <f t="shared" si="365"/>
        <v>0.25714829410521561</v>
      </c>
      <c r="AH218" s="164">
        <f t="shared" si="365"/>
        <v>0.25010176110664617</v>
      </c>
      <c r="AI218" s="164">
        <f t="shared" si="365"/>
        <v>0.24361106919543057</v>
      </c>
      <c r="AJ218" s="164">
        <f t="shared" si="365"/>
        <v>0</v>
      </c>
      <c r="AK218" s="164">
        <f t="shared" si="365"/>
        <v>0</v>
      </c>
      <c r="AL218" s="164">
        <f t="shared" si="365"/>
        <v>0</v>
      </c>
      <c r="AM218" s="164">
        <f t="shared" si="365"/>
        <v>0</v>
      </c>
      <c r="AN218" s="164">
        <f t="shared" si="365"/>
        <v>0</v>
      </c>
      <c r="AO218" s="164">
        <f t="shared" si="365"/>
        <v>0</v>
      </c>
      <c r="AP218" s="164">
        <f t="shared" si="365"/>
        <v>0</v>
      </c>
      <c r="AQ218" s="164">
        <f t="shared" si="365"/>
        <v>0</v>
      </c>
      <c r="AR218" s="164">
        <f t="shared" si="365"/>
        <v>0</v>
      </c>
      <c r="AS218" s="164">
        <f t="shared" si="365"/>
        <v>0</v>
      </c>
      <c r="AT218" s="164">
        <f t="shared" si="365"/>
        <v>0</v>
      </c>
      <c r="AU218" s="164">
        <f t="shared" si="365"/>
        <v>0</v>
      </c>
      <c r="AV218" s="164">
        <f t="shared" si="365"/>
        <v>0</v>
      </c>
      <c r="AW218" s="164">
        <f t="shared" si="365"/>
        <v>0</v>
      </c>
      <c r="AX218" s="164">
        <f t="shared" si="365"/>
        <v>0</v>
      </c>
      <c r="AY218" s="164">
        <f t="shared" si="365"/>
        <v>0</v>
      </c>
      <c r="AZ218" s="164">
        <f t="shared" si="365"/>
        <v>0</v>
      </c>
      <c r="BA218" s="164">
        <f t="shared" si="365"/>
        <v>0</v>
      </c>
      <c r="BB218" s="164">
        <f t="shared" si="365"/>
        <v>0</v>
      </c>
      <c r="BC218" s="164">
        <f t="shared" si="365"/>
        <v>0</v>
      </c>
      <c r="BD218" s="164">
        <f t="shared" si="365"/>
        <v>0</v>
      </c>
      <c r="BE218" s="164">
        <f t="shared" si="365"/>
        <v>0</v>
      </c>
      <c r="BF218" s="164">
        <f t="shared" si="365"/>
        <v>0</v>
      </c>
      <c r="BG218" s="164">
        <f t="shared" si="365"/>
        <v>0</v>
      </c>
      <c r="BH218" s="164">
        <f t="shared" si="365"/>
        <v>0</v>
      </c>
      <c r="BI218" s="164">
        <f t="shared" si="365"/>
        <v>0</v>
      </c>
      <c r="BJ218" s="164">
        <f t="shared" si="365"/>
        <v>0</v>
      </c>
      <c r="BK218" s="33">
        <f t="shared" si="365"/>
        <v>0</v>
      </c>
    </row>
    <row r="219" spans="9:63">
      <c r="I219" s="31">
        <v>27</v>
      </c>
      <c r="L219" s="225">
        <f t="shared" si="340"/>
        <v>0</v>
      </c>
      <c r="M219" s="164">
        <f t="shared" ref="M219:BK219" si="366">LOOKUP(M106,$K$56:$BK$56,$K$60:$BK$60)</f>
        <v>0</v>
      </c>
      <c r="N219" s="164">
        <f t="shared" si="366"/>
        <v>0</v>
      </c>
      <c r="O219" s="164">
        <f t="shared" si="366"/>
        <v>0</v>
      </c>
      <c r="P219" s="164">
        <f t="shared" si="366"/>
        <v>1.9258591270049308</v>
      </c>
      <c r="Q219" s="164">
        <f t="shared" si="366"/>
        <v>0.88900631243690853</v>
      </c>
      <c r="R219" s="164">
        <f t="shared" si="366"/>
        <v>0.6829003022646829</v>
      </c>
      <c r="S219" s="164">
        <f t="shared" si="366"/>
        <v>0.57604495485966867</v>
      </c>
      <c r="T219" s="164">
        <f t="shared" si="366"/>
        <v>0.50754481180037436</v>
      </c>
      <c r="U219" s="164">
        <f t="shared" si="366"/>
        <v>0.45892154717422362</v>
      </c>
      <c r="V219" s="164">
        <f t="shared" si="366"/>
        <v>0.42206352148133941</v>
      </c>
      <c r="W219" s="164">
        <f t="shared" si="366"/>
        <v>0.39290279113301169</v>
      </c>
      <c r="X219" s="164">
        <f t="shared" si="366"/>
        <v>0.36901679669198162</v>
      </c>
      <c r="Y219" s="164">
        <f t="shared" si="366"/>
        <v>0.3490397850767421</v>
      </c>
      <c r="Z219" s="164">
        <f t="shared" si="366"/>
        <v>0.33199370266062878</v>
      </c>
      <c r="AA219" s="164">
        <f t="shared" si="366"/>
        <v>0.31723943162399526</v>
      </c>
      <c r="AB219" s="164">
        <f t="shared" si="366"/>
        <v>0.30426785397262401</v>
      </c>
      <c r="AC219" s="164">
        <f t="shared" si="366"/>
        <v>0.29277949968509431</v>
      </c>
      <c r="AD219" s="164">
        <f t="shared" si="366"/>
        <v>0.28250182874437674</v>
      </c>
      <c r="AE219" s="164">
        <f t="shared" si="366"/>
        <v>0.273245200837056</v>
      </c>
      <c r="AF219" s="164">
        <f t="shared" si="366"/>
        <v>0.26482627380940371</v>
      </c>
      <c r="AG219" s="164">
        <f t="shared" si="366"/>
        <v>0.25714829410521561</v>
      </c>
      <c r="AH219" s="164">
        <f t="shared" si="366"/>
        <v>0.25010176110664617</v>
      </c>
      <c r="AI219" s="164">
        <f t="shared" si="366"/>
        <v>0.24361106919543057</v>
      </c>
      <c r="AJ219" s="164">
        <f t="shared" si="366"/>
        <v>0</v>
      </c>
      <c r="AK219" s="164">
        <f t="shared" si="366"/>
        <v>0</v>
      </c>
      <c r="AL219" s="164">
        <f t="shared" si="366"/>
        <v>0</v>
      </c>
      <c r="AM219" s="164">
        <f t="shared" si="366"/>
        <v>0</v>
      </c>
      <c r="AN219" s="164">
        <f t="shared" si="366"/>
        <v>0</v>
      </c>
      <c r="AO219" s="164">
        <f t="shared" si="366"/>
        <v>0</v>
      </c>
      <c r="AP219" s="164">
        <f t="shared" si="366"/>
        <v>0</v>
      </c>
      <c r="AQ219" s="164">
        <f t="shared" si="366"/>
        <v>0</v>
      </c>
      <c r="AR219" s="164">
        <f t="shared" si="366"/>
        <v>0</v>
      </c>
      <c r="AS219" s="164">
        <f t="shared" si="366"/>
        <v>0</v>
      </c>
      <c r="AT219" s="164">
        <f t="shared" si="366"/>
        <v>0</v>
      </c>
      <c r="AU219" s="164">
        <f t="shared" si="366"/>
        <v>0</v>
      </c>
      <c r="AV219" s="164">
        <f t="shared" si="366"/>
        <v>0</v>
      </c>
      <c r="AW219" s="164">
        <f t="shared" si="366"/>
        <v>0</v>
      </c>
      <c r="AX219" s="164">
        <f t="shared" si="366"/>
        <v>0</v>
      </c>
      <c r="AY219" s="164">
        <f t="shared" si="366"/>
        <v>0</v>
      </c>
      <c r="AZ219" s="164">
        <f t="shared" si="366"/>
        <v>0</v>
      </c>
      <c r="BA219" s="164">
        <f t="shared" si="366"/>
        <v>0</v>
      </c>
      <c r="BB219" s="164">
        <f t="shared" si="366"/>
        <v>0</v>
      </c>
      <c r="BC219" s="164">
        <f t="shared" si="366"/>
        <v>0</v>
      </c>
      <c r="BD219" s="164">
        <f t="shared" si="366"/>
        <v>0</v>
      </c>
      <c r="BE219" s="164">
        <f t="shared" si="366"/>
        <v>0</v>
      </c>
      <c r="BF219" s="164">
        <f t="shared" si="366"/>
        <v>0</v>
      </c>
      <c r="BG219" s="164">
        <f t="shared" si="366"/>
        <v>0</v>
      </c>
      <c r="BH219" s="164">
        <f t="shared" si="366"/>
        <v>0</v>
      </c>
      <c r="BI219" s="164">
        <f t="shared" si="366"/>
        <v>0</v>
      </c>
      <c r="BJ219" s="164">
        <f t="shared" si="366"/>
        <v>0</v>
      </c>
      <c r="BK219" s="33">
        <f t="shared" si="366"/>
        <v>0</v>
      </c>
    </row>
    <row r="220" spans="9:63">
      <c r="I220" s="31">
        <v>28</v>
      </c>
      <c r="L220" s="225">
        <f t="shared" si="340"/>
        <v>0</v>
      </c>
      <c r="M220" s="164">
        <f t="shared" ref="M220:BK220" si="367">LOOKUP(M107,$K$56:$BK$56,$K$60:$BK$60)</f>
        <v>0</v>
      </c>
      <c r="N220" s="164">
        <f t="shared" si="367"/>
        <v>0</v>
      </c>
      <c r="O220" s="164">
        <f t="shared" si="367"/>
        <v>0</v>
      </c>
      <c r="P220" s="164">
        <f t="shared" si="367"/>
        <v>1.9258591270049308</v>
      </c>
      <c r="Q220" s="164">
        <f t="shared" si="367"/>
        <v>0.88900631243690853</v>
      </c>
      <c r="R220" s="164">
        <f t="shared" si="367"/>
        <v>0.6829003022646829</v>
      </c>
      <c r="S220" s="164">
        <f t="shared" si="367"/>
        <v>0.57604495485966867</v>
      </c>
      <c r="T220" s="164">
        <f t="shared" si="367"/>
        <v>0.50754481180037436</v>
      </c>
      <c r="U220" s="164">
        <f t="shared" si="367"/>
        <v>0.45892154717422362</v>
      </c>
      <c r="V220" s="164">
        <f t="shared" si="367"/>
        <v>0.42206352148133941</v>
      </c>
      <c r="W220" s="164">
        <f t="shared" si="367"/>
        <v>0.39290279113301169</v>
      </c>
      <c r="X220" s="164">
        <f t="shared" si="367"/>
        <v>0.36901679669198162</v>
      </c>
      <c r="Y220" s="164">
        <f t="shared" si="367"/>
        <v>0.3490397850767421</v>
      </c>
      <c r="Z220" s="164">
        <f t="shared" si="367"/>
        <v>0.33199370266062878</v>
      </c>
      <c r="AA220" s="164">
        <f t="shared" si="367"/>
        <v>0.31723943162399526</v>
      </c>
      <c r="AB220" s="164">
        <f t="shared" si="367"/>
        <v>0.30426785397262401</v>
      </c>
      <c r="AC220" s="164">
        <f t="shared" si="367"/>
        <v>0.29277949968509431</v>
      </c>
      <c r="AD220" s="164">
        <f>LOOKUP(AD107,$K$56:$BK$56,$K$60:$BK$60)</f>
        <v>0.28250182874437674</v>
      </c>
      <c r="AE220" s="164">
        <f>LOOKUP(AE107,$K$56:$BK$56,$K$60:$BK$60)</f>
        <v>0.273245200837056</v>
      </c>
      <c r="AF220" s="164">
        <f t="shared" si="367"/>
        <v>0.26482627380940371</v>
      </c>
      <c r="AG220" s="164">
        <f t="shared" si="367"/>
        <v>0.25714829410521561</v>
      </c>
      <c r="AH220" s="164">
        <f t="shared" si="367"/>
        <v>0.25010176110664617</v>
      </c>
      <c r="AI220" s="164">
        <f t="shared" si="367"/>
        <v>0.24361106919543057</v>
      </c>
      <c r="AJ220" s="164">
        <f t="shared" si="367"/>
        <v>0</v>
      </c>
      <c r="AK220" s="164">
        <f t="shared" si="367"/>
        <v>0</v>
      </c>
      <c r="AL220" s="164">
        <f t="shared" si="367"/>
        <v>0</v>
      </c>
      <c r="AM220" s="164">
        <f t="shared" si="367"/>
        <v>0</v>
      </c>
      <c r="AN220" s="164">
        <f t="shared" si="367"/>
        <v>0</v>
      </c>
      <c r="AO220" s="164">
        <f t="shared" si="367"/>
        <v>0</v>
      </c>
      <c r="AP220" s="164">
        <f t="shared" si="367"/>
        <v>0</v>
      </c>
      <c r="AQ220" s="164">
        <f t="shared" si="367"/>
        <v>0</v>
      </c>
      <c r="AR220" s="164">
        <f t="shared" si="367"/>
        <v>0</v>
      </c>
      <c r="AS220" s="164">
        <f t="shared" si="367"/>
        <v>0</v>
      </c>
      <c r="AT220" s="164">
        <f t="shared" si="367"/>
        <v>0</v>
      </c>
      <c r="AU220" s="164">
        <f t="shared" si="367"/>
        <v>0</v>
      </c>
      <c r="AV220" s="164">
        <f t="shared" si="367"/>
        <v>0</v>
      </c>
      <c r="AW220" s="164">
        <f t="shared" si="367"/>
        <v>0</v>
      </c>
      <c r="AX220" s="164">
        <f t="shared" si="367"/>
        <v>0</v>
      </c>
      <c r="AY220" s="164">
        <f t="shared" si="367"/>
        <v>0</v>
      </c>
      <c r="AZ220" s="164">
        <f t="shared" si="367"/>
        <v>0</v>
      </c>
      <c r="BA220" s="164">
        <f t="shared" si="367"/>
        <v>0</v>
      </c>
      <c r="BB220" s="164">
        <f t="shared" si="367"/>
        <v>0</v>
      </c>
      <c r="BC220" s="164">
        <f t="shared" si="367"/>
        <v>0</v>
      </c>
      <c r="BD220" s="164">
        <f t="shared" si="367"/>
        <v>0</v>
      </c>
      <c r="BE220" s="164">
        <f t="shared" si="367"/>
        <v>0</v>
      </c>
      <c r="BF220" s="164">
        <f t="shared" si="367"/>
        <v>0</v>
      </c>
      <c r="BG220" s="164">
        <f t="shared" si="367"/>
        <v>0</v>
      </c>
      <c r="BH220" s="164">
        <f t="shared" si="367"/>
        <v>0</v>
      </c>
      <c r="BI220" s="164">
        <f t="shared" si="367"/>
        <v>0</v>
      </c>
      <c r="BJ220" s="164">
        <f t="shared" si="367"/>
        <v>0</v>
      </c>
      <c r="BK220" s="33">
        <f t="shared" si="367"/>
        <v>0</v>
      </c>
    </row>
    <row r="221" spans="9:63">
      <c r="I221" s="31">
        <v>29</v>
      </c>
      <c r="L221" s="225">
        <f t="shared" si="340"/>
        <v>0</v>
      </c>
      <c r="M221" s="164">
        <f t="shared" ref="M221:BK221" si="368">LOOKUP(M108,$K$56:$BK$56,$K$60:$BK$60)</f>
        <v>0</v>
      </c>
      <c r="N221" s="164">
        <f t="shared" si="368"/>
        <v>0</v>
      </c>
      <c r="O221" s="164">
        <f t="shared" si="368"/>
        <v>0</v>
      </c>
      <c r="P221" s="164">
        <f t="shared" si="368"/>
        <v>0</v>
      </c>
      <c r="Q221" s="164">
        <f t="shared" si="368"/>
        <v>0</v>
      </c>
      <c r="R221" s="164">
        <f t="shared" si="368"/>
        <v>0</v>
      </c>
      <c r="S221" s="164">
        <f t="shared" si="368"/>
        <v>0</v>
      </c>
      <c r="T221" s="164">
        <f t="shared" si="368"/>
        <v>0</v>
      </c>
      <c r="U221" s="164">
        <f t="shared" si="368"/>
        <v>0</v>
      </c>
      <c r="V221" s="164">
        <f t="shared" si="368"/>
        <v>0</v>
      </c>
      <c r="W221" s="164">
        <f t="shared" si="368"/>
        <v>0</v>
      </c>
      <c r="X221" s="164">
        <f t="shared" si="368"/>
        <v>0</v>
      </c>
      <c r="Y221" s="164">
        <f t="shared" si="368"/>
        <v>0</v>
      </c>
      <c r="Z221" s="164">
        <f t="shared" si="368"/>
        <v>0</v>
      </c>
      <c r="AA221" s="164">
        <f t="shared" si="368"/>
        <v>0</v>
      </c>
      <c r="AB221" s="164">
        <f t="shared" si="368"/>
        <v>0</v>
      </c>
      <c r="AC221" s="164">
        <f t="shared" si="368"/>
        <v>0</v>
      </c>
      <c r="AD221" s="164">
        <f t="shared" si="368"/>
        <v>0</v>
      </c>
      <c r="AE221" s="164">
        <f t="shared" si="368"/>
        <v>0</v>
      </c>
      <c r="AF221" s="164">
        <f t="shared" si="368"/>
        <v>0</v>
      </c>
      <c r="AG221" s="164">
        <f t="shared" si="368"/>
        <v>0</v>
      </c>
      <c r="AH221" s="164">
        <f t="shared" si="368"/>
        <v>0</v>
      </c>
      <c r="AI221" s="164">
        <f t="shared" si="368"/>
        <v>0</v>
      </c>
      <c r="AJ221" s="164">
        <f t="shared" si="368"/>
        <v>0</v>
      </c>
      <c r="AK221" s="164">
        <f t="shared" si="368"/>
        <v>0</v>
      </c>
      <c r="AL221" s="164">
        <f t="shared" si="368"/>
        <v>0</v>
      </c>
      <c r="AM221" s="164">
        <f t="shared" si="368"/>
        <v>0</v>
      </c>
      <c r="AN221" s="164">
        <f t="shared" si="368"/>
        <v>0</v>
      </c>
      <c r="AO221" s="164">
        <f t="shared" si="368"/>
        <v>0</v>
      </c>
      <c r="AP221" s="164">
        <f t="shared" si="368"/>
        <v>0</v>
      </c>
      <c r="AQ221" s="164">
        <f t="shared" si="368"/>
        <v>0</v>
      </c>
      <c r="AR221" s="164">
        <f t="shared" si="368"/>
        <v>0</v>
      </c>
      <c r="AS221" s="164">
        <f t="shared" si="368"/>
        <v>0</v>
      </c>
      <c r="AT221" s="164">
        <f t="shared" si="368"/>
        <v>0</v>
      </c>
      <c r="AU221" s="164">
        <f t="shared" si="368"/>
        <v>0</v>
      </c>
      <c r="AV221" s="164">
        <f t="shared" si="368"/>
        <v>0</v>
      </c>
      <c r="AW221" s="164">
        <f t="shared" si="368"/>
        <v>0</v>
      </c>
      <c r="AX221" s="164">
        <f t="shared" si="368"/>
        <v>0</v>
      </c>
      <c r="AY221" s="164">
        <f t="shared" si="368"/>
        <v>0</v>
      </c>
      <c r="AZ221" s="164">
        <f t="shared" si="368"/>
        <v>0</v>
      </c>
      <c r="BA221" s="164">
        <f t="shared" si="368"/>
        <v>0</v>
      </c>
      <c r="BB221" s="164">
        <f t="shared" si="368"/>
        <v>0</v>
      </c>
      <c r="BC221" s="164">
        <f t="shared" si="368"/>
        <v>0</v>
      </c>
      <c r="BD221" s="164">
        <f t="shared" si="368"/>
        <v>0</v>
      </c>
      <c r="BE221" s="164">
        <f t="shared" si="368"/>
        <v>0</v>
      </c>
      <c r="BF221" s="164">
        <f t="shared" si="368"/>
        <v>0</v>
      </c>
      <c r="BG221" s="164">
        <f t="shared" si="368"/>
        <v>0</v>
      </c>
      <c r="BH221" s="164">
        <f t="shared" si="368"/>
        <v>0</v>
      </c>
      <c r="BI221" s="164">
        <f t="shared" si="368"/>
        <v>0</v>
      </c>
      <c r="BJ221" s="164">
        <f t="shared" si="368"/>
        <v>0</v>
      </c>
      <c r="BK221" s="33">
        <f t="shared" si="368"/>
        <v>0</v>
      </c>
    </row>
    <row r="222" spans="9:63">
      <c r="I222" s="31">
        <v>30</v>
      </c>
      <c r="L222" s="225">
        <f t="shared" si="340"/>
        <v>0</v>
      </c>
      <c r="M222" s="164">
        <f t="shared" ref="M222:BK222" si="369">LOOKUP(M109,$K$56:$BK$56,$K$60:$BK$60)</f>
        <v>0</v>
      </c>
      <c r="N222" s="164">
        <f t="shared" si="369"/>
        <v>0</v>
      </c>
      <c r="O222" s="164">
        <f t="shared" si="369"/>
        <v>0</v>
      </c>
      <c r="P222" s="164">
        <f t="shared" si="369"/>
        <v>0</v>
      </c>
      <c r="Q222" s="164">
        <f t="shared" si="369"/>
        <v>0</v>
      </c>
      <c r="R222" s="164">
        <f t="shared" si="369"/>
        <v>0</v>
      </c>
      <c r="S222" s="164">
        <f t="shared" si="369"/>
        <v>0</v>
      </c>
      <c r="T222" s="164">
        <f t="shared" si="369"/>
        <v>0</v>
      </c>
      <c r="U222" s="164">
        <f t="shared" si="369"/>
        <v>0</v>
      </c>
      <c r="V222" s="164">
        <f t="shared" si="369"/>
        <v>0</v>
      </c>
      <c r="W222" s="164">
        <f t="shared" si="369"/>
        <v>0</v>
      </c>
      <c r="X222" s="164">
        <f t="shared" si="369"/>
        <v>0</v>
      </c>
      <c r="Y222" s="164">
        <f t="shared" si="369"/>
        <v>0</v>
      </c>
      <c r="Z222" s="164">
        <f t="shared" si="369"/>
        <v>0</v>
      </c>
      <c r="AA222" s="164">
        <f t="shared" si="369"/>
        <v>0</v>
      </c>
      <c r="AB222" s="164">
        <f t="shared" si="369"/>
        <v>0</v>
      </c>
      <c r="AC222" s="164">
        <f t="shared" si="369"/>
        <v>0</v>
      </c>
      <c r="AD222" s="164">
        <f t="shared" si="369"/>
        <v>0</v>
      </c>
      <c r="AE222" s="164">
        <f t="shared" si="369"/>
        <v>0</v>
      </c>
      <c r="AF222" s="164">
        <f t="shared" si="369"/>
        <v>0</v>
      </c>
      <c r="AG222" s="164">
        <f t="shared" si="369"/>
        <v>0</v>
      </c>
      <c r="AH222" s="164">
        <f t="shared" si="369"/>
        <v>0</v>
      </c>
      <c r="AI222" s="164">
        <f t="shared" si="369"/>
        <v>0</v>
      </c>
      <c r="AJ222" s="164">
        <f t="shared" si="369"/>
        <v>0</v>
      </c>
      <c r="AK222" s="164">
        <f t="shared" si="369"/>
        <v>0</v>
      </c>
      <c r="AL222" s="164">
        <f t="shared" si="369"/>
        <v>0</v>
      </c>
      <c r="AM222" s="164">
        <f t="shared" si="369"/>
        <v>0</v>
      </c>
      <c r="AN222" s="164">
        <f t="shared" si="369"/>
        <v>0</v>
      </c>
      <c r="AO222" s="164">
        <f t="shared" si="369"/>
        <v>0</v>
      </c>
      <c r="AP222" s="164">
        <f t="shared" si="369"/>
        <v>0</v>
      </c>
      <c r="AQ222" s="164">
        <f t="shared" si="369"/>
        <v>0</v>
      </c>
      <c r="AR222" s="164">
        <f t="shared" si="369"/>
        <v>0</v>
      </c>
      <c r="AS222" s="164">
        <f t="shared" si="369"/>
        <v>0</v>
      </c>
      <c r="AT222" s="164">
        <f t="shared" si="369"/>
        <v>0</v>
      </c>
      <c r="AU222" s="164">
        <f t="shared" si="369"/>
        <v>0</v>
      </c>
      <c r="AV222" s="164">
        <f t="shared" si="369"/>
        <v>0</v>
      </c>
      <c r="AW222" s="164">
        <f t="shared" si="369"/>
        <v>0</v>
      </c>
      <c r="AX222" s="164">
        <f t="shared" si="369"/>
        <v>0</v>
      </c>
      <c r="AY222" s="164">
        <f t="shared" si="369"/>
        <v>0</v>
      </c>
      <c r="AZ222" s="164">
        <f t="shared" si="369"/>
        <v>0</v>
      </c>
      <c r="BA222" s="164">
        <f t="shared" si="369"/>
        <v>0</v>
      </c>
      <c r="BB222" s="164">
        <f t="shared" si="369"/>
        <v>0</v>
      </c>
      <c r="BC222" s="164">
        <f t="shared" si="369"/>
        <v>0</v>
      </c>
      <c r="BD222" s="164">
        <f t="shared" si="369"/>
        <v>0</v>
      </c>
      <c r="BE222" s="164">
        <f t="shared" si="369"/>
        <v>0</v>
      </c>
      <c r="BF222" s="164">
        <f t="shared" si="369"/>
        <v>0</v>
      </c>
      <c r="BG222" s="164">
        <f t="shared" si="369"/>
        <v>0</v>
      </c>
      <c r="BH222" s="164">
        <f t="shared" si="369"/>
        <v>0</v>
      </c>
      <c r="BI222" s="164">
        <f t="shared" si="369"/>
        <v>0</v>
      </c>
      <c r="BJ222" s="164">
        <f t="shared" si="369"/>
        <v>0</v>
      </c>
      <c r="BK222" s="33">
        <f t="shared" si="369"/>
        <v>0</v>
      </c>
    </row>
    <row r="223" spans="9:63">
      <c r="I223" s="31">
        <v>31</v>
      </c>
      <c r="L223" s="225">
        <f t="shared" si="340"/>
        <v>0</v>
      </c>
      <c r="M223" s="164">
        <f t="shared" ref="M223:BK223" si="370">LOOKUP(M110,$K$56:$BK$56,$K$60:$BK$60)</f>
        <v>0</v>
      </c>
      <c r="N223" s="164">
        <f t="shared" si="370"/>
        <v>0</v>
      </c>
      <c r="O223" s="164">
        <f t="shared" si="370"/>
        <v>0</v>
      </c>
      <c r="P223" s="164">
        <f t="shared" si="370"/>
        <v>0</v>
      </c>
      <c r="Q223" s="164">
        <f t="shared" si="370"/>
        <v>0</v>
      </c>
      <c r="R223" s="164">
        <f t="shared" si="370"/>
        <v>0</v>
      </c>
      <c r="S223" s="164">
        <f t="shared" si="370"/>
        <v>0</v>
      </c>
      <c r="T223" s="164">
        <f t="shared" si="370"/>
        <v>0</v>
      </c>
      <c r="U223" s="164">
        <f t="shared" si="370"/>
        <v>0</v>
      </c>
      <c r="V223" s="164">
        <f t="shared" si="370"/>
        <v>0</v>
      </c>
      <c r="W223" s="164">
        <f t="shared" si="370"/>
        <v>0</v>
      </c>
      <c r="X223" s="164">
        <f t="shared" si="370"/>
        <v>0</v>
      </c>
      <c r="Y223" s="164">
        <f t="shared" si="370"/>
        <v>0</v>
      </c>
      <c r="Z223" s="164">
        <f t="shared" si="370"/>
        <v>0</v>
      </c>
      <c r="AA223" s="164">
        <f t="shared" si="370"/>
        <v>0</v>
      </c>
      <c r="AB223" s="164">
        <f t="shared" si="370"/>
        <v>0</v>
      </c>
      <c r="AC223" s="164">
        <f t="shared" si="370"/>
        <v>0</v>
      </c>
      <c r="AD223" s="164">
        <f t="shared" si="370"/>
        <v>0</v>
      </c>
      <c r="AE223" s="164">
        <f t="shared" si="370"/>
        <v>0</v>
      </c>
      <c r="AF223" s="164">
        <f t="shared" si="370"/>
        <v>0</v>
      </c>
      <c r="AG223" s="164">
        <f t="shared" si="370"/>
        <v>0</v>
      </c>
      <c r="AH223" s="164">
        <f t="shared" si="370"/>
        <v>0</v>
      </c>
      <c r="AI223" s="164">
        <f t="shared" si="370"/>
        <v>0</v>
      </c>
      <c r="AJ223" s="164">
        <f t="shared" si="370"/>
        <v>0</v>
      </c>
      <c r="AK223" s="164">
        <f t="shared" si="370"/>
        <v>0</v>
      </c>
      <c r="AL223" s="164">
        <f t="shared" si="370"/>
        <v>0</v>
      </c>
      <c r="AM223" s="164">
        <f t="shared" si="370"/>
        <v>0</v>
      </c>
      <c r="AN223" s="164">
        <f t="shared" si="370"/>
        <v>0</v>
      </c>
      <c r="AO223" s="164">
        <f t="shared" si="370"/>
        <v>0</v>
      </c>
      <c r="AP223" s="164">
        <f t="shared" si="370"/>
        <v>0</v>
      </c>
      <c r="AQ223" s="164">
        <f t="shared" si="370"/>
        <v>0</v>
      </c>
      <c r="AR223" s="164">
        <f t="shared" si="370"/>
        <v>0</v>
      </c>
      <c r="AS223" s="164">
        <f t="shared" si="370"/>
        <v>0</v>
      </c>
      <c r="AT223" s="164">
        <f t="shared" si="370"/>
        <v>0</v>
      </c>
      <c r="AU223" s="164">
        <f t="shared" si="370"/>
        <v>0</v>
      </c>
      <c r="AV223" s="164">
        <f t="shared" si="370"/>
        <v>0</v>
      </c>
      <c r="AW223" s="164">
        <f t="shared" si="370"/>
        <v>0</v>
      </c>
      <c r="AX223" s="164">
        <f t="shared" si="370"/>
        <v>0</v>
      </c>
      <c r="AY223" s="164">
        <f t="shared" si="370"/>
        <v>0</v>
      </c>
      <c r="AZ223" s="164">
        <f t="shared" si="370"/>
        <v>0</v>
      </c>
      <c r="BA223" s="164">
        <f t="shared" si="370"/>
        <v>0</v>
      </c>
      <c r="BB223" s="164">
        <f t="shared" si="370"/>
        <v>0</v>
      </c>
      <c r="BC223" s="164">
        <f t="shared" si="370"/>
        <v>0</v>
      </c>
      <c r="BD223" s="164">
        <f t="shared" si="370"/>
        <v>0</v>
      </c>
      <c r="BE223" s="164">
        <f t="shared" si="370"/>
        <v>0</v>
      </c>
      <c r="BF223" s="164">
        <f t="shared" si="370"/>
        <v>0</v>
      </c>
      <c r="BG223" s="164">
        <f t="shared" si="370"/>
        <v>0</v>
      </c>
      <c r="BH223" s="164">
        <f t="shared" si="370"/>
        <v>0</v>
      </c>
      <c r="BI223" s="164">
        <f t="shared" si="370"/>
        <v>0</v>
      </c>
      <c r="BJ223" s="164">
        <f t="shared" si="370"/>
        <v>0</v>
      </c>
      <c r="BK223" s="33">
        <f t="shared" si="370"/>
        <v>0</v>
      </c>
    </row>
    <row r="224" spans="9:63">
      <c r="I224" s="31">
        <v>32</v>
      </c>
      <c r="L224" s="225">
        <f t="shared" si="340"/>
        <v>0</v>
      </c>
      <c r="M224" s="164">
        <f t="shared" ref="M224:BK224" si="371">LOOKUP(M111,$K$56:$BK$56,$K$60:$BK$60)</f>
        <v>0</v>
      </c>
      <c r="N224" s="164">
        <f t="shared" si="371"/>
        <v>0</v>
      </c>
      <c r="O224" s="164">
        <f t="shared" si="371"/>
        <v>0</v>
      </c>
      <c r="P224" s="164">
        <f t="shared" si="371"/>
        <v>0</v>
      </c>
      <c r="Q224" s="164">
        <f t="shared" si="371"/>
        <v>0</v>
      </c>
      <c r="R224" s="164">
        <f t="shared" si="371"/>
        <v>0</v>
      </c>
      <c r="S224" s="164">
        <f t="shared" si="371"/>
        <v>0</v>
      </c>
      <c r="T224" s="164">
        <f t="shared" si="371"/>
        <v>0</v>
      </c>
      <c r="U224" s="164">
        <f t="shared" si="371"/>
        <v>0</v>
      </c>
      <c r="V224" s="164">
        <f t="shared" si="371"/>
        <v>0</v>
      </c>
      <c r="W224" s="164">
        <f t="shared" si="371"/>
        <v>0</v>
      </c>
      <c r="X224" s="164">
        <f t="shared" si="371"/>
        <v>0</v>
      </c>
      <c r="Y224" s="164">
        <f t="shared" si="371"/>
        <v>0</v>
      </c>
      <c r="Z224" s="164">
        <f t="shared" si="371"/>
        <v>0</v>
      </c>
      <c r="AA224" s="164">
        <f t="shared" si="371"/>
        <v>0</v>
      </c>
      <c r="AB224" s="164">
        <f t="shared" si="371"/>
        <v>0</v>
      </c>
      <c r="AC224" s="164">
        <f t="shared" si="371"/>
        <v>0</v>
      </c>
      <c r="AD224" s="164">
        <f t="shared" si="371"/>
        <v>0</v>
      </c>
      <c r="AE224" s="164">
        <f t="shared" si="371"/>
        <v>0</v>
      </c>
      <c r="AF224" s="164">
        <f t="shared" si="371"/>
        <v>0</v>
      </c>
      <c r="AG224" s="164">
        <f t="shared" si="371"/>
        <v>0</v>
      </c>
      <c r="AH224" s="164">
        <f t="shared" si="371"/>
        <v>0</v>
      </c>
      <c r="AI224" s="164">
        <f t="shared" si="371"/>
        <v>0</v>
      </c>
      <c r="AJ224" s="164">
        <f t="shared" si="371"/>
        <v>0</v>
      </c>
      <c r="AK224" s="164">
        <f t="shared" si="371"/>
        <v>0</v>
      </c>
      <c r="AL224" s="164">
        <f t="shared" si="371"/>
        <v>0</v>
      </c>
      <c r="AM224" s="164">
        <f t="shared" si="371"/>
        <v>0</v>
      </c>
      <c r="AN224" s="164">
        <f t="shared" si="371"/>
        <v>0</v>
      </c>
      <c r="AO224" s="164">
        <f t="shared" si="371"/>
        <v>0</v>
      </c>
      <c r="AP224" s="164">
        <f t="shared" si="371"/>
        <v>0</v>
      </c>
      <c r="AQ224" s="164">
        <f t="shared" si="371"/>
        <v>0</v>
      </c>
      <c r="AR224" s="164">
        <f t="shared" si="371"/>
        <v>0</v>
      </c>
      <c r="AS224" s="164">
        <f t="shared" si="371"/>
        <v>0</v>
      </c>
      <c r="AT224" s="164">
        <f t="shared" si="371"/>
        <v>0</v>
      </c>
      <c r="AU224" s="164">
        <f t="shared" si="371"/>
        <v>0</v>
      </c>
      <c r="AV224" s="164">
        <f t="shared" si="371"/>
        <v>0</v>
      </c>
      <c r="AW224" s="164">
        <f t="shared" si="371"/>
        <v>0</v>
      </c>
      <c r="AX224" s="164">
        <f t="shared" si="371"/>
        <v>0</v>
      </c>
      <c r="AY224" s="164">
        <f t="shared" si="371"/>
        <v>0</v>
      </c>
      <c r="AZ224" s="164">
        <f t="shared" si="371"/>
        <v>0</v>
      </c>
      <c r="BA224" s="164">
        <f t="shared" si="371"/>
        <v>0</v>
      </c>
      <c r="BB224" s="164">
        <f t="shared" si="371"/>
        <v>0</v>
      </c>
      <c r="BC224" s="164">
        <f t="shared" si="371"/>
        <v>0</v>
      </c>
      <c r="BD224" s="164">
        <f t="shared" si="371"/>
        <v>0</v>
      </c>
      <c r="BE224" s="164">
        <f t="shared" si="371"/>
        <v>0</v>
      </c>
      <c r="BF224" s="164">
        <f t="shared" si="371"/>
        <v>0</v>
      </c>
      <c r="BG224" s="164">
        <f t="shared" si="371"/>
        <v>0</v>
      </c>
      <c r="BH224" s="164">
        <f t="shared" si="371"/>
        <v>0</v>
      </c>
      <c r="BI224" s="164">
        <f t="shared" si="371"/>
        <v>0</v>
      </c>
      <c r="BJ224" s="164">
        <f t="shared" si="371"/>
        <v>0</v>
      </c>
      <c r="BK224" s="33">
        <f t="shared" si="371"/>
        <v>0</v>
      </c>
    </row>
    <row r="225" spans="9:63">
      <c r="I225" s="31">
        <v>33</v>
      </c>
      <c r="L225" s="225">
        <f t="shared" si="340"/>
        <v>0</v>
      </c>
      <c r="M225" s="164">
        <f t="shared" ref="M225:BK225" si="372">LOOKUP(M112,$K$56:$BK$56,$K$60:$BK$60)</f>
        <v>0</v>
      </c>
      <c r="N225" s="164">
        <f t="shared" si="372"/>
        <v>0</v>
      </c>
      <c r="O225" s="164">
        <f t="shared" si="372"/>
        <v>0</v>
      </c>
      <c r="P225" s="164">
        <f t="shared" si="372"/>
        <v>0</v>
      </c>
      <c r="Q225" s="164">
        <f t="shared" si="372"/>
        <v>0</v>
      </c>
      <c r="R225" s="164">
        <f t="shared" si="372"/>
        <v>0</v>
      </c>
      <c r="S225" s="164">
        <f t="shared" si="372"/>
        <v>0</v>
      </c>
      <c r="T225" s="164">
        <f t="shared" si="372"/>
        <v>0</v>
      </c>
      <c r="U225" s="164">
        <f t="shared" si="372"/>
        <v>0</v>
      </c>
      <c r="V225" s="164">
        <f t="shared" si="372"/>
        <v>0</v>
      </c>
      <c r="W225" s="164">
        <f t="shared" si="372"/>
        <v>0</v>
      </c>
      <c r="X225" s="164">
        <f t="shared" si="372"/>
        <v>0</v>
      </c>
      <c r="Y225" s="164">
        <f t="shared" si="372"/>
        <v>0</v>
      </c>
      <c r="Z225" s="164">
        <f t="shared" si="372"/>
        <v>0</v>
      </c>
      <c r="AA225" s="164">
        <f t="shared" si="372"/>
        <v>0</v>
      </c>
      <c r="AB225" s="164">
        <f t="shared" si="372"/>
        <v>0</v>
      </c>
      <c r="AC225" s="164">
        <f t="shared" si="372"/>
        <v>0</v>
      </c>
      <c r="AD225" s="164">
        <f t="shared" si="372"/>
        <v>0</v>
      </c>
      <c r="AE225" s="164">
        <f t="shared" si="372"/>
        <v>0</v>
      </c>
      <c r="AF225" s="164">
        <f t="shared" si="372"/>
        <v>0</v>
      </c>
      <c r="AG225" s="164">
        <f t="shared" si="372"/>
        <v>0</v>
      </c>
      <c r="AH225" s="164">
        <f t="shared" si="372"/>
        <v>0</v>
      </c>
      <c r="AI225" s="164">
        <f t="shared" si="372"/>
        <v>0</v>
      </c>
      <c r="AJ225" s="164">
        <f t="shared" si="372"/>
        <v>0</v>
      </c>
      <c r="AK225" s="164">
        <f t="shared" si="372"/>
        <v>0</v>
      </c>
      <c r="AL225" s="164">
        <f t="shared" si="372"/>
        <v>0</v>
      </c>
      <c r="AM225" s="164">
        <f t="shared" si="372"/>
        <v>0</v>
      </c>
      <c r="AN225" s="164">
        <f t="shared" si="372"/>
        <v>0</v>
      </c>
      <c r="AO225" s="164">
        <f t="shared" si="372"/>
        <v>0</v>
      </c>
      <c r="AP225" s="164">
        <f t="shared" si="372"/>
        <v>0</v>
      </c>
      <c r="AQ225" s="164">
        <f t="shared" si="372"/>
        <v>0</v>
      </c>
      <c r="AR225" s="164">
        <f t="shared" si="372"/>
        <v>0</v>
      </c>
      <c r="AS225" s="164">
        <f t="shared" si="372"/>
        <v>0</v>
      </c>
      <c r="AT225" s="164">
        <f t="shared" si="372"/>
        <v>0</v>
      </c>
      <c r="AU225" s="164">
        <f t="shared" si="372"/>
        <v>0</v>
      </c>
      <c r="AV225" s="164">
        <f t="shared" si="372"/>
        <v>0</v>
      </c>
      <c r="AW225" s="164">
        <f t="shared" si="372"/>
        <v>0</v>
      </c>
      <c r="AX225" s="164">
        <f t="shared" si="372"/>
        <v>0</v>
      </c>
      <c r="AY225" s="164">
        <f t="shared" si="372"/>
        <v>0</v>
      </c>
      <c r="AZ225" s="164">
        <f t="shared" si="372"/>
        <v>0</v>
      </c>
      <c r="BA225" s="164">
        <f t="shared" si="372"/>
        <v>0</v>
      </c>
      <c r="BB225" s="164">
        <f t="shared" si="372"/>
        <v>0</v>
      </c>
      <c r="BC225" s="164">
        <f t="shared" si="372"/>
        <v>0</v>
      </c>
      <c r="BD225" s="164">
        <f t="shared" si="372"/>
        <v>0</v>
      </c>
      <c r="BE225" s="164">
        <f t="shared" si="372"/>
        <v>0</v>
      </c>
      <c r="BF225" s="164">
        <f t="shared" si="372"/>
        <v>0</v>
      </c>
      <c r="BG225" s="164">
        <f t="shared" si="372"/>
        <v>0</v>
      </c>
      <c r="BH225" s="164">
        <f t="shared" si="372"/>
        <v>0</v>
      </c>
      <c r="BI225" s="164">
        <f t="shared" si="372"/>
        <v>0</v>
      </c>
      <c r="BJ225" s="164">
        <f t="shared" si="372"/>
        <v>0</v>
      </c>
      <c r="BK225" s="33">
        <f t="shared" si="372"/>
        <v>0</v>
      </c>
    </row>
    <row r="226" spans="9:63">
      <c r="I226" s="31">
        <v>34</v>
      </c>
      <c r="L226" s="225">
        <f t="shared" si="340"/>
        <v>0</v>
      </c>
      <c r="M226" s="164">
        <f t="shared" ref="M226:BK226" si="373">LOOKUP(M113,$K$56:$BK$56,$K$60:$BK$60)</f>
        <v>0</v>
      </c>
      <c r="N226" s="164">
        <f t="shared" si="373"/>
        <v>0</v>
      </c>
      <c r="O226" s="164">
        <f t="shared" si="373"/>
        <v>0</v>
      </c>
      <c r="P226" s="164">
        <f t="shared" si="373"/>
        <v>0</v>
      </c>
      <c r="Q226" s="164">
        <f t="shared" si="373"/>
        <v>0</v>
      </c>
      <c r="R226" s="164">
        <f t="shared" si="373"/>
        <v>0</v>
      </c>
      <c r="S226" s="164">
        <f t="shared" si="373"/>
        <v>0</v>
      </c>
      <c r="T226" s="164">
        <f t="shared" si="373"/>
        <v>0</v>
      </c>
      <c r="U226" s="164">
        <f t="shared" si="373"/>
        <v>0</v>
      </c>
      <c r="V226" s="164">
        <f t="shared" si="373"/>
        <v>0</v>
      </c>
      <c r="W226" s="164">
        <f t="shared" si="373"/>
        <v>0</v>
      </c>
      <c r="X226" s="164">
        <f t="shared" si="373"/>
        <v>0</v>
      </c>
      <c r="Y226" s="164">
        <f t="shared" si="373"/>
        <v>0</v>
      </c>
      <c r="Z226" s="164">
        <f t="shared" si="373"/>
        <v>0</v>
      </c>
      <c r="AA226" s="164">
        <f t="shared" si="373"/>
        <v>0</v>
      </c>
      <c r="AB226" s="164">
        <f t="shared" si="373"/>
        <v>0</v>
      </c>
      <c r="AC226" s="164">
        <f t="shared" si="373"/>
        <v>0</v>
      </c>
      <c r="AD226" s="164">
        <f t="shared" si="373"/>
        <v>0</v>
      </c>
      <c r="AE226" s="164">
        <f t="shared" si="373"/>
        <v>0</v>
      </c>
      <c r="AF226" s="164">
        <f t="shared" si="373"/>
        <v>0</v>
      </c>
      <c r="AG226" s="164">
        <f t="shared" si="373"/>
        <v>0</v>
      </c>
      <c r="AH226" s="164">
        <f t="shared" si="373"/>
        <v>0</v>
      </c>
      <c r="AI226" s="164">
        <f t="shared" si="373"/>
        <v>0</v>
      </c>
      <c r="AJ226" s="164">
        <f t="shared" si="373"/>
        <v>0</v>
      </c>
      <c r="AK226" s="164">
        <f t="shared" si="373"/>
        <v>0</v>
      </c>
      <c r="AL226" s="164">
        <f t="shared" si="373"/>
        <v>0</v>
      </c>
      <c r="AM226" s="164">
        <f t="shared" si="373"/>
        <v>0</v>
      </c>
      <c r="AN226" s="164">
        <f t="shared" si="373"/>
        <v>0</v>
      </c>
      <c r="AO226" s="164">
        <f t="shared" si="373"/>
        <v>0</v>
      </c>
      <c r="AP226" s="164">
        <f t="shared" si="373"/>
        <v>0</v>
      </c>
      <c r="AQ226" s="164">
        <f t="shared" si="373"/>
        <v>0</v>
      </c>
      <c r="AR226" s="164">
        <f t="shared" si="373"/>
        <v>0</v>
      </c>
      <c r="AS226" s="164">
        <f t="shared" si="373"/>
        <v>0</v>
      </c>
      <c r="AT226" s="164">
        <f t="shared" si="373"/>
        <v>0</v>
      </c>
      <c r="AU226" s="164">
        <f t="shared" si="373"/>
        <v>0</v>
      </c>
      <c r="AV226" s="164">
        <f t="shared" si="373"/>
        <v>0</v>
      </c>
      <c r="AW226" s="164">
        <f t="shared" si="373"/>
        <v>0</v>
      </c>
      <c r="AX226" s="164">
        <f t="shared" si="373"/>
        <v>0</v>
      </c>
      <c r="AY226" s="164">
        <f t="shared" si="373"/>
        <v>0</v>
      </c>
      <c r="AZ226" s="164">
        <f t="shared" si="373"/>
        <v>0</v>
      </c>
      <c r="BA226" s="164">
        <f t="shared" si="373"/>
        <v>0</v>
      </c>
      <c r="BB226" s="164">
        <f t="shared" si="373"/>
        <v>0</v>
      </c>
      <c r="BC226" s="164">
        <f t="shared" si="373"/>
        <v>0</v>
      </c>
      <c r="BD226" s="164">
        <f t="shared" si="373"/>
        <v>0</v>
      </c>
      <c r="BE226" s="164">
        <f t="shared" si="373"/>
        <v>0</v>
      </c>
      <c r="BF226" s="164">
        <f t="shared" si="373"/>
        <v>0</v>
      </c>
      <c r="BG226" s="164">
        <f t="shared" si="373"/>
        <v>0</v>
      </c>
      <c r="BH226" s="164">
        <f t="shared" si="373"/>
        <v>0</v>
      </c>
      <c r="BI226" s="164">
        <f t="shared" si="373"/>
        <v>0</v>
      </c>
      <c r="BJ226" s="164">
        <f t="shared" si="373"/>
        <v>0</v>
      </c>
      <c r="BK226" s="33">
        <f t="shared" si="373"/>
        <v>0</v>
      </c>
    </row>
    <row r="227" spans="9:63">
      <c r="I227" s="31">
        <v>35</v>
      </c>
      <c r="L227" s="225">
        <f t="shared" si="340"/>
        <v>0</v>
      </c>
      <c r="M227" s="164">
        <f t="shared" ref="M227:BK227" si="374">LOOKUP(M114,$K$56:$BK$56,$K$60:$BK$60)</f>
        <v>0</v>
      </c>
      <c r="N227" s="164">
        <f t="shared" si="374"/>
        <v>0</v>
      </c>
      <c r="O227" s="164">
        <f t="shared" si="374"/>
        <v>0</v>
      </c>
      <c r="P227" s="164">
        <f t="shared" si="374"/>
        <v>0</v>
      </c>
      <c r="Q227" s="164">
        <f t="shared" si="374"/>
        <v>0</v>
      </c>
      <c r="R227" s="164">
        <f t="shared" si="374"/>
        <v>0</v>
      </c>
      <c r="S227" s="164">
        <f t="shared" si="374"/>
        <v>0</v>
      </c>
      <c r="T227" s="164">
        <f t="shared" si="374"/>
        <v>0</v>
      </c>
      <c r="U227" s="164">
        <f t="shared" si="374"/>
        <v>0</v>
      </c>
      <c r="V227" s="164">
        <f t="shared" si="374"/>
        <v>0</v>
      </c>
      <c r="W227" s="164">
        <f t="shared" si="374"/>
        <v>0</v>
      </c>
      <c r="X227" s="164">
        <f t="shared" si="374"/>
        <v>0</v>
      </c>
      <c r="Y227" s="164">
        <f t="shared" si="374"/>
        <v>0</v>
      </c>
      <c r="Z227" s="164">
        <f t="shared" si="374"/>
        <v>0</v>
      </c>
      <c r="AA227" s="164">
        <f t="shared" si="374"/>
        <v>0</v>
      </c>
      <c r="AB227" s="164">
        <f t="shared" si="374"/>
        <v>0</v>
      </c>
      <c r="AC227" s="164">
        <f t="shared" si="374"/>
        <v>0</v>
      </c>
      <c r="AD227" s="164">
        <f t="shared" si="374"/>
        <v>0</v>
      </c>
      <c r="AE227" s="164">
        <f t="shared" si="374"/>
        <v>0</v>
      </c>
      <c r="AF227" s="164">
        <f t="shared" si="374"/>
        <v>0</v>
      </c>
      <c r="AG227" s="164">
        <f t="shared" si="374"/>
        <v>0</v>
      </c>
      <c r="AH227" s="164">
        <f t="shared" si="374"/>
        <v>0</v>
      </c>
      <c r="AI227" s="164">
        <f t="shared" si="374"/>
        <v>0</v>
      </c>
      <c r="AJ227" s="164">
        <f t="shared" si="374"/>
        <v>0</v>
      </c>
      <c r="AK227" s="164">
        <f t="shared" si="374"/>
        <v>0</v>
      </c>
      <c r="AL227" s="164">
        <f t="shared" si="374"/>
        <v>0</v>
      </c>
      <c r="AM227" s="164">
        <f t="shared" si="374"/>
        <v>0</v>
      </c>
      <c r="AN227" s="164">
        <f t="shared" si="374"/>
        <v>0</v>
      </c>
      <c r="AO227" s="164">
        <f t="shared" si="374"/>
        <v>0</v>
      </c>
      <c r="AP227" s="164">
        <f t="shared" si="374"/>
        <v>0</v>
      </c>
      <c r="AQ227" s="164">
        <f t="shared" si="374"/>
        <v>0</v>
      </c>
      <c r="AR227" s="164">
        <f t="shared" si="374"/>
        <v>0</v>
      </c>
      <c r="AS227" s="164">
        <f t="shared" si="374"/>
        <v>0</v>
      </c>
      <c r="AT227" s="164">
        <f t="shared" si="374"/>
        <v>0</v>
      </c>
      <c r="AU227" s="164">
        <f t="shared" si="374"/>
        <v>0</v>
      </c>
      <c r="AV227" s="164">
        <f t="shared" si="374"/>
        <v>0</v>
      </c>
      <c r="AW227" s="164">
        <f t="shared" si="374"/>
        <v>0</v>
      </c>
      <c r="AX227" s="164">
        <f t="shared" si="374"/>
        <v>0</v>
      </c>
      <c r="AY227" s="164">
        <f t="shared" si="374"/>
        <v>0</v>
      </c>
      <c r="AZ227" s="164">
        <f t="shared" si="374"/>
        <v>0</v>
      </c>
      <c r="BA227" s="164">
        <f t="shared" si="374"/>
        <v>0</v>
      </c>
      <c r="BB227" s="164">
        <f t="shared" si="374"/>
        <v>0</v>
      </c>
      <c r="BC227" s="164">
        <f t="shared" si="374"/>
        <v>0</v>
      </c>
      <c r="BD227" s="164">
        <f t="shared" si="374"/>
        <v>0</v>
      </c>
      <c r="BE227" s="164">
        <f t="shared" si="374"/>
        <v>0</v>
      </c>
      <c r="BF227" s="164">
        <f t="shared" si="374"/>
        <v>0</v>
      </c>
      <c r="BG227" s="164">
        <f t="shared" si="374"/>
        <v>0</v>
      </c>
      <c r="BH227" s="164">
        <f t="shared" si="374"/>
        <v>0</v>
      </c>
      <c r="BI227" s="164">
        <f t="shared" si="374"/>
        <v>0</v>
      </c>
      <c r="BJ227" s="164">
        <f t="shared" si="374"/>
        <v>0</v>
      </c>
      <c r="BK227" s="33">
        <f t="shared" si="374"/>
        <v>0</v>
      </c>
    </row>
    <row r="228" spans="9:63">
      <c r="I228" s="31">
        <v>36</v>
      </c>
      <c r="L228" s="225">
        <f t="shared" si="340"/>
        <v>0</v>
      </c>
      <c r="M228" s="164">
        <f t="shared" ref="M228:BK228" si="375">LOOKUP(M115,$K$56:$BK$56,$K$60:$BK$60)</f>
        <v>0</v>
      </c>
      <c r="N228" s="164">
        <f t="shared" si="375"/>
        <v>0</v>
      </c>
      <c r="O228" s="164">
        <f t="shared" si="375"/>
        <v>0</v>
      </c>
      <c r="P228" s="164">
        <f t="shared" si="375"/>
        <v>0</v>
      </c>
      <c r="Q228" s="164">
        <f t="shared" si="375"/>
        <v>0</v>
      </c>
      <c r="R228" s="164">
        <f t="shared" si="375"/>
        <v>0</v>
      </c>
      <c r="S228" s="164">
        <f t="shared" si="375"/>
        <v>0</v>
      </c>
      <c r="T228" s="164">
        <f t="shared" si="375"/>
        <v>0</v>
      </c>
      <c r="U228" s="164">
        <f t="shared" si="375"/>
        <v>0</v>
      </c>
      <c r="V228" s="164">
        <f t="shared" si="375"/>
        <v>0</v>
      </c>
      <c r="W228" s="164">
        <f t="shared" si="375"/>
        <v>0</v>
      </c>
      <c r="X228" s="164">
        <f t="shared" si="375"/>
        <v>0</v>
      </c>
      <c r="Y228" s="164">
        <f t="shared" si="375"/>
        <v>0</v>
      </c>
      <c r="Z228" s="164">
        <f t="shared" si="375"/>
        <v>0</v>
      </c>
      <c r="AA228" s="164">
        <f t="shared" si="375"/>
        <v>0</v>
      </c>
      <c r="AB228" s="164">
        <f t="shared" si="375"/>
        <v>0</v>
      </c>
      <c r="AC228" s="164">
        <f t="shared" si="375"/>
        <v>0</v>
      </c>
      <c r="AD228" s="164">
        <f t="shared" si="375"/>
        <v>0</v>
      </c>
      <c r="AE228" s="164">
        <f t="shared" si="375"/>
        <v>0</v>
      </c>
      <c r="AF228" s="164">
        <f t="shared" si="375"/>
        <v>0</v>
      </c>
      <c r="AG228" s="164">
        <f t="shared" si="375"/>
        <v>0</v>
      </c>
      <c r="AH228" s="164">
        <f t="shared" si="375"/>
        <v>0</v>
      </c>
      <c r="AI228" s="164">
        <f t="shared" si="375"/>
        <v>0</v>
      </c>
      <c r="AJ228" s="164">
        <f t="shared" si="375"/>
        <v>0</v>
      </c>
      <c r="AK228" s="164">
        <f t="shared" si="375"/>
        <v>0</v>
      </c>
      <c r="AL228" s="164">
        <f t="shared" si="375"/>
        <v>0</v>
      </c>
      <c r="AM228" s="164">
        <f t="shared" si="375"/>
        <v>0</v>
      </c>
      <c r="AN228" s="164">
        <f t="shared" si="375"/>
        <v>0</v>
      </c>
      <c r="AO228" s="164">
        <f t="shared" si="375"/>
        <v>0</v>
      </c>
      <c r="AP228" s="164">
        <f t="shared" si="375"/>
        <v>0</v>
      </c>
      <c r="AQ228" s="164">
        <f t="shared" si="375"/>
        <v>0</v>
      </c>
      <c r="AR228" s="164">
        <f t="shared" si="375"/>
        <v>0</v>
      </c>
      <c r="AS228" s="164">
        <f t="shared" si="375"/>
        <v>0</v>
      </c>
      <c r="AT228" s="164">
        <f t="shared" si="375"/>
        <v>0</v>
      </c>
      <c r="AU228" s="164">
        <f t="shared" si="375"/>
        <v>0</v>
      </c>
      <c r="AV228" s="164">
        <f t="shared" si="375"/>
        <v>0</v>
      </c>
      <c r="AW228" s="164">
        <f t="shared" si="375"/>
        <v>0</v>
      </c>
      <c r="AX228" s="164">
        <f t="shared" si="375"/>
        <v>0</v>
      </c>
      <c r="AY228" s="164">
        <f t="shared" si="375"/>
        <v>0</v>
      </c>
      <c r="AZ228" s="164">
        <f t="shared" si="375"/>
        <v>0</v>
      </c>
      <c r="BA228" s="164">
        <f t="shared" si="375"/>
        <v>0</v>
      </c>
      <c r="BB228" s="164">
        <f t="shared" si="375"/>
        <v>0</v>
      </c>
      <c r="BC228" s="164">
        <f t="shared" si="375"/>
        <v>0</v>
      </c>
      <c r="BD228" s="164">
        <f t="shared" si="375"/>
        <v>0</v>
      </c>
      <c r="BE228" s="164">
        <f t="shared" si="375"/>
        <v>0</v>
      </c>
      <c r="BF228" s="164">
        <f t="shared" si="375"/>
        <v>0</v>
      </c>
      <c r="BG228" s="164">
        <f t="shared" si="375"/>
        <v>0</v>
      </c>
      <c r="BH228" s="164">
        <f t="shared" si="375"/>
        <v>0</v>
      </c>
      <c r="BI228" s="164">
        <f t="shared" si="375"/>
        <v>0</v>
      </c>
      <c r="BJ228" s="164">
        <f t="shared" si="375"/>
        <v>0</v>
      </c>
      <c r="BK228" s="33">
        <f t="shared" si="375"/>
        <v>0</v>
      </c>
    </row>
    <row r="229" spans="9:63">
      <c r="I229" s="31">
        <v>37</v>
      </c>
      <c r="L229" s="225">
        <f t="shared" si="340"/>
        <v>0</v>
      </c>
      <c r="M229" s="164">
        <f t="shared" ref="M229:BK229" si="376">LOOKUP(M116,$K$56:$BK$56,$K$60:$BK$60)</f>
        <v>0</v>
      </c>
      <c r="N229" s="164">
        <f t="shared" si="376"/>
        <v>0</v>
      </c>
      <c r="O229" s="164">
        <f t="shared" si="376"/>
        <v>0</v>
      </c>
      <c r="P229" s="164">
        <f t="shared" si="376"/>
        <v>0</v>
      </c>
      <c r="Q229" s="164">
        <f t="shared" si="376"/>
        <v>0</v>
      </c>
      <c r="R229" s="164">
        <f t="shared" si="376"/>
        <v>0</v>
      </c>
      <c r="S229" s="164">
        <f t="shared" si="376"/>
        <v>0</v>
      </c>
      <c r="T229" s="164">
        <f t="shared" si="376"/>
        <v>0</v>
      </c>
      <c r="U229" s="164">
        <f t="shared" si="376"/>
        <v>0</v>
      </c>
      <c r="V229" s="164">
        <f t="shared" si="376"/>
        <v>0</v>
      </c>
      <c r="W229" s="164">
        <f t="shared" si="376"/>
        <v>0</v>
      </c>
      <c r="X229" s="164">
        <f t="shared" si="376"/>
        <v>0</v>
      </c>
      <c r="Y229" s="164">
        <f t="shared" si="376"/>
        <v>0</v>
      </c>
      <c r="Z229" s="164">
        <f t="shared" si="376"/>
        <v>0</v>
      </c>
      <c r="AA229" s="164">
        <f t="shared" si="376"/>
        <v>0</v>
      </c>
      <c r="AB229" s="164">
        <f t="shared" si="376"/>
        <v>0</v>
      </c>
      <c r="AC229" s="164">
        <f t="shared" si="376"/>
        <v>0</v>
      </c>
      <c r="AD229" s="164">
        <f t="shared" si="376"/>
        <v>0</v>
      </c>
      <c r="AE229" s="164">
        <f t="shared" si="376"/>
        <v>0</v>
      </c>
      <c r="AF229" s="164">
        <f t="shared" si="376"/>
        <v>0</v>
      </c>
      <c r="AG229" s="164">
        <f t="shared" si="376"/>
        <v>0</v>
      </c>
      <c r="AH229" s="164">
        <f t="shared" si="376"/>
        <v>0</v>
      </c>
      <c r="AI229" s="164">
        <f t="shared" si="376"/>
        <v>0</v>
      </c>
      <c r="AJ229" s="164">
        <f t="shared" si="376"/>
        <v>0</v>
      </c>
      <c r="AK229" s="164">
        <f t="shared" si="376"/>
        <v>0</v>
      </c>
      <c r="AL229" s="164">
        <f t="shared" si="376"/>
        <v>0</v>
      </c>
      <c r="AM229" s="164">
        <f t="shared" si="376"/>
        <v>0</v>
      </c>
      <c r="AN229" s="164">
        <f t="shared" si="376"/>
        <v>0</v>
      </c>
      <c r="AO229" s="164">
        <f t="shared" si="376"/>
        <v>0</v>
      </c>
      <c r="AP229" s="164">
        <f t="shared" si="376"/>
        <v>0</v>
      </c>
      <c r="AQ229" s="164">
        <f t="shared" si="376"/>
        <v>0</v>
      </c>
      <c r="AR229" s="164">
        <f t="shared" si="376"/>
        <v>0</v>
      </c>
      <c r="AS229" s="164">
        <f t="shared" si="376"/>
        <v>0</v>
      </c>
      <c r="AT229" s="164">
        <f t="shared" si="376"/>
        <v>0</v>
      </c>
      <c r="AU229" s="164">
        <f t="shared" si="376"/>
        <v>0</v>
      </c>
      <c r="AV229" s="164">
        <f t="shared" si="376"/>
        <v>0</v>
      </c>
      <c r="AW229" s="164">
        <f t="shared" si="376"/>
        <v>0</v>
      </c>
      <c r="AX229" s="164">
        <f t="shared" si="376"/>
        <v>0</v>
      </c>
      <c r="AY229" s="164">
        <f t="shared" si="376"/>
        <v>0</v>
      </c>
      <c r="AZ229" s="164">
        <f t="shared" si="376"/>
        <v>0</v>
      </c>
      <c r="BA229" s="164">
        <f t="shared" si="376"/>
        <v>0</v>
      </c>
      <c r="BB229" s="164">
        <f t="shared" si="376"/>
        <v>0</v>
      </c>
      <c r="BC229" s="164">
        <f t="shared" si="376"/>
        <v>0</v>
      </c>
      <c r="BD229" s="164">
        <f t="shared" si="376"/>
        <v>0</v>
      </c>
      <c r="BE229" s="164">
        <f t="shared" si="376"/>
        <v>0</v>
      </c>
      <c r="BF229" s="164">
        <f t="shared" si="376"/>
        <v>0</v>
      </c>
      <c r="BG229" s="164">
        <f t="shared" si="376"/>
        <v>0</v>
      </c>
      <c r="BH229" s="164">
        <f t="shared" si="376"/>
        <v>0</v>
      </c>
      <c r="BI229" s="164">
        <f t="shared" si="376"/>
        <v>0</v>
      </c>
      <c r="BJ229" s="164">
        <f t="shared" si="376"/>
        <v>0</v>
      </c>
      <c r="BK229" s="33">
        <f t="shared" si="376"/>
        <v>0</v>
      </c>
    </row>
    <row r="230" spans="9:63">
      <c r="I230" s="31">
        <v>38</v>
      </c>
      <c r="L230" s="225">
        <f t="shared" si="340"/>
        <v>0</v>
      </c>
      <c r="M230" s="164">
        <f t="shared" ref="M230:BK230" si="377">LOOKUP(M117,$K$56:$BK$56,$K$60:$BK$60)</f>
        <v>0</v>
      </c>
      <c r="N230" s="164">
        <f t="shared" si="377"/>
        <v>0</v>
      </c>
      <c r="O230" s="164">
        <f t="shared" si="377"/>
        <v>0</v>
      </c>
      <c r="P230" s="164">
        <f t="shared" si="377"/>
        <v>0</v>
      </c>
      <c r="Q230" s="164">
        <f t="shared" si="377"/>
        <v>0</v>
      </c>
      <c r="R230" s="164">
        <f t="shared" si="377"/>
        <v>0</v>
      </c>
      <c r="S230" s="164">
        <f t="shared" si="377"/>
        <v>0</v>
      </c>
      <c r="T230" s="164">
        <f t="shared" si="377"/>
        <v>0</v>
      </c>
      <c r="U230" s="164">
        <f t="shared" si="377"/>
        <v>0</v>
      </c>
      <c r="V230" s="164">
        <f t="shared" si="377"/>
        <v>0</v>
      </c>
      <c r="W230" s="164">
        <f t="shared" si="377"/>
        <v>0</v>
      </c>
      <c r="X230" s="164">
        <f t="shared" si="377"/>
        <v>0</v>
      </c>
      <c r="Y230" s="164">
        <f t="shared" si="377"/>
        <v>0</v>
      </c>
      <c r="Z230" s="164">
        <f t="shared" si="377"/>
        <v>0</v>
      </c>
      <c r="AA230" s="164">
        <f t="shared" si="377"/>
        <v>0</v>
      </c>
      <c r="AB230" s="164">
        <f t="shared" si="377"/>
        <v>0</v>
      </c>
      <c r="AC230" s="164">
        <f t="shared" si="377"/>
        <v>0</v>
      </c>
      <c r="AD230" s="164">
        <f t="shared" si="377"/>
        <v>0</v>
      </c>
      <c r="AE230" s="164">
        <f t="shared" si="377"/>
        <v>0</v>
      </c>
      <c r="AF230" s="164">
        <f t="shared" si="377"/>
        <v>0</v>
      </c>
      <c r="AG230" s="164">
        <f t="shared" si="377"/>
        <v>0</v>
      </c>
      <c r="AH230" s="164">
        <f t="shared" si="377"/>
        <v>0</v>
      </c>
      <c r="AI230" s="164">
        <f t="shared" si="377"/>
        <v>0</v>
      </c>
      <c r="AJ230" s="164">
        <f t="shared" si="377"/>
        <v>0</v>
      </c>
      <c r="AK230" s="164">
        <f t="shared" si="377"/>
        <v>0</v>
      </c>
      <c r="AL230" s="164">
        <f t="shared" si="377"/>
        <v>0</v>
      </c>
      <c r="AM230" s="164">
        <f t="shared" si="377"/>
        <v>0</v>
      </c>
      <c r="AN230" s="164">
        <f t="shared" si="377"/>
        <v>0</v>
      </c>
      <c r="AO230" s="164">
        <f t="shared" si="377"/>
        <v>0</v>
      </c>
      <c r="AP230" s="164">
        <f t="shared" si="377"/>
        <v>0</v>
      </c>
      <c r="AQ230" s="164">
        <f t="shared" si="377"/>
        <v>0</v>
      </c>
      <c r="AR230" s="164">
        <f t="shared" si="377"/>
        <v>0</v>
      </c>
      <c r="AS230" s="164">
        <f t="shared" si="377"/>
        <v>0</v>
      </c>
      <c r="AT230" s="164">
        <f t="shared" si="377"/>
        <v>0</v>
      </c>
      <c r="AU230" s="164">
        <f t="shared" si="377"/>
        <v>0</v>
      </c>
      <c r="AV230" s="164">
        <f t="shared" si="377"/>
        <v>0</v>
      </c>
      <c r="AW230" s="164">
        <f t="shared" si="377"/>
        <v>0</v>
      </c>
      <c r="AX230" s="164">
        <f t="shared" si="377"/>
        <v>0</v>
      </c>
      <c r="AY230" s="164">
        <f t="shared" si="377"/>
        <v>0</v>
      </c>
      <c r="AZ230" s="164">
        <f t="shared" si="377"/>
        <v>0</v>
      </c>
      <c r="BA230" s="164">
        <f t="shared" si="377"/>
        <v>0</v>
      </c>
      <c r="BB230" s="164">
        <f t="shared" si="377"/>
        <v>0</v>
      </c>
      <c r="BC230" s="164">
        <f t="shared" si="377"/>
        <v>0</v>
      </c>
      <c r="BD230" s="164">
        <f t="shared" si="377"/>
        <v>0</v>
      </c>
      <c r="BE230" s="164">
        <f t="shared" si="377"/>
        <v>0</v>
      </c>
      <c r="BF230" s="164">
        <f t="shared" si="377"/>
        <v>0</v>
      </c>
      <c r="BG230" s="164">
        <f t="shared" si="377"/>
        <v>0</v>
      </c>
      <c r="BH230" s="164">
        <f t="shared" si="377"/>
        <v>0</v>
      </c>
      <c r="BI230" s="164">
        <f t="shared" si="377"/>
        <v>0</v>
      </c>
      <c r="BJ230" s="164">
        <f t="shared" si="377"/>
        <v>0</v>
      </c>
      <c r="BK230" s="33">
        <f t="shared" si="377"/>
        <v>0</v>
      </c>
    </row>
    <row r="231" spans="9:63">
      <c r="I231" s="31">
        <v>39</v>
      </c>
      <c r="L231" s="225">
        <f t="shared" si="340"/>
        <v>0</v>
      </c>
      <c r="M231" s="164">
        <f t="shared" ref="M231:BK231" si="378">LOOKUP(M118,$K$56:$BK$56,$K$60:$BK$60)</f>
        <v>0</v>
      </c>
      <c r="N231" s="164">
        <f t="shared" si="378"/>
        <v>0</v>
      </c>
      <c r="O231" s="164">
        <f t="shared" si="378"/>
        <v>0</v>
      </c>
      <c r="P231" s="164">
        <f t="shared" si="378"/>
        <v>0</v>
      </c>
      <c r="Q231" s="164">
        <f t="shared" si="378"/>
        <v>0</v>
      </c>
      <c r="R231" s="164">
        <f t="shared" si="378"/>
        <v>0</v>
      </c>
      <c r="S231" s="164">
        <f t="shared" si="378"/>
        <v>0</v>
      </c>
      <c r="T231" s="164">
        <f t="shared" si="378"/>
        <v>0</v>
      </c>
      <c r="U231" s="164">
        <f t="shared" si="378"/>
        <v>0</v>
      </c>
      <c r="V231" s="164">
        <f t="shared" si="378"/>
        <v>0</v>
      </c>
      <c r="W231" s="164">
        <f t="shared" si="378"/>
        <v>0</v>
      </c>
      <c r="X231" s="164">
        <f t="shared" si="378"/>
        <v>0</v>
      </c>
      <c r="Y231" s="164">
        <f t="shared" si="378"/>
        <v>0</v>
      </c>
      <c r="Z231" s="164">
        <f t="shared" si="378"/>
        <v>0</v>
      </c>
      <c r="AA231" s="164">
        <f t="shared" si="378"/>
        <v>0</v>
      </c>
      <c r="AB231" s="164">
        <f t="shared" si="378"/>
        <v>0</v>
      </c>
      <c r="AC231" s="164">
        <f t="shared" si="378"/>
        <v>0</v>
      </c>
      <c r="AD231" s="164">
        <f t="shared" si="378"/>
        <v>0</v>
      </c>
      <c r="AE231" s="164">
        <f t="shared" si="378"/>
        <v>0</v>
      </c>
      <c r="AF231" s="164">
        <f t="shared" si="378"/>
        <v>0</v>
      </c>
      <c r="AG231" s="164">
        <f t="shared" si="378"/>
        <v>0</v>
      </c>
      <c r="AH231" s="164">
        <f t="shared" si="378"/>
        <v>0</v>
      </c>
      <c r="AI231" s="164">
        <f t="shared" si="378"/>
        <v>0</v>
      </c>
      <c r="AJ231" s="164">
        <f t="shared" si="378"/>
        <v>0</v>
      </c>
      <c r="AK231" s="164">
        <f t="shared" si="378"/>
        <v>0</v>
      </c>
      <c r="AL231" s="164">
        <f t="shared" si="378"/>
        <v>0</v>
      </c>
      <c r="AM231" s="164">
        <f t="shared" si="378"/>
        <v>0</v>
      </c>
      <c r="AN231" s="164">
        <f t="shared" si="378"/>
        <v>0</v>
      </c>
      <c r="AO231" s="164">
        <f t="shared" si="378"/>
        <v>0</v>
      </c>
      <c r="AP231" s="164">
        <f t="shared" si="378"/>
        <v>0</v>
      </c>
      <c r="AQ231" s="164">
        <f t="shared" si="378"/>
        <v>0</v>
      </c>
      <c r="AR231" s="164">
        <f t="shared" si="378"/>
        <v>0</v>
      </c>
      <c r="AS231" s="164">
        <f t="shared" si="378"/>
        <v>0</v>
      </c>
      <c r="AT231" s="164">
        <f t="shared" si="378"/>
        <v>0</v>
      </c>
      <c r="AU231" s="164">
        <f t="shared" si="378"/>
        <v>0</v>
      </c>
      <c r="AV231" s="164">
        <f t="shared" si="378"/>
        <v>0</v>
      </c>
      <c r="AW231" s="164">
        <f t="shared" si="378"/>
        <v>0</v>
      </c>
      <c r="AX231" s="164">
        <f t="shared" si="378"/>
        <v>0</v>
      </c>
      <c r="AY231" s="164">
        <f t="shared" si="378"/>
        <v>0</v>
      </c>
      <c r="AZ231" s="164">
        <f t="shared" si="378"/>
        <v>0</v>
      </c>
      <c r="BA231" s="164">
        <f t="shared" si="378"/>
        <v>0</v>
      </c>
      <c r="BB231" s="164">
        <f t="shared" si="378"/>
        <v>0</v>
      </c>
      <c r="BC231" s="164">
        <f t="shared" si="378"/>
        <v>0</v>
      </c>
      <c r="BD231" s="164">
        <f t="shared" si="378"/>
        <v>0</v>
      </c>
      <c r="BE231" s="164">
        <f t="shared" si="378"/>
        <v>0</v>
      </c>
      <c r="BF231" s="164">
        <f t="shared" si="378"/>
        <v>0</v>
      </c>
      <c r="BG231" s="164">
        <f t="shared" si="378"/>
        <v>0</v>
      </c>
      <c r="BH231" s="164">
        <f t="shared" si="378"/>
        <v>0</v>
      </c>
      <c r="BI231" s="164">
        <f t="shared" si="378"/>
        <v>0</v>
      </c>
      <c r="BJ231" s="164">
        <f t="shared" si="378"/>
        <v>0</v>
      </c>
      <c r="BK231" s="33">
        <f t="shared" si="378"/>
        <v>0</v>
      </c>
    </row>
    <row r="232" spans="9:63">
      <c r="I232" s="31">
        <v>40</v>
      </c>
      <c r="L232" s="225">
        <f t="shared" si="340"/>
        <v>0</v>
      </c>
      <c r="M232" s="164">
        <f t="shared" ref="M232:BK232" si="379">LOOKUP(M119,$K$56:$BK$56,$K$60:$BK$60)</f>
        <v>0</v>
      </c>
      <c r="N232" s="164">
        <f t="shared" si="379"/>
        <v>0</v>
      </c>
      <c r="O232" s="164">
        <f t="shared" si="379"/>
        <v>0</v>
      </c>
      <c r="P232" s="164">
        <f t="shared" si="379"/>
        <v>0</v>
      </c>
      <c r="Q232" s="164">
        <f t="shared" si="379"/>
        <v>0</v>
      </c>
      <c r="R232" s="164">
        <f t="shared" si="379"/>
        <v>0</v>
      </c>
      <c r="S232" s="164">
        <f t="shared" si="379"/>
        <v>0</v>
      </c>
      <c r="T232" s="164">
        <f t="shared" si="379"/>
        <v>0</v>
      </c>
      <c r="U232" s="164">
        <f t="shared" si="379"/>
        <v>0</v>
      </c>
      <c r="V232" s="164">
        <f t="shared" si="379"/>
        <v>0</v>
      </c>
      <c r="W232" s="164">
        <f t="shared" si="379"/>
        <v>0</v>
      </c>
      <c r="X232" s="164">
        <f t="shared" si="379"/>
        <v>0</v>
      </c>
      <c r="Y232" s="164">
        <f t="shared" si="379"/>
        <v>0</v>
      </c>
      <c r="Z232" s="164">
        <f t="shared" si="379"/>
        <v>0</v>
      </c>
      <c r="AA232" s="164">
        <f t="shared" si="379"/>
        <v>0</v>
      </c>
      <c r="AB232" s="164">
        <f t="shared" si="379"/>
        <v>0</v>
      </c>
      <c r="AC232" s="164">
        <f t="shared" si="379"/>
        <v>0</v>
      </c>
      <c r="AD232" s="164">
        <f t="shared" si="379"/>
        <v>0</v>
      </c>
      <c r="AE232" s="164">
        <f t="shared" si="379"/>
        <v>0</v>
      </c>
      <c r="AF232" s="164">
        <f t="shared" si="379"/>
        <v>0</v>
      </c>
      <c r="AG232" s="164">
        <f t="shared" si="379"/>
        <v>0</v>
      </c>
      <c r="AH232" s="164">
        <f t="shared" si="379"/>
        <v>0</v>
      </c>
      <c r="AI232" s="164">
        <f t="shared" si="379"/>
        <v>0</v>
      </c>
      <c r="AJ232" s="164">
        <f t="shared" si="379"/>
        <v>0</v>
      </c>
      <c r="AK232" s="164">
        <f t="shared" si="379"/>
        <v>0</v>
      </c>
      <c r="AL232" s="164">
        <f t="shared" si="379"/>
        <v>0</v>
      </c>
      <c r="AM232" s="164">
        <f t="shared" si="379"/>
        <v>0</v>
      </c>
      <c r="AN232" s="164">
        <f t="shared" si="379"/>
        <v>0</v>
      </c>
      <c r="AO232" s="164">
        <f t="shared" si="379"/>
        <v>0</v>
      </c>
      <c r="AP232" s="164">
        <f t="shared" si="379"/>
        <v>0</v>
      </c>
      <c r="AQ232" s="164">
        <f t="shared" si="379"/>
        <v>0</v>
      </c>
      <c r="AR232" s="164">
        <f t="shared" si="379"/>
        <v>0</v>
      </c>
      <c r="AS232" s="164">
        <f t="shared" si="379"/>
        <v>0</v>
      </c>
      <c r="AT232" s="164">
        <f t="shared" si="379"/>
        <v>0</v>
      </c>
      <c r="AU232" s="164">
        <f t="shared" si="379"/>
        <v>0</v>
      </c>
      <c r="AV232" s="164">
        <f t="shared" si="379"/>
        <v>0</v>
      </c>
      <c r="AW232" s="164">
        <f t="shared" si="379"/>
        <v>0</v>
      </c>
      <c r="AX232" s="164">
        <f t="shared" si="379"/>
        <v>0</v>
      </c>
      <c r="AY232" s="164">
        <f t="shared" si="379"/>
        <v>0</v>
      </c>
      <c r="AZ232" s="164">
        <f t="shared" si="379"/>
        <v>0</v>
      </c>
      <c r="BA232" s="164">
        <f t="shared" si="379"/>
        <v>0</v>
      </c>
      <c r="BB232" s="164">
        <f t="shared" si="379"/>
        <v>0</v>
      </c>
      <c r="BC232" s="164">
        <f t="shared" si="379"/>
        <v>0</v>
      </c>
      <c r="BD232" s="164">
        <f t="shared" si="379"/>
        <v>0</v>
      </c>
      <c r="BE232" s="164">
        <f t="shared" si="379"/>
        <v>0</v>
      </c>
      <c r="BF232" s="164">
        <f t="shared" si="379"/>
        <v>0</v>
      </c>
      <c r="BG232" s="164">
        <f t="shared" si="379"/>
        <v>0</v>
      </c>
      <c r="BH232" s="164">
        <f t="shared" si="379"/>
        <v>0</v>
      </c>
      <c r="BI232" s="164">
        <f t="shared" si="379"/>
        <v>0</v>
      </c>
      <c r="BJ232" s="164">
        <f t="shared" si="379"/>
        <v>0</v>
      </c>
      <c r="BK232" s="33">
        <f t="shared" si="379"/>
        <v>0</v>
      </c>
    </row>
    <row r="233" spans="9:63">
      <c r="I233" s="31">
        <v>41</v>
      </c>
      <c r="L233" s="225">
        <f t="shared" si="340"/>
        <v>0</v>
      </c>
      <c r="M233" s="164">
        <f t="shared" ref="M233:BK233" si="380">LOOKUP(M120,$K$56:$BK$56,$K$60:$BK$60)</f>
        <v>0</v>
      </c>
      <c r="N233" s="164">
        <f t="shared" si="380"/>
        <v>0</v>
      </c>
      <c r="O233" s="164">
        <f t="shared" si="380"/>
        <v>0</v>
      </c>
      <c r="P233" s="164">
        <f t="shared" si="380"/>
        <v>0</v>
      </c>
      <c r="Q233" s="164">
        <f t="shared" si="380"/>
        <v>0</v>
      </c>
      <c r="R233" s="164">
        <f t="shared" si="380"/>
        <v>0</v>
      </c>
      <c r="S233" s="164">
        <f t="shared" si="380"/>
        <v>0</v>
      </c>
      <c r="T233" s="164">
        <f t="shared" si="380"/>
        <v>0</v>
      </c>
      <c r="U233" s="164">
        <f t="shared" si="380"/>
        <v>0</v>
      </c>
      <c r="V233" s="164">
        <f t="shared" si="380"/>
        <v>0</v>
      </c>
      <c r="W233" s="164">
        <f t="shared" si="380"/>
        <v>0</v>
      </c>
      <c r="X233" s="164">
        <f t="shared" si="380"/>
        <v>0</v>
      </c>
      <c r="Y233" s="164">
        <f t="shared" si="380"/>
        <v>0</v>
      </c>
      <c r="Z233" s="164">
        <f t="shared" si="380"/>
        <v>0</v>
      </c>
      <c r="AA233" s="164">
        <f t="shared" si="380"/>
        <v>0</v>
      </c>
      <c r="AB233" s="164">
        <f t="shared" si="380"/>
        <v>0</v>
      </c>
      <c r="AC233" s="164">
        <f t="shared" si="380"/>
        <v>0</v>
      </c>
      <c r="AD233" s="164">
        <f t="shared" si="380"/>
        <v>0</v>
      </c>
      <c r="AE233" s="164">
        <f t="shared" si="380"/>
        <v>0</v>
      </c>
      <c r="AF233" s="164">
        <f t="shared" si="380"/>
        <v>0</v>
      </c>
      <c r="AG233" s="164">
        <f t="shared" si="380"/>
        <v>0</v>
      </c>
      <c r="AH233" s="164">
        <f t="shared" si="380"/>
        <v>0</v>
      </c>
      <c r="AI233" s="164">
        <f t="shared" si="380"/>
        <v>0</v>
      </c>
      <c r="AJ233" s="164">
        <f t="shared" si="380"/>
        <v>0</v>
      </c>
      <c r="AK233" s="164">
        <f t="shared" si="380"/>
        <v>0</v>
      </c>
      <c r="AL233" s="164">
        <f t="shared" si="380"/>
        <v>0</v>
      </c>
      <c r="AM233" s="164">
        <f t="shared" si="380"/>
        <v>0</v>
      </c>
      <c r="AN233" s="164">
        <f t="shared" si="380"/>
        <v>0</v>
      </c>
      <c r="AO233" s="164">
        <f t="shared" si="380"/>
        <v>0</v>
      </c>
      <c r="AP233" s="164">
        <f t="shared" si="380"/>
        <v>0</v>
      </c>
      <c r="AQ233" s="164">
        <f t="shared" si="380"/>
        <v>0</v>
      </c>
      <c r="AR233" s="164">
        <f t="shared" si="380"/>
        <v>0</v>
      </c>
      <c r="AS233" s="164">
        <f t="shared" si="380"/>
        <v>0</v>
      </c>
      <c r="AT233" s="164">
        <f t="shared" si="380"/>
        <v>0</v>
      </c>
      <c r="AU233" s="164">
        <f t="shared" si="380"/>
        <v>0</v>
      </c>
      <c r="AV233" s="164">
        <f t="shared" si="380"/>
        <v>0</v>
      </c>
      <c r="AW233" s="164">
        <f t="shared" si="380"/>
        <v>0</v>
      </c>
      <c r="AX233" s="164">
        <f t="shared" si="380"/>
        <v>0</v>
      </c>
      <c r="AY233" s="164">
        <f t="shared" si="380"/>
        <v>0</v>
      </c>
      <c r="AZ233" s="164">
        <f t="shared" si="380"/>
        <v>0</v>
      </c>
      <c r="BA233" s="164">
        <f t="shared" si="380"/>
        <v>0</v>
      </c>
      <c r="BB233" s="164">
        <f t="shared" si="380"/>
        <v>0</v>
      </c>
      <c r="BC233" s="164">
        <f t="shared" si="380"/>
        <v>0</v>
      </c>
      <c r="BD233" s="164">
        <f t="shared" si="380"/>
        <v>0</v>
      </c>
      <c r="BE233" s="164">
        <f t="shared" si="380"/>
        <v>0</v>
      </c>
      <c r="BF233" s="164">
        <f t="shared" si="380"/>
        <v>0</v>
      </c>
      <c r="BG233" s="164">
        <f t="shared" si="380"/>
        <v>0</v>
      </c>
      <c r="BH233" s="164">
        <f t="shared" si="380"/>
        <v>0</v>
      </c>
      <c r="BI233" s="164">
        <f t="shared" si="380"/>
        <v>0</v>
      </c>
      <c r="BJ233" s="164">
        <f t="shared" si="380"/>
        <v>0</v>
      </c>
      <c r="BK233" s="33">
        <f t="shared" si="380"/>
        <v>0</v>
      </c>
    </row>
    <row r="234" spans="9:63">
      <c r="I234" s="31">
        <v>42</v>
      </c>
      <c r="L234" s="225">
        <f t="shared" si="340"/>
        <v>0</v>
      </c>
      <c r="M234" s="164">
        <f t="shared" ref="M234:BK234" si="381">LOOKUP(M121,$K$56:$BK$56,$K$60:$BK$60)</f>
        <v>0</v>
      </c>
      <c r="N234" s="164">
        <f t="shared" si="381"/>
        <v>0</v>
      </c>
      <c r="O234" s="164">
        <f t="shared" si="381"/>
        <v>0</v>
      </c>
      <c r="P234" s="164">
        <f t="shared" si="381"/>
        <v>0</v>
      </c>
      <c r="Q234" s="164">
        <f t="shared" si="381"/>
        <v>0</v>
      </c>
      <c r="R234" s="164">
        <f t="shared" si="381"/>
        <v>0</v>
      </c>
      <c r="S234" s="164">
        <f t="shared" si="381"/>
        <v>0</v>
      </c>
      <c r="T234" s="164">
        <f t="shared" si="381"/>
        <v>0</v>
      </c>
      <c r="U234" s="164">
        <f t="shared" si="381"/>
        <v>0</v>
      </c>
      <c r="V234" s="164">
        <f t="shared" si="381"/>
        <v>0</v>
      </c>
      <c r="W234" s="164">
        <f t="shared" si="381"/>
        <v>0</v>
      </c>
      <c r="X234" s="164">
        <f t="shared" si="381"/>
        <v>0</v>
      </c>
      <c r="Y234" s="164">
        <f t="shared" si="381"/>
        <v>0</v>
      </c>
      <c r="Z234" s="164">
        <f t="shared" si="381"/>
        <v>0</v>
      </c>
      <c r="AA234" s="164">
        <f t="shared" si="381"/>
        <v>0</v>
      </c>
      <c r="AB234" s="164">
        <f t="shared" si="381"/>
        <v>0</v>
      </c>
      <c r="AC234" s="164">
        <f t="shared" si="381"/>
        <v>0</v>
      </c>
      <c r="AD234" s="164">
        <f t="shared" si="381"/>
        <v>0</v>
      </c>
      <c r="AE234" s="164">
        <f t="shared" si="381"/>
        <v>0</v>
      </c>
      <c r="AF234" s="164">
        <f t="shared" si="381"/>
        <v>0</v>
      </c>
      <c r="AG234" s="164">
        <f t="shared" si="381"/>
        <v>0</v>
      </c>
      <c r="AH234" s="164">
        <f t="shared" si="381"/>
        <v>0</v>
      </c>
      <c r="AI234" s="164">
        <f t="shared" si="381"/>
        <v>0</v>
      </c>
      <c r="AJ234" s="164">
        <f t="shared" si="381"/>
        <v>0</v>
      </c>
      <c r="AK234" s="164">
        <f t="shared" si="381"/>
        <v>0</v>
      </c>
      <c r="AL234" s="164">
        <f t="shared" si="381"/>
        <v>0</v>
      </c>
      <c r="AM234" s="164">
        <f t="shared" si="381"/>
        <v>0</v>
      </c>
      <c r="AN234" s="164">
        <f t="shared" si="381"/>
        <v>0</v>
      </c>
      <c r="AO234" s="164">
        <f t="shared" si="381"/>
        <v>0</v>
      </c>
      <c r="AP234" s="164">
        <f t="shared" si="381"/>
        <v>0</v>
      </c>
      <c r="AQ234" s="164">
        <f t="shared" si="381"/>
        <v>0</v>
      </c>
      <c r="AR234" s="164">
        <f t="shared" si="381"/>
        <v>0</v>
      </c>
      <c r="AS234" s="164">
        <f t="shared" si="381"/>
        <v>0</v>
      </c>
      <c r="AT234" s="164">
        <f t="shared" si="381"/>
        <v>0</v>
      </c>
      <c r="AU234" s="164">
        <f t="shared" si="381"/>
        <v>0</v>
      </c>
      <c r="AV234" s="164">
        <f t="shared" si="381"/>
        <v>0</v>
      </c>
      <c r="AW234" s="164">
        <f t="shared" si="381"/>
        <v>0</v>
      </c>
      <c r="AX234" s="164">
        <f t="shared" si="381"/>
        <v>0</v>
      </c>
      <c r="AY234" s="164">
        <f t="shared" si="381"/>
        <v>0</v>
      </c>
      <c r="AZ234" s="164">
        <f t="shared" si="381"/>
        <v>0</v>
      </c>
      <c r="BA234" s="164">
        <f t="shared" si="381"/>
        <v>0</v>
      </c>
      <c r="BB234" s="164">
        <f t="shared" si="381"/>
        <v>0</v>
      </c>
      <c r="BC234" s="164">
        <f t="shared" si="381"/>
        <v>0</v>
      </c>
      <c r="BD234" s="164">
        <f t="shared" si="381"/>
        <v>0</v>
      </c>
      <c r="BE234" s="164">
        <f t="shared" si="381"/>
        <v>0</v>
      </c>
      <c r="BF234" s="164">
        <f t="shared" si="381"/>
        <v>0</v>
      </c>
      <c r="BG234" s="164">
        <f t="shared" si="381"/>
        <v>0</v>
      </c>
      <c r="BH234" s="164">
        <f t="shared" si="381"/>
        <v>0</v>
      </c>
      <c r="BI234" s="164">
        <f t="shared" si="381"/>
        <v>0</v>
      </c>
      <c r="BJ234" s="164">
        <f t="shared" si="381"/>
        <v>0</v>
      </c>
      <c r="BK234" s="33">
        <f t="shared" si="381"/>
        <v>0</v>
      </c>
    </row>
    <row r="235" spans="9:63">
      <c r="I235" s="31">
        <v>43</v>
      </c>
      <c r="L235" s="225">
        <f t="shared" si="340"/>
        <v>0</v>
      </c>
      <c r="M235" s="164">
        <f t="shared" ref="M235:BK235" si="382">LOOKUP(M122,$K$56:$BK$56,$K$60:$BK$60)</f>
        <v>0</v>
      </c>
      <c r="N235" s="164">
        <f t="shared" si="382"/>
        <v>0</v>
      </c>
      <c r="O235" s="164">
        <f t="shared" si="382"/>
        <v>0</v>
      </c>
      <c r="P235" s="164">
        <f t="shared" si="382"/>
        <v>0</v>
      </c>
      <c r="Q235" s="164">
        <f t="shared" si="382"/>
        <v>0</v>
      </c>
      <c r="R235" s="164">
        <f t="shared" si="382"/>
        <v>0</v>
      </c>
      <c r="S235" s="164">
        <f t="shared" si="382"/>
        <v>0</v>
      </c>
      <c r="T235" s="164">
        <f t="shared" si="382"/>
        <v>0</v>
      </c>
      <c r="U235" s="164">
        <f t="shared" si="382"/>
        <v>0</v>
      </c>
      <c r="V235" s="164">
        <f t="shared" si="382"/>
        <v>0</v>
      </c>
      <c r="W235" s="164">
        <f t="shared" si="382"/>
        <v>0</v>
      </c>
      <c r="X235" s="164">
        <f t="shared" si="382"/>
        <v>0</v>
      </c>
      <c r="Y235" s="164">
        <f t="shared" si="382"/>
        <v>0</v>
      </c>
      <c r="Z235" s="164">
        <f t="shared" si="382"/>
        <v>0</v>
      </c>
      <c r="AA235" s="164">
        <f t="shared" si="382"/>
        <v>0</v>
      </c>
      <c r="AB235" s="164">
        <f t="shared" si="382"/>
        <v>0</v>
      </c>
      <c r="AC235" s="164">
        <f t="shared" si="382"/>
        <v>0</v>
      </c>
      <c r="AD235" s="164">
        <f t="shared" si="382"/>
        <v>0</v>
      </c>
      <c r="AE235" s="164">
        <f t="shared" si="382"/>
        <v>0</v>
      </c>
      <c r="AF235" s="164">
        <f t="shared" si="382"/>
        <v>0</v>
      </c>
      <c r="AG235" s="164">
        <f t="shared" si="382"/>
        <v>0</v>
      </c>
      <c r="AH235" s="164">
        <f t="shared" si="382"/>
        <v>0</v>
      </c>
      <c r="AI235" s="164">
        <f t="shared" si="382"/>
        <v>0</v>
      </c>
      <c r="AJ235" s="164">
        <f t="shared" si="382"/>
        <v>0</v>
      </c>
      <c r="AK235" s="164">
        <f t="shared" si="382"/>
        <v>0</v>
      </c>
      <c r="AL235" s="164">
        <f t="shared" si="382"/>
        <v>0</v>
      </c>
      <c r="AM235" s="164">
        <f t="shared" si="382"/>
        <v>0</v>
      </c>
      <c r="AN235" s="164">
        <f t="shared" si="382"/>
        <v>0</v>
      </c>
      <c r="AO235" s="164">
        <f t="shared" si="382"/>
        <v>0</v>
      </c>
      <c r="AP235" s="164">
        <f t="shared" si="382"/>
        <v>0</v>
      </c>
      <c r="AQ235" s="164">
        <f t="shared" si="382"/>
        <v>0</v>
      </c>
      <c r="AR235" s="164">
        <f t="shared" si="382"/>
        <v>0</v>
      </c>
      <c r="AS235" s="164">
        <f t="shared" si="382"/>
        <v>0</v>
      </c>
      <c r="AT235" s="164">
        <f t="shared" si="382"/>
        <v>0</v>
      </c>
      <c r="AU235" s="164">
        <f t="shared" si="382"/>
        <v>0</v>
      </c>
      <c r="AV235" s="164">
        <f t="shared" si="382"/>
        <v>0</v>
      </c>
      <c r="AW235" s="164">
        <f t="shared" si="382"/>
        <v>0</v>
      </c>
      <c r="AX235" s="164">
        <f t="shared" si="382"/>
        <v>0</v>
      </c>
      <c r="AY235" s="164">
        <f t="shared" si="382"/>
        <v>0</v>
      </c>
      <c r="AZ235" s="164">
        <f t="shared" si="382"/>
        <v>0</v>
      </c>
      <c r="BA235" s="164">
        <f t="shared" si="382"/>
        <v>0</v>
      </c>
      <c r="BB235" s="164">
        <f t="shared" si="382"/>
        <v>0</v>
      </c>
      <c r="BC235" s="164">
        <f t="shared" si="382"/>
        <v>0</v>
      </c>
      <c r="BD235" s="164">
        <f t="shared" si="382"/>
        <v>0</v>
      </c>
      <c r="BE235" s="164">
        <f t="shared" si="382"/>
        <v>0</v>
      </c>
      <c r="BF235" s="164">
        <f t="shared" si="382"/>
        <v>0</v>
      </c>
      <c r="BG235" s="164">
        <f t="shared" si="382"/>
        <v>0</v>
      </c>
      <c r="BH235" s="164">
        <f t="shared" si="382"/>
        <v>0</v>
      </c>
      <c r="BI235" s="164">
        <f t="shared" si="382"/>
        <v>0</v>
      </c>
      <c r="BJ235" s="164">
        <f t="shared" si="382"/>
        <v>0</v>
      </c>
      <c r="BK235" s="33">
        <f t="shared" si="382"/>
        <v>0</v>
      </c>
    </row>
    <row r="236" spans="9:63">
      <c r="I236" s="31">
        <v>44</v>
      </c>
      <c r="L236" s="225">
        <f t="shared" si="340"/>
        <v>0</v>
      </c>
      <c r="M236" s="164">
        <f t="shared" ref="M236:BK236" si="383">LOOKUP(M123,$K$56:$BK$56,$K$60:$BK$60)</f>
        <v>0</v>
      </c>
      <c r="N236" s="164">
        <f t="shared" si="383"/>
        <v>0</v>
      </c>
      <c r="O236" s="164">
        <f t="shared" si="383"/>
        <v>0</v>
      </c>
      <c r="P236" s="164">
        <f t="shared" si="383"/>
        <v>0</v>
      </c>
      <c r="Q236" s="164">
        <f t="shared" si="383"/>
        <v>0</v>
      </c>
      <c r="R236" s="164">
        <f t="shared" si="383"/>
        <v>0</v>
      </c>
      <c r="S236" s="164">
        <f t="shared" si="383"/>
        <v>0</v>
      </c>
      <c r="T236" s="164">
        <f t="shared" si="383"/>
        <v>0</v>
      </c>
      <c r="U236" s="164">
        <f t="shared" si="383"/>
        <v>0</v>
      </c>
      <c r="V236" s="164">
        <f t="shared" si="383"/>
        <v>0</v>
      </c>
      <c r="W236" s="164">
        <f t="shared" si="383"/>
        <v>0</v>
      </c>
      <c r="X236" s="164">
        <f t="shared" si="383"/>
        <v>0</v>
      </c>
      <c r="Y236" s="164">
        <f t="shared" si="383"/>
        <v>0</v>
      </c>
      <c r="Z236" s="164">
        <f t="shared" si="383"/>
        <v>0</v>
      </c>
      <c r="AA236" s="164">
        <f t="shared" si="383"/>
        <v>0</v>
      </c>
      <c r="AB236" s="164">
        <f t="shared" si="383"/>
        <v>0</v>
      </c>
      <c r="AC236" s="164">
        <f t="shared" si="383"/>
        <v>0</v>
      </c>
      <c r="AD236" s="164">
        <f t="shared" si="383"/>
        <v>0</v>
      </c>
      <c r="AE236" s="164">
        <f t="shared" si="383"/>
        <v>0</v>
      </c>
      <c r="AF236" s="164">
        <f t="shared" si="383"/>
        <v>0</v>
      </c>
      <c r="AG236" s="164">
        <f t="shared" si="383"/>
        <v>0</v>
      </c>
      <c r="AH236" s="164">
        <f t="shared" si="383"/>
        <v>0</v>
      </c>
      <c r="AI236" s="164">
        <f t="shared" si="383"/>
        <v>0</v>
      </c>
      <c r="AJ236" s="164">
        <f t="shared" si="383"/>
        <v>0</v>
      </c>
      <c r="AK236" s="164">
        <f t="shared" si="383"/>
        <v>0</v>
      </c>
      <c r="AL236" s="164">
        <f t="shared" si="383"/>
        <v>0</v>
      </c>
      <c r="AM236" s="164">
        <f t="shared" si="383"/>
        <v>0</v>
      </c>
      <c r="AN236" s="164">
        <f t="shared" si="383"/>
        <v>0</v>
      </c>
      <c r="AO236" s="164">
        <f t="shared" si="383"/>
        <v>0</v>
      </c>
      <c r="AP236" s="164">
        <f t="shared" si="383"/>
        <v>0</v>
      </c>
      <c r="AQ236" s="164">
        <f t="shared" si="383"/>
        <v>0</v>
      </c>
      <c r="AR236" s="164">
        <f t="shared" si="383"/>
        <v>0</v>
      </c>
      <c r="AS236" s="164">
        <f t="shared" si="383"/>
        <v>0</v>
      </c>
      <c r="AT236" s="164">
        <f t="shared" si="383"/>
        <v>0</v>
      </c>
      <c r="AU236" s="164">
        <f t="shared" si="383"/>
        <v>0</v>
      </c>
      <c r="AV236" s="164">
        <f t="shared" si="383"/>
        <v>0</v>
      </c>
      <c r="AW236" s="164">
        <f t="shared" si="383"/>
        <v>0</v>
      </c>
      <c r="AX236" s="164">
        <f t="shared" si="383"/>
        <v>0</v>
      </c>
      <c r="AY236" s="164">
        <f t="shared" si="383"/>
        <v>0</v>
      </c>
      <c r="AZ236" s="164">
        <f t="shared" si="383"/>
        <v>0</v>
      </c>
      <c r="BA236" s="164">
        <f t="shared" si="383"/>
        <v>0</v>
      </c>
      <c r="BB236" s="164">
        <f t="shared" si="383"/>
        <v>0</v>
      </c>
      <c r="BC236" s="164">
        <f t="shared" si="383"/>
        <v>0</v>
      </c>
      <c r="BD236" s="164">
        <f t="shared" si="383"/>
        <v>0</v>
      </c>
      <c r="BE236" s="164">
        <f t="shared" si="383"/>
        <v>0</v>
      </c>
      <c r="BF236" s="164">
        <f t="shared" si="383"/>
        <v>0</v>
      </c>
      <c r="BG236" s="164">
        <f t="shared" si="383"/>
        <v>0</v>
      </c>
      <c r="BH236" s="164">
        <f t="shared" si="383"/>
        <v>0</v>
      </c>
      <c r="BI236" s="164">
        <f t="shared" si="383"/>
        <v>0</v>
      </c>
      <c r="BJ236" s="164">
        <f t="shared" si="383"/>
        <v>0</v>
      </c>
      <c r="BK236" s="33">
        <f t="shared" si="383"/>
        <v>0</v>
      </c>
    </row>
    <row r="237" spans="9:63">
      <c r="I237" s="31">
        <v>45</v>
      </c>
      <c r="L237" s="225">
        <f t="shared" si="340"/>
        <v>0</v>
      </c>
      <c r="M237" s="164">
        <f t="shared" ref="M237:BK237" si="384">LOOKUP(M124,$K$56:$BK$56,$K$60:$BK$60)</f>
        <v>0</v>
      </c>
      <c r="N237" s="164">
        <f t="shared" si="384"/>
        <v>0</v>
      </c>
      <c r="O237" s="164">
        <f t="shared" si="384"/>
        <v>0</v>
      </c>
      <c r="P237" s="164">
        <f t="shared" si="384"/>
        <v>0</v>
      </c>
      <c r="Q237" s="164">
        <f t="shared" si="384"/>
        <v>0</v>
      </c>
      <c r="R237" s="164">
        <f t="shared" si="384"/>
        <v>0</v>
      </c>
      <c r="S237" s="164">
        <f t="shared" si="384"/>
        <v>0</v>
      </c>
      <c r="T237" s="164">
        <f t="shared" si="384"/>
        <v>0</v>
      </c>
      <c r="U237" s="164">
        <f t="shared" si="384"/>
        <v>0</v>
      </c>
      <c r="V237" s="164">
        <f t="shared" si="384"/>
        <v>0</v>
      </c>
      <c r="W237" s="164">
        <f t="shared" si="384"/>
        <v>0</v>
      </c>
      <c r="X237" s="164">
        <f t="shared" si="384"/>
        <v>0</v>
      </c>
      <c r="Y237" s="164">
        <f t="shared" si="384"/>
        <v>0</v>
      </c>
      <c r="Z237" s="164">
        <f t="shared" si="384"/>
        <v>0</v>
      </c>
      <c r="AA237" s="164">
        <f t="shared" si="384"/>
        <v>0</v>
      </c>
      <c r="AB237" s="164">
        <f t="shared" si="384"/>
        <v>0</v>
      </c>
      <c r="AC237" s="164">
        <f t="shared" si="384"/>
        <v>0</v>
      </c>
      <c r="AD237" s="164">
        <f t="shared" si="384"/>
        <v>0</v>
      </c>
      <c r="AE237" s="164">
        <f t="shared" si="384"/>
        <v>0</v>
      </c>
      <c r="AF237" s="164">
        <f t="shared" si="384"/>
        <v>0</v>
      </c>
      <c r="AG237" s="164">
        <f t="shared" si="384"/>
        <v>0</v>
      </c>
      <c r="AH237" s="164">
        <f t="shared" si="384"/>
        <v>0</v>
      </c>
      <c r="AI237" s="164">
        <f t="shared" si="384"/>
        <v>0</v>
      </c>
      <c r="AJ237" s="164">
        <f t="shared" si="384"/>
        <v>0</v>
      </c>
      <c r="AK237" s="164">
        <f t="shared" si="384"/>
        <v>0</v>
      </c>
      <c r="AL237" s="164">
        <f t="shared" si="384"/>
        <v>0</v>
      </c>
      <c r="AM237" s="164">
        <f t="shared" si="384"/>
        <v>0</v>
      </c>
      <c r="AN237" s="164">
        <f t="shared" si="384"/>
        <v>0</v>
      </c>
      <c r="AO237" s="164">
        <f t="shared" si="384"/>
        <v>0</v>
      </c>
      <c r="AP237" s="164">
        <f t="shared" si="384"/>
        <v>0</v>
      </c>
      <c r="AQ237" s="164">
        <f t="shared" si="384"/>
        <v>0</v>
      </c>
      <c r="AR237" s="164">
        <f t="shared" si="384"/>
        <v>0</v>
      </c>
      <c r="AS237" s="164">
        <f t="shared" si="384"/>
        <v>0</v>
      </c>
      <c r="AT237" s="164">
        <f t="shared" si="384"/>
        <v>0</v>
      </c>
      <c r="AU237" s="164">
        <f t="shared" si="384"/>
        <v>0</v>
      </c>
      <c r="AV237" s="164">
        <f t="shared" si="384"/>
        <v>0</v>
      </c>
      <c r="AW237" s="164">
        <f t="shared" si="384"/>
        <v>0</v>
      </c>
      <c r="AX237" s="164">
        <f t="shared" si="384"/>
        <v>0</v>
      </c>
      <c r="AY237" s="164">
        <f t="shared" si="384"/>
        <v>0</v>
      </c>
      <c r="AZ237" s="164">
        <f t="shared" si="384"/>
        <v>0</v>
      </c>
      <c r="BA237" s="164">
        <f t="shared" si="384"/>
        <v>0</v>
      </c>
      <c r="BB237" s="164">
        <f t="shared" si="384"/>
        <v>0</v>
      </c>
      <c r="BC237" s="164">
        <f t="shared" si="384"/>
        <v>0</v>
      </c>
      <c r="BD237" s="164">
        <f t="shared" si="384"/>
        <v>0</v>
      </c>
      <c r="BE237" s="164">
        <f t="shared" si="384"/>
        <v>0</v>
      </c>
      <c r="BF237" s="164">
        <f t="shared" si="384"/>
        <v>0</v>
      </c>
      <c r="BG237" s="164">
        <f t="shared" si="384"/>
        <v>0</v>
      </c>
      <c r="BH237" s="164">
        <f t="shared" si="384"/>
        <v>0</v>
      </c>
      <c r="BI237" s="164">
        <f t="shared" si="384"/>
        <v>0</v>
      </c>
      <c r="BJ237" s="164">
        <f t="shared" si="384"/>
        <v>0</v>
      </c>
      <c r="BK237" s="33">
        <f t="shared" si="384"/>
        <v>0</v>
      </c>
    </row>
    <row r="238" spans="9:63">
      <c r="I238" s="31">
        <v>46</v>
      </c>
      <c r="L238" s="225">
        <f t="shared" si="340"/>
        <v>0</v>
      </c>
      <c r="M238" s="164">
        <f t="shared" ref="M238:BK238" si="385">LOOKUP(M125,$K$56:$BK$56,$K$60:$BK$60)</f>
        <v>0</v>
      </c>
      <c r="N238" s="164">
        <f t="shared" si="385"/>
        <v>0</v>
      </c>
      <c r="O238" s="164">
        <f t="shared" si="385"/>
        <v>0</v>
      </c>
      <c r="P238" s="164">
        <f t="shared" si="385"/>
        <v>0</v>
      </c>
      <c r="Q238" s="164">
        <f t="shared" si="385"/>
        <v>0</v>
      </c>
      <c r="R238" s="164">
        <f t="shared" si="385"/>
        <v>0</v>
      </c>
      <c r="S238" s="164">
        <f t="shared" si="385"/>
        <v>0</v>
      </c>
      <c r="T238" s="164">
        <f t="shared" si="385"/>
        <v>0</v>
      </c>
      <c r="U238" s="164">
        <f t="shared" si="385"/>
        <v>0</v>
      </c>
      <c r="V238" s="164">
        <f t="shared" si="385"/>
        <v>0</v>
      </c>
      <c r="W238" s="164">
        <f t="shared" si="385"/>
        <v>0</v>
      </c>
      <c r="X238" s="164">
        <f t="shared" si="385"/>
        <v>0</v>
      </c>
      <c r="Y238" s="164">
        <f t="shared" si="385"/>
        <v>0</v>
      </c>
      <c r="Z238" s="164">
        <f t="shared" si="385"/>
        <v>0</v>
      </c>
      <c r="AA238" s="164">
        <f t="shared" si="385"/>
        <v>0</v>
      </c>
      <c r="AB238" s="164">
        <f t="shared" si="385"/>
        <v>0</v>
      </c>
      <c r="AC238" s="164">
        <f t="shared" si="385"/>
        <v>0</v>
      </c>
      <c r="AD238" s="164">
        <f t="shared" si="385"/>
        <v>0</v>
      </c>
      <c r="AE238" s="164">
        <f t="shared" si="385"/>
        <v>0</v>
      </c>
      <c r="AF238" s="164">
        <f t="shared" si="385"/>
        <v>0</v>
      </c>
      <c r="AG238" s="164">
        <f t="shared" si="385"/>
        <v>0</v>
      </c>
      <c r="AH238" s="164">
        <f t="shared" si="385"/>
        <v>0</v>
      </c>
      <c r="AI238" s="164">
        <f t="shared" si="385"/>
        <v>0</v>
      </c>
      <c r="AJ238" s="164">
        <f t="shared" si="385"/>
        <v>0</v>
      </c>
      <c r="AK238" s="164">
        <f t="shared" si="385"/>
        <v>0</v>
      </c>
      <c r="AL238" s="164">
        <f t="shared" si="385"/>
        <v>0</v>
      </c>
      <c r="AM238" s="164">
        <f t="shared" si="385"/>
        <v>0</v>
      </c>
      <c r="AN238" s="164">
        <f t="shared" si="385"/>
        <v>0</v>
      </c>
      <c r="AO238" s="164">
        <f t="shared" si="385"/>
        <v>0</v>
      </c>
      <c r="AP238" s="164">
        <f t="shared" si="385"/>
        <v>0</v>
      </c>
      <c r="AQ238" s="164">
        <f t="shared" si="385"/>
        <v>0</v>
      </c>
      <c r="AR238" s="164">
        <f t="shared" si="385"/>
        <v>0</v>
      </c>
      <c r="AS238" s="164">
        <f t="shared" si="385"/>
        <v>0</v>
      </c>
      <c r="AT238" s="164">
        <f t="shared" si="385"/>
        <v>0</v>
      </c>
      <c r="AU238" s="164">
        <f t="shared" si="385"/>
        <v>0</v>
      </c>
      <c r="AV238" s="164">
        <f t="shared" si="385"/>
        <v>0</v>
      </c>
      <c r="AW238" s="164">
        <f t="shared" si="385"/>
        <v>0</v>
      </c>
      <c r="AX238" s="164">
        <f t="shared" si="385"/>
        <v>0</v>
      </c>
      <c r="AY238" s="164">
        <f t="shared" si="385"/>
        <v>0</v>
      </c>
      <c r="AZ238" s="164">
        <f t="shared" si="385"/>
        <v>0</v>
      </c>
      <c r="BA238" s="164">
        <f t="shared" si="385"/>
        <v>0</v>
      </c>
      <c r="BB238" s="164">
        <f t="shared" si="385"/>
        <v>0</v>
      </c>
      <c r="BC238" s="164">
        <f t="shared" si="385"/>
        <v>0</v>
      </c>
      <c r="BD238" s="164">
        <f t="shared" si="385"/>
        <v>0</v>
      </c>
      <c r="BE238" s="164">
        <f t="shared" si="385"/>
        <v>0</v>
      </c>
      <c r="BF238" s="164">
        <f t="shared" si="385"/>
        <v>0</v>
      </c>
      <c r="BG238" s="164">
        <f t="shared" si="385"/>
        <v>0</v>
      </c>
      <c r="BH238" s="164">
        <f t="shared" si="385"/>
        <v>0</v>
      </c>
      <c r="BI238" s="164">
        <f t="shared" si="385"/>
        <v>0</v>
      </c>
      <c r="BJ238" s="164">
        <f t="shared" si="385"/>
        <v>0</v>
      </c>
      <c r="BK238" s="33">
        <f t="shared" si="385"/>
        <v>0</v>
      </c>
    </row>
    <row r="239" spans="9:63">
      <c r="I239" s="31">
        <v>47</v>
      </c>
      <c r="L239" s="225">
        <f t="shared" si="340"/>
        <v>0</v>
      </c>
      <c r="M239" s="164">
        <f t="shared" ref="M239:BK239" si="386">LOOKUP(M126,$K$56:$BK$56,$K$60:$BK$60)</f>
        <v>0</v>
      </c>
      <c r="N239" s="164">
        <f t="shared" si="386"/>
        <v>0</v>
      </c>
      <c r="O239" s="164">
        <f t="shared" si="386"/>
        <v>0</v>
      </c>
      <c r="P239" s="164">
        <f t="shared" si="386"/>
        <v>0</v>
      </c>
      <c r="Q239" s="164">
        <f t="shared" si="386"/>
        <v>0</v>
      </c>
      <c r="R239" s="164">
        <f t="shared" si="386"/>
        <v>0</v>
      </c>
      <c r="S239" s="164">
        <f t="shared" si="386"/>
        <v>0</v>
      </c>
      <c r="T239" s="164">
        <f t="shared" si="386"/>
        <v>0</v>
      </c>
      <c r="U239" s="164">
        <f t="shared" si="386"/>
        <v>0</v>
      </c>
      <c r="V239" s="164">
        <f t="shared" si="386"/>
        <v>0</v>
      </c>
      <c r="W239" s="164">
        <f t="shared" si="386"/>
        <v>0</v>
      </c>
      <c r="X239" s="164">
        <f t="shared" si="386"/>
        <v>0</v>
      </c>
      <c r="Y239" s="164">
        <f t="shared" si="386"/>
        <v>0</v>
      </c>
      <c r="Z239" s="164">
        <f t="shared" si="386"/>
        <v>0</v>
      </c>
      <c r="AA239" s="164">
        <f t="shared" si="386"/>
        <v>0</v>
      </c>
      <c r="AB239" s="164">
        <f t="shared" si="386"/>
        <v>0</v>
      </c>
      <c r="AC239" s="164">
        <f t="shared" si="386"/>
        <v>0</v>
      </c>
      <c r="AD239" s="164">
        <f t="shared" si="386"/>
        <v>0</v>
      </c>
      <c r="AE239" s="164">
        <f t="shared" si="386"/>
        <v>0</v>
      </c>
      <c r="AF239" s="164">
        <f t="shared" si="386"/>
        <v>0</v>
      </c>
      <c r="AG239" s="164">
        <f t="shared" si="386"/>
        <v>0</v>
      </c>
      <c r="AH239" s="164">
        <f t="shared" si="386"/>
        <v>0</v>
      </c>
      <c r="AI239" s="164">
        <f t="shared" si="386"/>
        <v>0</v>
      </c>
      <c r="AJ239" s="164">
        <f t="shared" si="386"/>
        <v>0</v>
      </c>
      <c r="AK239" s="164">
        <f t="shared" si="386"/>
        <v>0</v>
      </c>
      <c r="AL239" s="164">
        <f t="shared" si="386"/>
        <v>0</v>
      </c>
      <c r="AM239" s="164">
        <f t="shared" si="386"/>
        <v>0</v>
      </c>
      <c r="AN239" s="164">
        <f t="shared" si="386"/>
        <v>0</v>
      </c>
      <c r="AO239" s="164">
        <f t="shared" si="386"/>
        <v>0</v>
      </c>
      <c r="AP239" s="164">
        <f t="shared" si="386"/>
        <v>0</v>
      </c>
      <c r="AQ239" s="164">
        <f t="shared" si="386"/>
        <v>0</v>
      </c>
      <c r="AR239" s="164">
        <f t="shared" si="386"/>
        <v>0</v>
      </c>
      <c r="AS239" s="164">
        <f t="shared" si="386"/>
        <v>0</v>
      </c>
      <c r="AT239" s="164">
        <f t="shared" si="386"/>
        <v>0</v>
      </c>
      <c r="AU239" s="164">
        <f t="shared" si="386"/>
        <v>0</v>
      </c>
      <c r="AV239" s="164">
        <f t="shared" si="386"/>
        <v>0</v>
      </c>
      <c r="AW239" s="164">
        <f t="shared" si="386"/>
        <v>0</v>
      </c>
      <c r="AX239" s="164">
        <f t="shared" si="386"/>
        <v>0</v>
      </c>
      <c r="AY239" s="164">
        <f t="shared" si="386"/>
        <v>0</v>
      </c>
      <c r="AZ239" s="164">
        <f t="shared" si="386"/>
        <v>0</v>
      </c>
      <c r="BA239" s="164">
        <f t="shared" si="386"/>
        <v>0</v>
      </c>
      <c r="BB239" s="164">
        <f t="shared" si="386"/>
        <v>0</v>
      </c>
      <c r="BC239" s="164">
        <f t="shared" si="386"/>
        <v>0</v>
      </c>
      <c r="BD239" s="164">
        <f t="shared" si="386"/>
        <v>0</v>
      </c>
      <c r="BE239" s="164">
        <f t="shared" si="386"/>
        <v>0</v>
      </c>
      <c r="BF239" s="164">
        <f t="shared" si="386"/>
        <v>0</v>
      </c>
      <c r="BG239" s="164">
        <f t="shared" si="386"/>
        <v>0</v>
      </c>
      <c r="BH239" s="164">
        <f t="shared" si="386"/>
        <v>0</v>
      </c>
      <c r="BI239" s="164">
        <f t="shared" si="386"/>
        <v>0</v>
      </c>
      <c r="BJ239" s="164">
        <f t="shared" si="386"/>
        <v>0</v>
      </c>
      <c r="BK239" s="33">
        <f t="shared" si="386"/>
        <v>0</v>
      </c>
    </row>
    <row r="240" spans="9:63">
      <c r="I240" s="31">
        <v>48</v>
      </c>
      <c r="L240" s="225">
        <f t="shared" si="340"/>
        <v>0</v>
      </c>
      <c r="M240" s="164">
        <f t="shared" ref="M240:BK240" si="387">LOOKUP(M127,$K$56:$BK$56,$K$60:$BK$60)</f>
        <v>0</v>
      </c>
      <c r="N240" s="164">
        <f t="shared" si="387"/>
        <v>0</v>
      </c>
      <c r="O240" s="164">
        <f t="shared" si="387"/>
        <v>0</v>
      </c>
      <c r="P240" s="164">
        <f t="shared" si="387"/>
        <v>0</v>
      </c>
      <c r="Q240" s="164">
        <f t="shared" si="387"/>
        <v>0</v>
      </c>
      <c r="R240" s="164">
        <f t="shared" si="387"/>
        <v>0</v>
      </c>
      <c r="S240" s="164">
        <f t="shared" si="387"/>
        <v>0</v>
      </c>
      <c r="T240" s="164">
        <f t="shared" si="387"/>
        <v>0</v>
      </c>
      <c r="U240" s="164">
        <f t="shared" si="387"/>
        <v>0</v>
      </c>
      <c r="V240" s="164">
        <f t="shared" si="387"/>
        <v>0</v>
      </c>
      <c r="W240" s="164">
        <f t="shared" si="387"/>
        <v>0</v>
      </c>
      <c r="X240" s="164">
        <f t="shared" si="387"/>
        <v>0</v>
      </c>
      <c r="Y240" s="164">
        <f t="shared" si="387"/>
        <v>0</v>
      </c>
      <c r="Z240" s="164">
        <f t="shared" si="387"/>
        <v>0</v>
      </c>
      <c r="AA240" s="164">
        <f t="shared" si="387"/>
        <v>0</v>
      </c>
      <c r="AB240" s="164">
        <f t="shared" si="387"/>
        <v>0</v>
      </c>
      <c r="AC240" s="164">
        <f t="shared" si="387"/>
        <v>0</v>
      </c>
      <c r="AD240" s="164">
        <f t="shared" si="387"/>
        <v>0</v>
      </c>
      <c r="AE240" s="164">
        <f t="shared" si="387"/>
        <v>0</v>
      </c>
      <c r="AF240" s="164">
        <f t="shared" si="387"/>
        <v>0</v>
      </c>
      <c r="AG240" s="164">
        <f t="shared" si="387"/>
        <v>0</v>
      </c>
      <c r="AH240" s="164">
        <f t="shared" si="387"/>
        <v>0</v>
      </c>
      <c r="AI240" s="164">
        <f t="shared" si="387"/>
        <v>0</v>
      </c>
      <c r="AJ240" s="164">
        <f t="shared" si="387"/>
        <v>0</v>
      </c>
      <c r="AK240" s="164">
        <f t="shared" si="387"/>
        <v>0</v>
      </c>
      <c r="AL240" s="164">
        <f t="shared" si="387"/>
        <v>0</v>
      </c>
      <c r="AM240" s="164">
        <f t="shared" si="387"/>
        <v>0</v>
      </c>
      <c r="AN240" s="164">
        <f t="shared" si="387"/>
        <v>0</v>
      </c>
      <c r="AO240" s="164">
        <f t="shared" si="387"/>
        <v>0</v>
      </c>
      <c r="AP240" s="164">
        <f t="shared" si="387"/>
        <v>0</v>
      </c>
      <c r="AQ240" s="164">
        <f t="shared" si="387"/>
        <v>0</v>
      </c>
      <c r="AR240" s="164">
        <f t="shared" si="387"/>
        <v>0</v>
      </c>
      <c r="AS240" s="164">
        <f t="shared" si="387"/>
        <v>0</v>
      </c>
      <c r="AT240" s="164">
        <f t="shared" si="387"/>
        <v>0</v>
      </c>
      <c r="AU240" s="164">
        <f t="shared" si="387"/>
        <v>0</v>
      </c>
      <c r="AV240" s="164">
        <f t="shared" si="387"/>
        <v>0</v>
      </c>
      <c r="AW240" s="164">
        <f t="shared" si="387"/>
        <v>0</v>
      </c>
      <c r="AX240" s="164">
        <f t="shared" si="387"/>
        <v>0</v>
      </c>
      <c r="AY240" s="164">
        <f t="shared" si="387"/>
        <v>0</v>
      </c>
      <c r="AZ240" s="164">
        <f t="shared" si="387"/>
        <v>0</v>
      </c>
      <c r="BA240" s="164">
        <f t="shared" si="387"/>
        <v>0</v>
      </c>
      <c r="BB240" s="164">
        <f t="shared" si="387"/>
        <v>0</v>
      </c>
      <c r="BC240" s="164">
        <f t="shared" si="387"/>
        <v>0</v>
      </c>
      <c r="BD240" s="164">
        <f t="shared" si="387"/>
        <v>0</v>
      </c>
      <c r="BE240" s="164">
        <f t="shared" si="387"/>
        <v>0</v>
      </c>
      <c r="BF240" s="164">
        <f t="shared" si="387"/>
        <v>0</v>
      </c>
      <c r="BG240" s="164">
        <f t="shared" si="387"/>
        <v>0</v>
      </c>
      <c r="BH240" s="164">
        <f t="shared" si="387"/>
        <v>0</v>
      </c>
      <c r="BI240" s="164">
        <f t="shared" si="387"/>
        <v>0</v>
      </c>
      <c r="BJ240" s="164">
        <f t="shared" si="387"/>
        <v>0</v>
      </c>
      <c r="BK240" s="33">
        <f t="shared" si="387"/>
        <v>0</v>
      </c>
    </row>
    <row r="241" spans="9:63">
      <c r="I241" s="31">
        <v>49</v>
      </c>
      <c r="L241" s="225">
        <f t="shared" si="340"/>
        <v>0</v>
      </c>
      <c r="M241" s="164">
        <f t="shared" ref="M241:BK241" si="388">LOOKUP(M128,$K$56:$BK$56,$K$60:$BK$60)</f>
        <v>0</v>
      </c>
      <c r="N241" s="164">
        <f t="shared" si="388"/>
        <v>0</v>
      </c>
      <c r="O241" s="164">
        <f t="shared" si="388"/>
        <v>0</v>
      </c>
      <c r="P241" s="164">
        <f t="shared" si="388"/>
        <v>0</v>
      </c>
      <c r="Q241" s="164">
        <f t="shared" si="388"/>
        <v>0</v>
      </c>
      <c r="R241" s="164">
        <f t="shared" si="388"/>
        <v>0</v>
      </c>
      <c r="S241" s="164">
        <f t="shared" si="388"/>
        <v>0</v>
      </c>
      <c r="T241" s="164">
        <f t="shared" si="388"/>
        <v>0</v>
      </c>
      <c r="U241" s="164">
        <f t="shared" si="388"/>
        <v>0</v>
      </c>
      <c r="V241" s="164">
        <f t="shared" si="388"/>
        <v>0</v>
      </c>
      <c r="W241" s="164">
        <f t="shared" si="388"/>
        <v>0</v>
      </c>
      <c r="X241" s="164">
        <f t="shared" si="388"/>
        <v>0</v>
      </c>
      <c r="Y241" s="164">
        <f t="shared" si="388"/>
        <v>0</v>
      </c>
      <c r="Z241" s="164">
        <f t="shared" si="388"/>
        <v>0</v>
      </c>
      <c r="AA241" s="164">
        <f t="shared" si="388"/>
        <v>0</v>
      </c>
      <c r="AB241" s="164">
        <f t="shared" si="388"/>
        <v>0</v>
      </c>
      <c r="AC241" s="164">
        <f t="shared" si="388"/>
        <v>0</v>
      </c>
      <c r="AD241" s="164">
        <f t="shared" si="388"/>
        <v>0</v>
      </c>
      <c r="AE241" s="164">
        <f t="shared" si="388"/>
        <v>0</v>
      </c>
      <c r="AF241" s="164">
        <f t="shared" si="388"/>
        <v>0</v>
      </c>
      <c r="AG241" s="164">
        <f t="shared" si="388"/>
        <v>0</v>
      </c>
      <c r="AH241" s="164">
        <f t="shared" si="388"/>
        <v>0</v>
      </c>
      <c r="AI241" s="164">
        <f t="shared" si="388"/>
        <v>0</v>
      </c>
      <c r="AJ241" s="164">
        <f t="shared" si="388"/>
        <v>0</v>
      </c>
      <c r="AK241" s="164">
        <f t="shared" si="388"/>
        <v>0</v>
      </c>
      <c r="AL241" s="164">
        <f t="shared" si="388"/>
        <v>0</v>
      </c>
      <c r="AM241" s="164">
        <f t="shared" si="388"/>
        <v>0</v>
      </c>
      <c r="AN241" s="164">
        <f t="shared" si="388"/>
        <v>0</v>
      </c>
      <c r="AO241" s="164">
        <f t="shared" si="388"/>
        <v>0</v>
      </c>
      <c r="AP241" s="164">
        <f t="shared" si="388"/>
        <v>0</v>
      </c>
      <c r="AQ241" s="164">
        <f t="shared" si="388"/>
        <v>0</v>
      </c>
      <c r="AR241" s="164">
        <f t="shared" si="388"/>
        <v>0</v>
      </c>
      <c r="AS241" s="164">
        <f t="shared" si="388"/>
        <v>0</v>
      </c>
      <c r="AT241" s="164">
        <f t="shared" si="388"/>
        <v>0</v>
      </c>
      <c r="AU241" s="164">
        <f t="shared" si="388"/>
        <v>0</v>
      </c>
      <c r="AV241" s="164">
        <f t="shared" si="388"/>
        <v>0</v>
      </c>
      <c r="AW241" s="164">
        <f t="shared" si="388"/>
        <v>0</v>
      </c>
      <c r="AX241" s="164">
        <f t="shared" si="388"/>
        <v>0</v>
      </c>
      <c r="AY241" s="164">
        <f t="shared" si="388"/>
        <v>0</v>
      </c>
      <c r="AZ241" s="164">
        <f t="shared" si="388"/>
        <v>0</v>
      </c>
      <c r="BA241" s="164">
        <f t="shared" si="388"/>
        <v>0</v>
      </c>
      <c r="BB241" s="164">
        <f t="shared" si="388"/>
        <v>0</v>
      </c>
      <c r="BC241" s="164">
        <f t="shared" si="388"/>
        <v>0</v>
      </c>
      <c r="BD241" s="164">
        <f t="shared" si="388"/>
        <v>0</v>
      </c>
      <c r="BE241" s="164">
        <f t="shared" si="388"/>
        <v>0</v>
      </c>
      <c r="BF241" s="164">
        <f t="shared" si="388"/>
        <v>0</v>
      </c>
      <c r="BG241" s="164">
        <f t="shared" si="388"/>
        <v>0</v>
      </c>
      <c r="BH241" s="164">
        <f t="shared" si="388"/>
        <v>0</v>
      </c>
      <c r="BI241" s="164">
        <f t="shared" si="388"/>
        <v>0</v>
      </c>
      <c r="BJ241" s="164">
        <f t="shared" si="388"/>
        <v>0</v>
      </c>
      <c r="BK241" s="33">
        <f t="shared" si="388"/>
        <v>0</v>
      </c>
    </row>
    <row r="242" spans="9:63">
      <c r="I242" s="31">
        <v>50</v>
      </c>
      <c r="L242" s="225">
        <f t="shared" si="340"/>
        <v>0</v>
      </c>
      <c r="M242" s="164">
        <f t="shared" ref="M242:BK242" si="389">LOOKUP(M129,$K$56:$BK$56,$K$60:$BK$60)</f>
        <v>0</v>
      </c>
      <c r="N242" s="164">
        <f t="shared" si="389"/>
        <v>0</v>
      </c>
      <c r="O242" s="164">
        <f t="shared" si="389"/>
        <v>0</v>
      </c>
      <c r="P242" s="164">
        <f t="shared" si="389"/>
        <v>0</v>
      </c>
      <c r="Q242" s="164">
        <f t="shared" si="389"/>
        <v>0</v>
      </c>
      <c r="R242" s="164">
        <f t="shared" si="389"/>
        <v>0</v>
      </c>
      <c r="S242" s="164">
        <f t="shared" si="389"/>
        <v>0</v>
      </c>
      <c r="T242" s="164">
        <f t="shared" si="389"/>
        <v>0</v>
      </c>
      <c r="U242" s="164">
        <f t="shared" si="389"/>
        <v>0</v>
      </c>
      <c r="V242" s="164">
        <f t="shared" si="389"/>
        <v>0</v>
      </c>
      <c r="W242" s="164">
        <f t="shared" si="389"/>
        <v>0</v>
      </c>
      <c r="X242" s="164">
        <f t="shared" si="389"/>
        <v>0</v>
      </c>
      <c r="Y242" s="164">
        <f t="shared" si="389"/>
        <v>0</v>
      </c>
      <c r="Z242" s="164">
        <f t="shared" si="389"/>
        <v>0</v>
      </c>
      <c r="AA242" s="164">
        <f t="shared" si="389"/>
        <v>0</v>
      </c>
      <c r="AB242" s="164">
        <f t="shared" si="389"/>
        <v>0</v>
      </c>
      <c r="AC242" s="164">
        <f t="shared" si="389"/>
        <v>0</v>
      </c>
      <c r="AD242" s="164">
        <f t="shared" si="389"/>
        <v>0</v>
      </c>
      <c r="AE242" s="164">
        <f t="shared" si="389"/>
        <v>0</v>
      </c>
      <c r="AF242" s="164">
        <f t="shared" si="389"/>
        <v>0</v>
      </c>
      <c r="AG242" s="164">
        <f t="shared" si="389"/>
        <v>0</v>
      </c>
      <c r="AH242" s="164">
        <f t="shared" si="389"/>
        <v>0</v>
      </c>
      <c r="AI242" s="164">
        <f t="shared" si="389"/>
        <v>0</v>
      </c>
      <c r="AJ242" s="164">
        <f t="shared" si="389"/>
        <v>0</v>
      </c>
      <c r="AK242" s="164">
        <f t="shared" si="389"/>
        <v>0</v>
      </c>
      <c r="AL242" s="164">
        <f t="shared" si="389"/>
        <v>0</v>
      </c>
      <c r="AM242" s="164">
        <f t="shared" si="389"/>
        <v>0</v>
      </c>
      <c r="AN242" s="164">
        <f t="shared" si="389"/>
        <v>0</v>
      </c>
      <c r="AO242" s="164">
        <f t="shared" si="389"/>
        <v>0</v>
      </c>
      <c r="AP242" s="164">
        <f t="shared" si="389"/>
        <v>0</v>
      </c>
      <c r="AQ242" s="164">
        <f t="shared" si="389"/>
        <v>0</v>
      </c>
      <c r="AR242" s="164">
        <f t="shared" si="389"/>
        <v>0</v>
      </c>
      <c r="AS242" s="164">
        <f t="shared" si="389"/>
        <v>0</v>
      </c>
      <c r="AT242" s="164">
        <f t="shared" si="389"/>
        <v>0</v>
      </c>
      <c r="AU242" s="164">
        <f t="shared" si="389"/>
        <v>0</v>
      </c>
      <c r="AV242" s="164">
        <f t="shared" si="389"/>
        <v>0</v>
      </c>
      <c r="AW242" s="164">
        <f t="shared" si="389"/>
        <v>0</v>
      </c>
      <c r="AX242" s="164">
        <f t="shared" si="389"/>
        <v>0</v>
      </c>
      <c r="AY242" s="164">
        <f t="shared" si="389"/>
        <v>0</v>
      </c>
      <c r="AZ242" s="164">
        <f t="shared" si="389"/>
        <v>0</v>
      </c>
      <c r="BA242" s="164">
        <f t="shared" si="389"/>
        <v>0</v>
      </c>
      <c r="BB242" s="164">
        <f t="shared" si="389"/>
        <v>0</v>
      </c>
      <c r="BC242" s="164">
        <f t="shared" si="389"/>
        <v>0</v>
      </c>
      <c r="BD242" s="164">
        <f t="shared" si="389"/>
        <v>0</v>
      </c>
      <c r="BE242" s="164">
        <f t="shared" si="389"/>
        <v>0</v>
      </c>
      <c r="BF242" s="164">
        <f t="shared" si="389"/>
        <v>0</v>
      </c>
      <c r="BG242" s="164">
        <f t="shared" si="389"/>
        <v>0</v>
      </c>
      <c r="BH242" s="164">
        <f t="shared" si="389"/>
        <v>0</v>
      </c>
      <c r="BI242" s="164">
        <f t="shared" si="389"/>
        <v>0</v>
      </c>
      <c r="BJ242" s="164">
        <f t="shared" si="389"/>
        <v>0</v>
      </c>
      <c r="BK242" s="33">
        <f t="shared" si="389"/>
        <v>0</v>
      </c>
    </row>
    <row r="243" spans="9:63">
      <c r="I243" s="31">
        <v>51</v>
      </c>
      <c r="L243" s="225">
        <f t="shared" si="340"/>
        <v>0</v>
      </c>
      <c r="M243" s="164">
        <f t="shared" ref="M243:BK243" si="390">LOOKUP(M130,$K$56:$BK$56,$K$60:$BK$60)</f>
        <v>0</v>
      </c>
      <c r="N243" s="164">
        <f t="shared" si="390"/>
        <v>0</v>
      </c>
      <c r="O243" s="164">
        <f t="shared" si="390"/>
        <v>0</v>
      </c>
      <c r="P243" s="164">
        <f t="shared" si="390"/>
        <v>0</v>
      </c>
      <c r="Q243" s="164">
        <f t="shared" si="390"/>
        <v>0</v>
      </c>
      <c r="R243" s="164">
        <f t="shared" si="390"/>
        <v>0</v>
      </c>
      <c r="S243" s="164">
        <f t="shared" si="390"/>
        <v>0</v>
      </c>
      <c r="T243" s="164">
        <f t="shared" si="390"/>
        <v>0</v>
      </c>
      <c r="U243" s="164">
        <f t="shared" si="390"/>
        <v>0</v>
      </c>
      <c r="V243" s="164">
        <f t="shared" si="390"/>
        <v>0</v>
      </c>
      <c r="W243" s="164">
        <f t="shared" si="390"/>
        <v>0</v>
      </c>
      <c r="X243" s="164">
        <f t="shared" si="390"/>
        <v>0</v>
      </c>
      <c r="Y243" s="164">
        <f t="shared" si="390"/>
        <v>0</v>
      </c>
      <c r="Z243" s="164">
        <f t="shared" si="390"/>
        <v>0</v>
      </c>
      <c r="AA243" s="164">
        <f t="shared" si="390"/>
        <v>0</v>
      </c>
      <c r="AB243" s="164">
        <f t="shared" si="390"/>
        <v>0</v>
      </c>
      <c r="AC243" s="164">
        <f t="shared" si="390"/>
        <v>0</v>
      </c>
      <c r="AD243" s="164">
        <f t="shared" si="390"/>
        <v>0</v>
      </c>
      <c r="AE243" s="164">
        <f t="shared" si="390"/>
        <v>0</v>
      </c>
      <c r="AF243" s="164">
        <f t="shared" si="390"/>
        <v>0</v>
      </c>
      <c r="AG243" s="164">
        <f t="shared" si="390"/>
        <v>0</v>
      </c>
      <c r="AH243" s="164">
        <f t="shared" si="390"/>
        <v>0</v>
      </c>
      <c r="AI243" s="164">
        <f t="shared" si="390"/>
        <v>0</v>
      </c>
      <c r="AJ243" s="164">
        <f t="shared" si="390"/>
        <v>0</v>
      </c>
      <c r="AK243" s="164">
        <f t="shared" si="390"/>
        <v>0</v>
      </c>
      <c r="AL243" s="164">
        <f t="shared" si="390"/>
        <v>0</v>
      </c>
      <c r="AM243" s="164">
        <f t="shared" si="390"/>
        <v>0</v>
      </c>
      <c r="AN243" s="164">
        <f t="shared" si="390"/>
        <v>0</v>
      </c>
      <c r="AO243" s="164">
        <f t="shared" si="390"/>
        <v>0</v>
      </c>
      <c r="AP243" s="164">
        <f t="shared" si="390"/>
        <v>0</v>
      </c>
      <c r="AQ243" s="164">
        <f t="shared" si="390"/>
        <v>0</v>
      </c>
      <c r="AR243" s="164">
        <f t="shared" si="390"/>
        <v>0</v>
      </c>
      <c r="AS243" s="164">
        <f t="shared" si="390"/>
        <v>0</v>
      </c>
      <c r="AT243" s="164">
        <f t="shared" si="390"/>
        <v>0</v>
      </c>
      <c r="AU243" s="164">
        <f t="shared" si="390"/>
        <v>0</v>
      </c>
      <c r="AV243" s="164">
        <f t="shared" si="390"/>
        <v>0</v>
      </c>
      <c r="AW243" s="164">
        <f t="shared" si="390"/>
        <v>0</v>
      </c>
      <c r="AX243" s="164">
        <f t="shared" si="390"/>
        <v>0</v>
      </c>
      <c r="AY243" s="164">
        <f t="shared" si="390"/>
        <v>0</v>
      </c>
      <c r="AZ243" s="164">
        <f t="shared" si="390"/>
        <v>0</v>
      </c>
      <c r="BA243" s="164">
        <f t="shared" si="390"/>
        <v>0</v>
      </c>
      <c r="BB243" s="164">
        <f t="shared" si="390"/>
        <v>0</v>
      </c>
      <c r="BC243" s="164">
        <f t="shared" si="390"/>
        <v>0</v>
      </c>
      <c r="BD243" s="164">
        <f t="shared" si="390"/>
        <v>0</v>
      </c>
      <c r="BE243" s="164">
        <f t="shared" si="390"/>
        <v>0</v>
      </c>
      <c r="BF243" s="164">
        <f t="shared" si="390"/>
        <v>0</v>
      </c>
      <c r="BG243" s="164">
        <f t="shared" si="390"/>
        <v>0</v>
      </c>
      <c r="BH243" s="164">
        <f t="shared" si="390"/>
        <v>0</v>
      </c>
      <c r="BI243" s="164">
        <f t="shared" si="390"/>
        <v>0</v>
      </c>
      <c r="BJ243" s="164">
        <f t="shared" si="390"/>
        <v>0</v>
      </c>
      <c r="BK243" s="33">
        <f t="shared" si="390"/>
        <v>0</v>
      </c>
    </row>
    <row r="244" spans="9:63">
      <c r="I244" s="31">
        <v>52</v>
      </c>
      <c r="L244" s="225">
        <f t="shared" si="340"/>
        <v>0</v>
      </c>
      <c r="M244" s="164">
        <f t="shared" ref="M244:BK244" si="391">LOOKUP(M131,$K$56:$BK$56,$K$60:$BK$60)</f>
        <v>0</v>
      </c>
      <c r="N244" s="164">
        <f t="shared" si="391"/>
        <v>0</v>
      </c>
      <c r="O244" s="164">
        <f t="shared" si="391"/>
        <v>0</v>
      </c>
      <c r="P244" s="164">
        <f t="shared" si="391"/>
        <v>0</v>
      </c>
      <c r="Q244" s="164">
        <f t="shared" si="391"/>
        <v>0</v>
      </c>
      <c r="R244" s="164">
        <f t="shared" si="391"/>
        <v>0</v>
      </c>
      <c r="S244" s="164">
        <f t="shared" si="391"/>
        <v>0</v>
      </c>
      <c r="T244" s="164">
        <f t="shared" si="391"/>
        <v>0</v>
      </c>
      <c r="U244" s="164">
        <f t="shared" si="391"/>
        <v>0</v>
      </c>
      <c r="V244" s="164">
        <f t="shared" si="391"/>
        <v>0</v>
      </c>
      <c r="W244" s="164">
        <f t="shared" si="391"/>
        <v>0</v>
      </c>
      <c r="X244" s="164">
        <f t="shared" si="391"/>
        <v>0</v>
      </c>
      <c r="Y244" s="164">
        <f t="shared" si="391"/>
        <v>0</v>
      </c>
      <c r="Z244" s="164">
        <f t="shared" si="391"/>
        <v>0</v>
      </c>
      <c r="AA244" s="164">
        <f t="shared" si="391"/>
        <v>0</v>
      </c>
      <c r="AB244" s="164">
        <f t="shared" si="391"/>
        <v>0</v>
      </c>
      <c r="AC244" s="164">
        <f t="shared" si="391"/>
        <v>0</v>
      </c>
      <c r="AD244" s="164">
        <f t="shared" si="391"/>
        <v>0</v>
      </c>
      <c r="AE244" s="164">
        <f t="shared" si="391"/>
        <v>0</v>
      </c>
      <c r="AF244" s="164">
        <f t="shared" si="391"/>
        <v>0</v>
      </c>
      <c r="AG244" s="164">
        <f t="shared" si="391"/>
        <v>0</v>
      </c>
      <c r="AH244" s="164">
        <f t="shared" si="391"/>
        <v>0</v>
      </c>
      <c r="AI244" s="164">
        <f t="shared" si="391"/>
        <v>0</v>
      </c>
      <c r="AJ244" s="164">
        <f t="shared" si="391"/>
        <v>0</v>
      </c>
      <c r="AK244" s="164">
        <f t="shared" si="391"/>
        <v>0</v>
      </c>
      <c r="AL244" s="164">
        <f t="shared" si="391"/>
        <v>0</v>
      </c>
      <c r="AM244" s="164">
        <f t="shared" si="391"/>
        <v>0</v>
      </c>
      <c r="AN244" s="164">
        <f t="shared" si="391"/>
        <v>0</v>
      </c>
      <c r="AO244" s="164">
        <f t="shared" si="391"/>
        <v>0</v>
      </c>
      <c r="AP244" s="164">
        <f t="shared" si="391"/>
        <v>0</v>
      </c>
      <c r="AQ244" s="164">
        <f t="shared" si="391"/>
        <v>0</v>
      </c>
      <c r="AR244" s="164">
        <f t="shared" si="391"/>
        <v>0</v>
      </c>
      <c r="AS244" s="164">
        <f t="shared" si="391"/>
        <v>0</v>
      </c>
      <c r="AT244" s="164">
        <f t="shared" si="391"/>
        <v>0</v>
      </c>
      <c r="AU244" s="164">
        <f t="shared" si="391"/>
        <v>0</v>
      </c>
      <c r="AV244" s="164">
        <f t="shared" si="391"/>
        <v>0</v>
      </c>
      <c r="AW244" s="164">
        <f t="shared" si="391"/>
        <v>0</v>
      </c>
      <c r="AX244" s="164">
        <f t="shared" si="391"/>
        <v>0</v>
      </c>
      <c r="AY244" s="164">
        <f t="shared" si="391"/>
        <v>0</v>
      </c>
      <c r="AZ244" s="164">
        <f t="shared" si="391"/>
        <v>0</v>
      </c>
      <c r="BA244" s="164">
        <f t="shared" si="391"/>
        <v>0</v>
      </c>
      <c r="BB244" s="164">
        <f t="shared" si="391"/>
        <v>0</v>
      </c>
      <c r="BC244" s="164">
        <f t="shared" si="391"/>
        <v>0</v>
      </c>
      <c r="BD244" s="164">
        <f t="shared" si="391"/>
        <v>0</v>
      </c>
      <c r="BE244" s="164">
        <f t="shared" si="391"/>
        <v>0</v>
      </c>
      <c r="BF244" s="164">
        <f t="shared" si="391"/>
        <v>0</v>
      </c>
      <c r="BG244" s="164">
        <f t="shared" si="391"/>
        <v>0</v>
      </c>
      <c r="BH244" s="164">
        <f t="shared" si="391"/>
        <v>0</v>
      </c>
      <c r="BI244" s="164">
        <f t="shared" si="391"/>
        <v>0</v>
      </c>
      <c r="BJ244" s="164">
        <f t="shared" si="391"/>
        <v>0</v>
      </c>
      <c r="BK244" s="33">
        <f t="shared" si="391"/>
        <v>0</v>
      </c>
    </row>
    <row r="245" spans="9:63">
      <c r="I245" s="31">
        <v>53</v>
      </c>
      <c r="L245" s="225">
        <f t="shared" si="340"/>
        <v>0</v>
      </c>
      <c r="M245" s="164">
        <f t="shared" ref="M245:BK245" si="392">LOOKUP(M132,$K$56:$BK$56,$K$60:$BK$60)</f>
        <v>0</v>
      </c>
      <c r="N245" s="164">
        <f t="shared" si="392"/>
        <v>0</v>
      </c>
      <c r="O245" s="164">
        <f t="shared" si="392"/>
        <v>0</v>
      </c>
      <c r="P245" s="164">
        <f t="shared" si="392"/>
        <v>0</v>
      </c>
      <c r="Q245" s="164">
        <f t="shared" si="392"/>
        <v>0</v>
      </c>
      <c r="R245" s="164">
        <f t="shared" si="392"/>
        <v>0</v>
      </c>
      <c r="S245" s="164">
        <f t="shared" si="392"/>
        <v>0</v>
      </c>
      <c r="T245" s="164">
        <f t="shared" si="392"/>
        <v>0</v>
      </c>
      <c r="U245" s="164">
        <f t="shared" si="392"/>
        <v>0</v>
      </c>
      <c r="V245" s="164">
        <f t="shared" si="392"/>
        <v>0</v>
      </c>
      <c r="W245" s="164">
        <f t="shared" si="392"/>
        <v>0</v>
      </c>
      <c r="X245" s="164">
        <f t="shared" si="392"/>
        <v>0</v>
      </c>
      <c r="Y245" s="164">
        <f t="shared" si="392"/>
        <v>0</v>
      </c>
      <c r="Z245" s="164">
        <f t="shared" si="392"/>
        <v>0</v>
      </c>
      <c r="AA245" s="164">
        <f t="shared" si="392"/>
        <v>0</v>
      </c>
      <c r="AB245" s="164">
        <f t="shared" si="392"/>
        <v>0</v>
      </c>
      <c r="AC245" s="164">
        <f t="shared" si="392"/>
        <v>0</v>
      </c>
      <c r="AD245" s="164">
        <f t="shared" si="392"/>
        <v>0</v>
      </c>
      <c r="AE245" s="164">
        <f t="shared" si="392"/>
        <v>0</v>
      </c>
      <c r="AF245" s="164">
        <f t="shared" si="392"/>
        <v>0</v>
      </c>
      <c r="AG245" s="164">
        <f t="shared" si="392"/>
        <v>0</v>
      </c>
      <c r="AH245" s="164">
        <f t="shared" si="392"/>
        <v>0</v>
      </c>
      <c r="AI245" s="164">
        <f t="shared" si="392"/>
        <v>0</v>
      </c>
      <c r="AJ245" s="164">
        <f t="shared" si="392"/>
        <v>0</v>
      </c>
      <c r="AK245" s="164">
        <f t="shared" si="392"/>
        <v>0</v>
      </c>
      <c r="AL245" s="164">
        <f t="shared" si="392"/>
        <v>0</v>
      </c>
      <c r="AM245" s="164">
        <f t="shared" si="392"/>
        <v>0</v>
      </c>
      <c r="AN245" s="164">
        <f t="shared" si="392"/>
        <v>0</v>
      </c>
      <c r="AO245" s="164">
        <f t="shared" si="392"/>
        <v>0</v>
      </c>
      <c r="AP245" s="164">
        <f t="shared" si="392"/>
        <v>0</v>
      </c>
      <c r="AQ245" s="164">
        <f t="shared" si="392"/>
        <v>0</v>
      </c>
      <c r="AR245" s="164">
        <f t="shared" si="392"/>
        <v>0</v>
      </c>
      <c r="AS245" s="164">
        <f t="shared" si="392"/>
        <v>0</v>
      </c>
      <c r="AT245" s="164">
        <f t="shared" si="392"/>
        <v>0</v>
      </c>
      <c r="AU245" s="164">
        <f t="shared" si="392"/>
        <v>0</v>
      </c>
      <c r="AV245" s="164">
        <f t="shared" si="392"/>
        <v>0</v>
      </c>
      <c r="AW245" s="164">
        <f t="shared" si="392"/>
        <v>0</v>
      </c>
      <c r="AX245" s="164">
        <f t="shared" si="392"/>
        <v>0</v>
      </c>
      <c r="AY245" s="164">
        <f t="shared" si="392"/>
        <v>0</v>
      </c>
      <c r="AZ245" s="164">
        <f t="shared" si="392"/>
        <v>0</v>
      </c>
      <c r="BA245" s="164">
        <f t="shared" si="392"/>
        <v>0</v>
      </c>
      <c r="BB245" s="164">
        <f t="shared" si="392"/>
        <v>0</v>
      </c>
      <c r="BC245" s="164">
        <f t="shared" si="392"/>
        <v>0</v>
      </c>
      <c r="BD245" s="164">
        <f t="shared" si="392"/>
        <v>0</v>
      </c>
      <c r="BE245" s="164">
        <f t="shared" si="392"/>
        <v>0</v>
      </c>
      <c r="BF245" s="164">
        <f t="shared" si="392"/>
        <v>0</v>
      </c>
      <c r="BG245" s="164">
        <f t="shared" si="392"/>
        <v>0</v>
      </c>
      <c r="BH245" s="164">
        <f t="shared" si="392"/>
        <v>0</v>
      </c>
      <c r="BI245" s="164">
        <f t="shared" si="392"/>
        <v>0</v>
      </c>
      <c r="BJ245" s="164">
        <f t="shared" si="392"/>
        <v>0</v>
      </c>
      <c r="BK245" s="33">
        <f t="shared" si="392"/>
        <v>0</v>
      </c>
    </row>
    <row r="246" spans="9:63">
      <c r="I246" s="31">
        <v>54</v>
      </c>
      <c r="L246" s="225">
        <f t="shared" si="340"/>
        <v>0</v>
      </c>
      <c r="M246" s="164">
        <f t="shared" ref="M246:BK246" si="393">LOOKUP(M133,$K$56:$BK$56,$K$60:$BK$60)</f>
        <v>0</v>
      </c>
      <c r="N246" s="164">
        <f t="shared" si="393"/>
        <v>0</v>
      </c>
      <c r="O246" s="164">
        <f t="shared" si="393"/>
        <v>0</v>
      </c>
      <c r="P246" s="164">
        <f t="shared" si="393"/>
        <v>0</v>
      </c>
      <c r="Q246" s="164">
        <f t="shared" si="393"/>
        <v>0</v>
      </c>
      <c r="R246" s="164">
        <f t="shared" si="393"/>
        <v>0</v>
      </c>
      <c r="S246" s="164">
        <f t="shared" si="393"/>
        <v>0</v>
      </c>
      <c r="T246" s="164">
        <f t="shared" si="393"/>
        <v>0</v>
      </c>
      <c r="U246" s="164">
        <f t="shared" si="393"/>
        <v>0</v>
      </c>
      <c r="V246" s="164">
        <f t="shared" si="393"/>
        <v>0</v>
      </c>
      <c r="W246" s="164">
        <f t="shared" si="393"/>
        <v>0</v>
      </c>
      <c r="X246" s="164">
        <f t="shared" si="393"/>
        <v>0</v>
      </c>
      <c r="Y246" s="164">
        <f t="shared" si="393"/>
        <v>0</v>
      </c>
      <c r="Z246" s="164">
        <f t="shared" si="393"/>
        <v>0</v>
      </c>
      <c r="AA246" s="164">
        <f t="shared" si="393"/>
        <v>0</v>
      </c>
      <c r="AB246" s="164">
        <f t="shared" si="393"/>
        <v>0</v>
      </c>
      <c r="AC246" s="164">
        <f t="shared" si="393"/>
        <v>0</v>
      </c>
      <c r="AD246" s="164">
        <f t="shared" si="393"/>
        <v>0</v>
      </c>
      <c r="AE246" s="164">
        <f t="shared" si="393"/>
        <v>0</v>
      </c>
      <c r="AF246" s="164">
        <f t="shared" si="393"/>
        <v>0</v>
      </c>
      <c r="AG246" s="164">
        <f t="shared" si="393"/>
        <v>0</v>
      </c>
      <c r="AH246" s="164">
        <f t="shared" si="393"/>
        <v>0</v>
      </c>
      <c r="AI246" s="164">
        <f t="shared" si="393"/>
        <v>0</v>
      </c>
      <c r="AJ246" s="164">
        <f t="shared" si="393"/>
        <v>0</v>
      </c>
      <c r="AK246" s="164">
        <f t="shared" si="393"/>
        <v>0</v>
      </c>
      <c r="AL246" s="164">
        <f t="shared" si="393"/>
        <v>0</v>
      </c>
      <c r="AM246" s="164">
        <f t="shared" si="393"/>
        <v>0</v>
      </c>
      <c r="AN246" s="164">
        <f t="shared" si="393"/>
        <v>0</v>
      </c>
      <c r="AO246" s="164">
        <f t="shared" si="393"/>
        <v>0</v>
      </c>
      <c r="AP246" s="164">
        <f t="shared" si="393"/>
        <v>0</v>
      </c>
      <c r="AQ246" s="164">
        <f t="shared" si="393"/>
        <v>0</v>
      </c>
      <c r="AR246" s="164">
        <f t="shared" si="393"/>
        <v>0</v>
      </c>
      <c r="AS246" s="164">
        <f t="shared" si="393"/>
        <v>0</v>
      </c>
      <c r="AT246" s="164">
        <f t="shared" si="393"/>
        <v>0</v>
      </c>
      <c r="AU246" s="164">
        <f t="shared" si="393"/>
        <v>0</v>
      </c>
      <c r="AV246" s="164">
        <f t="shared" si="393"/>
        <v>0</v>
      </c>
      <c r="AW246" s="164">
        <f t="shared" si="393"/>
        <v>0</v>
      </c>
      <c r="AX246" s="164">
        <f t="shared" si="393"/>
        <v>0</v>
      </c>
      <c r="AY246" s="164">
        <f t="shared" si="393"/>
        <v>0</v>
      </c>
      <c r="AZ246" s="164">
        <f t="shared" si="393"/>
        <v>0</v>
      </c>
      <c r="BA246" s="164">
        <f t="shared" si="393"/>
        <v>0</v>
      </c>
      <c r="BB246" s="164">
        <f t="shared" si="393"/>
        <v>0</v>
      </c>
      <c r="BC246" s="164">
        <f t="shared" si="393"/>
        <v>0</v>
      </c>
      <c r="BD246" s="164">
        <f t="shared" si="393"/>
        <v>0</v>
      </c>
      <c r="BE246" s="164">
        <f t="shared" si="393"/>
        <v>0</v>
      </c>
      <c r="BF246" s="164">
        <f t="shared" si="393"/>
        <v>0</v>
      </c>
      <c r="BG246" s="164">
        <f t="shared" si="393"/>
        <v>0</v>
      </c>
      <c r="BH246" s="164">
        <f t="shared" si="393"/>
        <v>0</v>
      </c>
      <c r="BI246" s="164">
        <f t="shared" si="393"/>
        <v>0</v>
      </c>
      <c r="BJ246" s="164">
        <f t="shared" si="393"/>
        <v>0</v>
      </c>
      <c r="BK246" s="33">
        <f t="shared" si="393"/>
        <v>0</v>
      </c>
    </row>
    <row r="247" spans="9:63">
      <c r="I247" s="31">
        <v>55</v>
      </c>
      <c r="L247" s="225">
        <f t="shared" si="340"/>
        <v>0</v>
      </c>
      <c r="M247" s="164">
        <f t="shared" ref="M247:BK247" si="394">LOOKUP(M134,$K$56:$BK$56,$K$60:$BK$60)</f>
        <v>0</v>
      </c>
      <c r="N247" s="164">
        <f t="shared" si="394"/>
        <v>0</v>
      </c>
      <c r="O247" s="164">
        <f t="shared" si="394"/>
        <v>0</v>
      </c>
      <c r="P247" s="164">
        <f t="shared" si="394"/>
        <v>0</v>
      </c>
      <c r="Q247" s="164">
        <f t="shared" si="394"/>
        <v>0</v>
      </c>
      <c r="R247" s="164">
        <f t="shared" si="394"/>
        <v>0</v>
      </c>
      <c r="S247" s="164">
        <f t="shared" si="394"/>
        <v>0</v>
      </c>
      <c r="T247" s="164">
        <f t="shared" si="394"/>
        <v>0</v>
      </c>
      <c r="U247" s="164">
        <f t="shared" si="394"/>
        <v>0</v>
      </c>
      <c r="V247" s="164">
        <f t="shared" si="394"/>
        <v>0</v>
      </c>
      <c r="W247" s="164">
        <f t="shared" si="394"/>
        <v>0</v>
      </c>
      <c r="X247" s="164">
        <f t="shared" si="394"/>
        <v>0</v>
      </c>
      <c r="Y247" s="164">
        <f t="shared" si="394"/>
        <v>0</v>
      </c>
      <c r="Z247" s="164">
        <f t="shared" si="394"/>
        <v>0</v>
      </c>
      <c r="AA247" s="164">
        <f t="shared" si="394"/>
        <v>0</v>
      </c>
      <c r="AB247" s="164">
        <f t="shared" si="394"/>
        <v>0</v>
      </c>
      <c r="AC247" s="164">
        <f t="shared" si="394"/>
        <v>0</v>
      </c>
      <c r="AD247" s="164">
        <f t="shared" si="394"/>
        <v>0</v>
      </c>
      <c r="AE247" s="164">
        <f t="shared" si="394"/>
        <v>0</v>
      </c>
      <c r="AF247" s="164">
        <f t="shared" si="394"/>
        <v>0</v>
      </c>
      <c r="AG247" s="164">
        <f t="shared" si="394"/>
        <v>0</v>
      </c>
      <c r="AH247" s="164">
        <f t="shared" si="394"/>
        <v>0</v>
      </c>
      <c r="AI247" s="164">
        <f t="shared" si="394"/>
        <v>0</v>
      </c>
      <c r="AJ247" s="164">
        <f t="shared" si="394"/>
        <v>0</v>
      </c>
      <c r="AK247" s="164">
        <f t="shared" si="394"/>
        <v>0</v>
      </c>
      <c r="AL247" s="164">
        <f t="shared" si="394"/>
        <v>0</v>
      </c>
      <c r="AM247" s="164">
        <f t="shared" si="394"/>
        <v>0</v>
      </c>
      <c r="AN247" s="164">
        <f t="shared" si="394"/>
        <v>0</v>
      </c>
      <c r="AO247" s="164">
        <f t="shared" si="394"/>
        <v>0</v>
      </c>
      <c r="AP247" s="164">
        <f t="shared" si="394"/>
        <v>0</v>
      </c>
      <c r="AQ247" s="164">
        <f t="shared" si="394"/>
        <v>0</v>
      </c>
      <c r="AR247" s="164">
        <f t="shared" si="394"/>
        <v>0</v>
      </c>
      <c r="AS247" s="164">
        <f t="shared" si="394"/>
        <v>0</v>
      </c>
      <c r="AT247" s="164">
        <f t="shared" si="394"/>
        <v>0</v>
      </c>
      <c r="AU247" s="164">
        <f t="shared" si="394"/>
        <v>0</v>
      </c>
      <c r="AV247" s="164">
        <f t="shared" si="394"/>
        <v>0</v>
      </c>
      <c r="AW247" s="164">
        <f t="shared" si="394"/>
        <v>0</v>
      </c>
      <c r="AX247" s="164">
        <f t="shared" si="394"/>
        <v>0</v>
      </c>
      <c r="AY247" s="164">
        <f t="shared" si="394"/>
        <v>0</v>
      </c>
      <c r="AZ247" s="164">
        <f t="shared" si="394"/>
        <v>0</v>
      </c>
      <c r="BA247" s="164">
        <f t="shared" si="394"/>
        <v>0</v>
      </c>
      <c r="BB247" s="164">
        <f t="shared" si="394"/>
        <v>0</v>
      </c>
      <c r="BC247" s="164">
        <f t="shared" si="394"/>
        <v>0</v>
      </c>
      <c r="BD247" s="164">
        <f t="shared" si="394"/>
        <v>0</v>
      </c>
      <c r="BE247" s="164">
        <f t="shared" si="394"/>
        <v>0</v>
      </c>
      <c r="BF247" s="164">
        <f t="shared" si="394"/>
        <v>0</v>
      </c>
      <c r="BG247" s="164">
        <f t="shared" si="394"/>
        <v>0</v>
      </c>
      <c r="BH247" s="164">
        <f t="shared" si="394"/>
        <v>0</v>
      </c>
      <c r="BI247" s="164">
        <f t="shared" si="394"/>
        <v>0</v>
      </c>
      <c r="BJ247" s="164">
        <f t="shared" si="394"/>
        <v>0</v>
      </c>
      <c r="BK247" s="33">
        <f t="shared" si="394"/>
        <v>0</v>
      </c>
    </row>
    <row r="248" spans="9:63">
      <c r="I248" s="31">
        <v>56</v>
      </c>
      <c r="L248" s="225">
        <f t="shared" si="340"/>
        <v>0</v>
      </c>
      <c r="M248" s="164">
        <f t="shared" ref="M248:BK248" si="395">LOOKUP(M135,$K$56:$BK$56,$K$60:$BK$60)</f>
        <v>0</v>
      </c>
      <c r="N248" s="164">
        <f t="shared" si="395"/>
        <v>0</v>
      </c>
      <c r="O248" s="164">
        <f t="shared" si="395"/>
        <v>0</v>
      </c>
      <c r="P248" s="164">
        <f t="shared" si="395"/>
        <v>0</v>
      </c>
      <c r="Q248" s="164">
        <f t="shared" si="395"/>
        <v>0</v>
      </c>
      <c r="R248" s="164">
        <f t="shared" si="395"/>
        <v>0</v>
      </c>
      <c r="S248" s="164">
        <f t="shared" si="395"/>
        <v>0</v>
      </c>
      <c r="T248" s="164">
        <f t="shared" si="395"/>
        <v>0</v>
      </c>
      <c r="U248" s="164">
        <f t="shared" si="395"/>
        <v>0</v>
      </c>
      <c r="V248" s="164">
        <f t="shared" si="395"/>
        <v>0</v>
      </c>
      <c r="W248" s="164">
        <f t="shared" si="395"/>
        <v>0</v>
      </c>
      <c r="X248" s="164">
        <f t="shared" si="395"/>
        <v>0</v>
      </c>
      <c r="Y248" s="164">
        <f t="shared" si="395"/>
        <v>0</v>
      </c>
      <c r="Z248" s="164">
        <f t="shared" si="395"/>
        <v>0</v>
      </c>
      <c r="AA248" s="164">
        <f t="shared" si="395"/>
        <v>0</v>
      </c>
      <c r="AB248" s="164">
        <f t="shared" si="395"/>
        <v>0</v>
      </c>
      <c r="AC248" s="164">
        <f t="shared" si="395"/>
        <v>0</v>
      </c>
      <c r="AD248" s="164">
        <f t="shared" si="395"/>
        <v>0</v>
      </c>
      <c r="AE248" s="164">
        <f t="shared" si="395"/>
        <v>0</v>
      </c>
      <c r="AF248" s="164">
        <f t="shared" si="395"/>
        <v>0</v>
      </c>
      <c r="AG248" s="164">
        <f t="shared" si="395"/>
        <v>0</v>
      </c>
      <c r="AH248" s="164">
        <f t="shared" si="395"/>
        <v>0</v>
      </c>
      <c r="AI248" s="164">
        <f t="shared" si="395"/>
        <v>0</v>
      </c>
      <c r="AJ248" s="164">
        <f t="shared" si="395"/>
        <v>0</v>
      </c>
      <c r="AK248" s="164">
        <f t="shared" si="395"/>
        <v>0</v>
      </c>
      <c r="AL248" s="164">
        <f t="shared" si="395"/>
        <v>0</v>
      </c>
      <c r="AM248" s="164">
        <f t="shared" si="395"/>
        <v>0</v>
      </c>
      <c r="AN248" s="164">
        <f t="shared" si="395"/>
        <v>0</v>
      </c>
      <c r="AO248" s="164">
        <f t="shared" si="395"/>
        <v>0</v>
      </c>
      <c r="AP248" s="164">
        <f t="shared" si="395"/>
        <v>0</v>
      </c>
      <c r="AQ248" s="164">
        <f t="shared" si="395"/>
        <v>0</v>
      </c>
      <c r="AR248" s="164">
        <f t="shared" si="395"/>
        <v>0</v>
      </c>
      <c r="AS248" s="164">
        <f t="shared" si="395"/>
        <v>0</v>
      </c>
      <c r="AT248" s="164">
        <f t="shared" si="395"/>
        <v>0</v>
      </c>
      <c r="AU248" s="164">
        <f t="shared" si="395"/>
        <v>0</v>
      </c>
      <c r="AV248" s="164">
        <f t="shared" si="395"/>
        <v>0</v>
      </c>
      <c r="AW248" s="164">
        <f t="shared" si="395"/>
        <v>0</v>
      </c>
      <c r="AX248" s="164">
        <f t="shared" si="395"/>
        <v>0</v>
      </c>
      <c r="AY248" s="164">
        <f t="shared" si="395"/>
        <v>0</v>
      </c>
      <c r="AZ248" s="164">
        <f t="shared" si="395"/>
        <v>0</v>
      </c>
      <c r="BA248" s="164">
        <f t="shared" si="395"/>
        <v>0</v>
      </c>
      <c r="BB248" s="164">
        <f t="shared" si="395"/>
        <v>0</v>
      </c>
      <c r="BC248" s="164">
        <f t="shared" si="395"/>
        <v>0</v>
      </c>
      <c r="BD248" s="164">
        <f t="shared" si="395"/>
        <v>0</v>
      </c>
      <c r="BE248" s="164">
        <f t="shared" si="395"/>
        <v>0</v>
      </c>
      <c r="BF248" s="164">
        <f t="shared" si="395"/>
        <v>0</v>
      </c>
      <c r="BG248" s="164">
        <f t="shared" si="395"/>
        <v>0</v>
      </c>
      <c r="BH248" s="164">
        <f t="shared" si="395"/>
        <v>0</v>
      </c>
      <c r="BI248" s="164">
        <f t="shared" si="395"/>
        <v>0</v>
      </c>
      <c r="BJ248" s="164">
        <f t="shared" si="395"/>
        <v>0</v>
      </c>
      <c r="BK248" s="33">
        <f t="shared" si="395"/>
        <v>0</v>
      </c>
    </row>
    <row r="249" spans="9:63">
      <c r="I249" s="31">
        <v>57</v>
      </c>
      <c r="L249" s="225">
        <f t="shared" si="340"/>
        <v>0</v>
      </c>
      <c r="M249" s="164">
        <f t="shared" ref="M249:BK249" si="396">LOOKUP(M136,$K$56:$BK$56,$K$60:$BK$60)</f>
        <v>0</v>
      </c>
      <c r="N249" s="164">
        <f t="shared" si="396"/>
        <v>0</v>
      </c>
      <c r="O249" s="164">
        <f t="shared" si="396"/>
        <v>0</v>
      </c>
      <c r="P249" s="164">
        <f t="shared" si="396"/>
        <v>0</v>
      </c>
      <c r="Q249" s="164">
        <f t="shared" si="396"/>
        <v>0</v>
      </c>
      <c r="R249" s="164">
        <f t="shared" si="396"/>
        <v>0</v>
      </c>
      <c r="S249" s="164">
        <f t="shared" si="396"/>
        <v>0</v>
      </c>
      <c r="T249" s="164">
        <f t="shared" si="396"/>
        <v>0</v>
      </c>
      <c r="U249" s="164">
        <f t="shared" si="396"/>
        <v>0</v>
      </c>
      <c r="V249" s="164">
        <f t="shared" si="396"/>
        <v>0</v>
      </c>
      <c r="W249" s="164">
        <f t="shared" si="396"/>
        <v>0</v>
      </c>
      <c r="X249" s="164">
        <f t="shared" si="396"/>
        <v>0</v>
      </c>
      <c r="Y249" s="164">
        <f t="shared" si="396"/>
        <v>0</v>
      </c>
      <c r="Z249" s="164">
        <f t="shared" si="396"/>
        <v>0</v>
      </c>
      <c r="AA249" s="164">
        <f t="shared" si="396"/>
        <v>0</v>
      </c>
      <c r="AB249" s="164">
        <f t="shared" si="396"/>
        <v>0</v>
      </c>
      <c r="AC249" s="164">
        <f t="shared" si="396"/>
        <v>0</v>
      </c>
      <c r="AD249" s="164">
        <f t="shared" si="396"/>
        <v>0</v>
      </c>
      <c r="AE249" s="164">
        <f t="shared" si="396"/>
        <v>0</v>
      </c>
      <c r="AF249" s="164">
        <f t="shared" si="396"/>
        <v>0</v>
      </c>
      <c r="AG249" s="164">
        <f t="shared" si="396"/>
        <v>0</v>
      </c>
      <c r="AH249" s="164">
        <f t="shared" si="396"/>
        <v>0</v>
      </c>
      <c r="AI249" s="164">
        <f t="shared" si="396"/>
        <v>0</v>
      </c>
      <c r="AJ249" s="164">
        <f t="shared" si="396"/>
        <v>0</v>
      </c>
      <c r="AK249" s="164">
        <f t="shared" si="396"/>
        <v>0</v>
      </c>
      <c r="AL249" s="164">
        <f t="shared" si="396"/>
        <v>0</v>
      </c>
      <c r="AM249" s="164">
        <f t="shared" si="396"/>
        <v>0</v>
      </c>
      <c r="AN249" s="164">
        <f t="shared" si="396"/>
        <v>0</v>
      </c>
      <c r="AO249" s="164">
        <f t="shared" si="396"/>
        <v>0</v>
      </c>
      <c r="AP249" s="164">
        <f t="shared" si="396"/>
        <v>0</v>
      </c>
      <c r="AQ249" s="164">
        <f t="shared" si="396"/>
        <v>0</v>
      </c>
      <c r="AR249" s="164">
        <f t="shared" si="396"/>
        <v>0</v>
      </c>
      <c r="AS249" s="164">
        <f t="shared" si="396"/>
        <v>0</v>
      </c>
      <c r="AT249" s="164">
        <f t="shared" si="396"/>
        <v>0</v>
      </c>
      <c r="AU249" s="164">
        <f t="shared" si="396"/>
        <v>0</v>
      </c>
      <c r="AV249" s="164">
        <f t="shared" si="396"/>
        <v>0</v>
      </c>
      <c r="AW249" s="164">
        <f t="shared" si="396"/>
        <v>0</v>
      </c>
      <c r="AX249" s="164">
        <f t="shared" si="396"/>
        <v>0</v>
      </c>
      <c r="AY249" s="164">
        <f t="shared" si="396"/>
        <v>0</v>
      </c>
      <c r="AZ249" s="164">
        <f t="shared" si="396"/>
        <v>0</v>
      </c>
      <c r="BA249" s="164">
        <f t="shared" si="396"/>
        <v>0</v>
      </c>
      <c r="BB249" s="164">
        <f t="shared" si="396"/>
        <v>0</v>
      </c>
      <c r="BC249" s="164">
        <f t="shared" si="396"/>
        <v>0</v>
      </c>
      <c r="BD249" s="164">
        <f t="shared" si="396"/>
        <v>0</v>
      </c>
      <c r="BE249" s="164">
        <f t="shared" si="396"/>
        <v>0</v>
      </c>
      <c r="BF249" s="164">
        <f t="shared" si="396"/>
        <v>0</v>
      </c>
      <c r="BG249" s="164">
        <f t="shared" si="396"/>
        <v>0</v>
      </c>
      <c r="BH249" s="164">
        <f t="shared" si="396"/>
        <v>0</v>
      </c>
      <c r="BI249" s="164">
        <f t="shared" si="396"/>
        <v>0</v>
      </c>
      <c r="BJ249" s="164">
        <f t="shared" si="396"/>
        <v>0</v>
      </c>
      <c r="BK249" s="33">
        <f t="shared" si="396"/>
        <v>0</v>
      </c>
    </row>
    <row r="250" spans="9:63">
      <c r="I250" s="31">
        <v>58</v>
      </c>
      <c r="L250" s="225">
        <f t="shared" si="340"/>
        <v>0</v>
      </c>
      <c r="M250" s="164">
        <f t="shared" ref="M250:BK250" si="397">LOOKUP(M137,$K$56:$BK$56,$K$60:$BK$60)</f>
        <v>0</v>
      </c>
      <c r="N250" s="164">
        <f t="shared" si="397"/>
        <v>0</v>
      </c>
      <c r="O250" s="164">
        <f t="shared" si="397"/>
        <v>0</v>
      </c>
      <c r="P250" s="164">
        <f t="shared" si="397"/>
        <v>0</v>
      </c>
      <c r="Q250" s="164">
        <f t="shared" si="397"/>
        <v>0</v>
      </c>
      <c r="R250" s="164">
        <f t="shared" si="397"/>
        <v>0</v>
      </c>
      <c r="S250" s="164">
        <f t="shared" si="397"/>
        <v>0</v>
      </c>
      <c r="T250" s="164">
        <f t="shared" si="397"/>
        <v>0</v>
      </c>
      <c r="U250" s="164">
        <f t="shared" si="397"/>
        <v>0</v>
      </c>
      <c r="V250" s="164">
        <f t="shared" si="397"/>
        <v>0</v>
      </c>
      <c r="W250" s="164">
        <f t="shared" si="397"/>
        <v>0</v>
      </c>
      <c r="X250" s="164">
        <f t="shared" si="397"/>
        <v>0</v>
      </c>
      <c r="Y250" s="164">
        <f t="shared" si="397"/>
        <v>0</v>
      </c>
      <c r="Z250" s="164">
        <f t="shared" si="397"/>
        <v>0</v>
      </c>
      <c r="AA250" s="164">
        <f t="shared" si="397"/>
        <v>0</v>
      </c>
      <c r="AB250" s="164">
        <f t="shared" si="397"/>
        <v>0</v>
      </c>
      <c r="AC250" s="164">
        <f t="shared" si="397"/>
        <v>0</v>
      </c>
      <c r="AD250" s="164">
        <f t="shared" si="397"/>
        <v>0</v>
      </c>
      <c r="AE250" s="164">
        <f t="shared" si="397"/>
        <v>0</v>
      </c>
      <c r="AF250" s="164">
        <f t="shared" si="397"/>
        <v>0</v>
      </c>
      <c r="AG250" s="164">
        <f t="shared" si="397"/>
        <v>0</v>
      </c>
      <c r="AH250" s="164">
        <f t="shared" si="397"/>
        <v>0</v>
      </c>
      <c r="AI250" s="164">
        <f t="shared" si="397"/>
        <v>0</v>
      </c>
      <c r="AJ250" s="164">
        <f t="shared" si="397"/>
        <v>0</v>
      </c>
      <c r="AK250" s="164">
        <f t="shared" si="397"/>
        <v>0</v>
      </c>
      <c r="AL250" s="164">
        <f t="shared" si="397"/>
        <v>0</v>
      </c>
      <c r="AM250" s="164">
        <f t="shared" si="397"/>
        <v>0</v>
      </c>
      <c r="AN250" s="164">
        <f t="shared" si="397"/>
        <v>0</v>
      </c>
      <c r="AO250" s="164">
        <f t="shared" si="397"/>
        <v>0</v>
      </c>
      <c r="AP250" s="164">
        <f t="shared" si="397"/>
        <v>0</v>
      </c>
      <c r="AQ250" s="164">
        <f t="shared" si="397"/>
        <v>0</v>
      </c>
      <c r="AR250" s="164">
        <f t="shared" si="397"/>
        <v>0</v>
      </c>
      <c r="AS250" s="164">
        <f t="shared" si="397"/>
        <v>0</v>
      </c>
      <c r="AT250" s="164">
        <f t="shared" si="397"/>
        <v>0</v>
      </c>
      <c r="AU250" s="164">
        <f t="shared" si="397"/>
        <v>0</v>
      </c>
      <c r="AV250" s="164">
        <f t="shared" si="397"/>
        <v>0</v>
      </c>
      <c r="AW250" s="164">
        <f t="shared" si="397"/>
        <v>0</v>
      </c>
      <c r="AX250" s="164">
        <f t="shared" si="397"/>
        <v>0</v>
      </c>
      <c r="AY250" s="164">
        <f t="shared" si="397"/>
        <v>0</v>
      </c>
      <c r="AZ250" s="164">
        <f t="shared" si="397"/>
        <v>0</v>
      </c>
      <c r="BA250" s="164">
        <f t="shared" si="397"/>
        <v>0</v>
      </c>
      <c r="BB250" s="164">
        <f t="shared" si="397"/>
        <v>0</v>
      </c>
      <c r="BC250" s="164">
        <f t="shared" si="397"/>
        <v>0</v>
      </c>
      <c r="BD250" s="164">
        <f t="shared" si="397"/>
        <v>0</v>
      </c>
      <c r="BE250" s="164">
        <f t="shared" si="397"/>
        <v>0</v>
      </c>
      <c r="BF250" s="164">
        <f t="shared" si="397"/>
        <v>0</v>
      </c>
      <c r="BG250" s="164">
        <f t="shared" si="397"/>
        <v>0</v>
      </c>
      <c r="BH250" s="164">
        <f t="shared" si="397"/>
        <v>0</v>
      </c>
      <c r="BI250" s="164">
        <f t="shared" si="397"/>
        <v>0</v>
      </c>
      <c r="BJ250" s="164">
        <f t="shared" si="397"/>
        <v>0</v>
      </c>
      <c r="BK250" s="33">
        <f t="shared" si="397"/>
        <v>0</v>
      </c>
    </row>
    <row r="251" spans="9:63">
      <c r="I251" s="31">
        <v>59</v>
      </c>
      <c r="L251" s="225">
        <f t="shared" si="340"/>
        <v>0</v>
      </c>
      <c r="M251" s="164">
        <f t="shared" ref="M251:BK251" si="398">LOOKUP(M138,$K$56:$BK$56,$K$60:$BK$60)</f>
        <v>0</v>
      </c>
      <c r="N251" s="164">
        <f t="shared" si="398"/>
        <v>0</v>
      </c>
      <c r="O251" s="164">
        <f t="shared" si="398"/>
        <v>0</v>
      </c>
      <c r="P251" s="164">
        <f t="shared" si="398"/>
        <v>0</v>
      </c>
      <c r="Q251" s="164">
        <f t="shared" si="398"/>
        <v>0</v>
      </c>
      <c r="R251" s="164">
        <f t="shared" si="398"/>
        <v>0</v>
      </c>
      <c r="S251" s="164">
        <f t="shared" si="398"/>
        <v>0</v>
      </c>
      <c r="T251" s="164">
        <f t="shared" si="398"/>
        <v>0</v>
      </c>
      <c r="U251" s="164">
        <f t="shared" si="398"/>
        <v>0</v>
      </c>
      <c r="V251" s="164">
        <f t="shared" si="398"/>
        <v>0</v>
      </c>
      <c r="W251" s="164">
        <f t="shared" si="398"/>
        <v>0</v>
      </c>
      <c r="X251" s="164">
        <f t="shared" si="398"/>
        <v>0</v>
      </c>
      <c r="Y251" s="164">
        <f t="shared" si="398"/>
        <v>0</v>
      </c>
      <c r="Z251" s="164">
        <f t="shared" si="398"/>
        <v>0</v>
      </c>
      <c r="AA251" s="164">
        <f t="shared" si="398"/>
        <v>0</v>
      </c>
      <c r="AB251" s="164">
        <f t="shared" si="398"/>
        <v>0</v>
      </c>
      <c r="AC251" s="164">
        <f t="shared" si="398"/>
        <v>0</v>
      </c>
      <c r="AD251" s="164">
        <f t="shared" si="398"/>
        <v>0</v>
      </c>
      <c r="AE251" s="164">
        <f t="shared" si="398"/>
        <v>0</v>
      </c>
      <c r="AF251" s="164">
        <f t="shared" si="398"/>
        <v>0</v>
      </c>
      <c r="AG251" s="164">
        <f t="shared" si="398"/>
        <v>0</v>
      </c>
      <c r="AH251" s="164">
        <f t="shared" si="398"/>
        <v>0</v>
      </c>
      <c r="AI251" s="164">
        <f t="shared" si="398"/>
        <v>0</v>
      </c>
      <c r="AJ251" s="164">
        <f t="shared" si="398"/>
        <v>0</v>
      </c>
      <c r="AK251" s="164">
        <f t="shared" si="398"/>
        <v>0</v>
      </c>
      <c r="AL251" s="164">
        <f t="shared" si="398"/>
        <v>0</v>
      </c>
      <c r="AM251" s="164">
        <f t="shared" si="398"/>
        <v>0</v>
      </c>
      <c r="AN251" s="164">
        <f t="shared" si="398"/>
        <v>0</v>
      </c>
      <c r="AO251" s="164">
        <f t="shared" si="398"/>
        <v>0</v>
      </c>
      <c r="AP251" s="164">
        <f t="shared" si="398"/>
        <v>0</v>
      </c>
      <c r="AQ251" s="164">
        <f t="shared" si="398"/>
        <v>0</v>
      </c>
      <c r="AR251" s="164">
        <f t="shared" si="398"/>
        <v>0</v>
      </c>
      <c r="AS251" s="164">
        <f t="shared" si="398"/>
        <v>0</v>
      </c>
      <c r="AT251" s="164">
        <f t="shared" si="398"/>
        <v>0</v>
      </c>
      <c r="AU251" s="164">
        <f t="shared" si="398"/>
        <v>0</v>
      </c>
      <c r="AV251" s="164">
        <f t="shared" si="398"/>
        <v>0</v>
      </c>
      <c r="AW251" s="164">
        <f t="shared" si="398"/>
        <v>0</v>
      </c>
      <c r="AX251" s="164">
        <f t="shared" si="398"/>
        <v>0</v>
      </c>
      <c r="AY251" s="164">
        <f t="shared" si="398"/>
        <v>0</v>
      </c>
      <c r="AZ251" s="164">
        <f t="shared" si="398"/>
        <v>0</v>
      </c>
      <c r="BA251" s="164">
        <f t="shared" si="398"/>
        <v>0</v>
      </c>
      <c r="BB251" s="164">
        <f t="shared" si="398"/>
        <v>0</v>
      </c>
      <c r="BC251" s="164">
        <f t="shared" si="398"/>
        <v>0</v>
      </c>
      <c r="BD251" s="164">
        <f t="shared" si="398"/>
        <v>0</v>
      </c>
      <c r="BE251" s="164">
        <f t="shared" si="398"/>
        <v>0</v>
      </c>
      <c r="BF251" s="164">
        <f t="shared" si="398"/>
        <v>0</v>
      </c>
      <c r="BG251" s="164">
        <f t="shared" si="398"/>
        <v>0</v>
      </c>
      <c r="BH251" s="164">
        <f t="shared" si="398"/>
        <v>0</v>
      </c>
      <c r="BI251" s="164">
        <f t="shared" si="398"/>
        <v>0</v>
      </c>
      <c r="BJ251" s="164">
        <f t="shared" si="398"/>
        <v>0</v>
      </c>
      <c r="BK251" s="33">
        <f t="shared" si="398"/>
        <v>0</v>
      </c>
    </row>
    <row r="252" spans="9:63">
      <c r="I252" s="31">
        <v>60</v>
      </c>
      <c r="L252" s="225">
        <f t="shared" si="340"/>
        <v>0</v>
      </c>
      <c r="M252" s="164">
        <f t="shared" ref="M252:BK252" si="399">LOOKUP(M139,$K$56:$BK$56,$K$60:$BK$60)</f>
        <v>0</v>
      </c>
      <c r="N252" s="164">
        <f t="shared" si="399"/>
        <v>0</v>
      </c>
      <c r="O252" s="164">
        <f t="shared" si="399"/>
        <v>0</v>
      </c>
      <c r="P252" s="164">
        <f t="shared" si="399"/>
        <v>0</v>
      </c>
      <c r="Q252" s="164">
        <f t="shared" si="399"/>
        <v>0</v>
      </c>
      <c r="R252" s="164">
        <f t="shared" si="399"/>
        <v>0</v>
      </c>
      <c r="S252" s="164">
        <f t="shared" si="399"/>
        <v>0</v>
      </c>
      <c r="T252" s="164">
        <f t="shared" si="399"/>
        <v>0</v>
      </c>
      <c r="U252" s="164">
        <f t="shared" si="399"/>
        <v>0</v>
      </c>
      <c r="V252" s="164">
        <f t="shared" si="399"/>
        <v>0</v>
      </c>
      <c r="W252" s="164">
        <f t="shared" si="399"/>
        <v>0</v>
      </c>
      <c r="X252" s="164">
        <f t="shared" si="399"/>
        <v>0</v>
      </c>
      <c r="Y252" s="164">
        <f t="shared" si="399"/>
        <v>0</v>
      </c>
      <c r="Z252" s="164">
        <f t="shared" si="399"/>
        <v>0</v>
      </c>
      <c r="AA252" s="164">
        <f t="shared" si="399"/>
        <v>0</v>
      </c>
      <c r="AB252" s="164">
        <f t="shared" si="399"/>
        <v>0</v>
      </c>
      <c r="AC252" s="164">
        <f t="shared" si="399"/>
        <v>0</v>
      </c>
      <c r="AD252" s="164">
        <f t="shared" si="399"/>
        <v>0</v>
      </c>
      <c r="AE252" s="164">
        <f t="shared" si="399"/>
        <v>0</v>
      </c>
      <c r="AF252" s="164">
        <f t="shared" si="399"/>
        <v>0</v>
      </c>
      <c r="AG252" s="164">
        <f t="shared" si="399"/>
        <v>0</v>
      </c>
      <c r="AH252" s="164">
        <f t="shared" si="399"/>
        <v>0</v>
      </c>
      <c r="AI252" s="164">
        <f t="shared" si="399"/>
        <v>0</v>
      </c>
      <c r="AJ252" s="164">
        <f t="shared" si="399"/>
        <v>0</v>
      </c>
      <c r="AK252" s="164">
        <f t="shared" si="399"/>
        <v>0</v>
      </c>
      <c r="AL252" s="164">
        <f t="shared" si="399"/>
        <v>0</v>
      </c>
      <c r="AM252" s="164">
        <f t="shared" si="399"/>
        <v>0</v>
      </c>
      <c r="AN252" s="164">
        <f t="shared" si="399"/>
        <v>0</v>
      </c>
      <c r="AO252" s="164">
        <f t="shared" si="399"/>
        <v>0</v>
      </c>
      <c r="AP252" s="164">
        <f t="shared" si="399"/>
        <v>0</v>
      </c>
      <c r="AQ252" s="164">
        <f t="shared" si="399"/>
        <v>0</v>
      </c>
      <c r="AR252" s="164">
        <f t="shared" si="399"/>
        <v>0</v>
      </c>
      <c r="AS252" s="164">
        <f t="shared" si="399"/>
        <v>0</v>
      </c>
      <c r="AT252" s="164">
        <f t="shared" si="399"/>
        <v>0</v>
      </c>
      <c r="AU252" s="164">
        <f t="shared" si="399"/>
        <v>0</v>
      </c>
      <c r="AV252" s="164">
        <f t="shared" si="399"/>
        <v>0</v>
      </c>
      <c r="AW252" s="164">
        <f t="shared" si="399"/>
        <v>0</v>
      </c>
      <c r="AX252" s="164">
        <f t="shared" si="399"/>
        <v>0</v>
      </c>
      <c r="AY252" s="164">
        <f t="shared" si="399"/>
        <v>0</v>
      </c>
      <c r="AZ252" s="164">
        <f t="shared" si="399"/>
        <v>0</v>
      </c>
      <c r="BA252" s="164">
        <f t="shared" si="399"/>
        <v>0</v>
      </c>
      <c r="BB252" s="164">
        <f t="shared" si="399"/>
        <v>0</v>
      </c>
      <c r="BC252" s="164">
        <f t="shared" si="399"/>
        <v>0</v>
      </c>
      <c r="BD252" s="164">
        <f t="shared" si="399"/>
        <v>0</v>
      </c>
      <c r="BE252" s="164">
        <f t="shared" si="399"/>
        <v>0</v>
      </c>
      <c r="BF252" s="164">
        <f t="shared" si="399"/>
        <v>0</v>
      </c>
      <c r="BG252" s="164">
        <f t="shared" si="399"/>
        <v>0</v>
      </c>
      <c r="BH252" s="164">
        <f t="shared" si="399"/>
        <v>0</v>
      </c>
      <c r="BI252" s="164">
        <f t="shared" si="399"/>
        <v>0</v>
      </c>
      <c r="BJ252" s="164">
        <f t="shared" si="399"/>
        <v>0</v>
      </c>
      <c r="BK252" s="33">
        <f t="shared" si="399"/>
        <v>0</v>
      </c>
    </row>
    <row r="253" spans="9:63">
      <c r="I253" s="31">
        <v>61</v>
      </c>
      <c r="L253" s="225">
        <f t="shared" si="340"/>
        <v>0</v>
      </c>
      <c r="M253" s="164">
        <f t="shared" ref="M253:BK253" si="400">LOOKUP(M140,$K$56:$BK$56,$K$60:$BK$60)</f>
        <v>0</v>
      </c>
      <c r="N253" s="164">
        <f t="shared" si="400"/>
        <v>0</v>
      </c>
      <c r="O253" s="164">
        <f t="shared" si="400"/>
        <v>0</v>
      </c>
      <c r="P253" s="164">
        <f t="shared" si="400"/>
        <v>0</v>
      </c>
      <c r="Q253" s="164">
        <f t="shared" si="400"/>
        <v>0</v>
      </c>
      <c r="R253" s="164">
        <f t="shared" si="400"/>
        <v>0</v>
      </c>
      <c r="S253" s="164">
        <f t="shared" si="400"/>
        <v>0</v>
      </c>
      <c r="T253" s="164">
        <f t="shared" si="400"/>
        <v>0</v>
      </c>
      <c r="U253" s="164">
        <f t="shared" si="400"/>
        <v>0</v>
      </c>
      <c r="V253" s="164">
        <f t="shared" si="400"/>
        <v>0</v>
      </c>
      <c r="W253" s="164">
        <f t="shared" si="400"/>
        <v>0</v>
      </c>
      <c r="X253" s="164">
        <f t="shared" si="400"/>
        <v>0</v>
      </c>
      <c r="Y253" s="164">
        <f t="shared" si="400"/>
        <v>0</v>
      </c>
      <c r="Z253" s="164">
        <f t="shared" si="400"/>
        <v>0</v>
      </c>
      <c r="AA253" s="164">
        <f t="shared" si="400"/>
        <v>0</v>
      </c>
      <c r="AB253" s="164">
        <f t="shared" si="400"/>
        <v>0</v>
      </c>
      <c r="AC253" s="164">
        <f t="shared" si="400"/>
        <v>0</v>
      </c>
      <c r="AD253" s="164">
        <f t="shared" si="400"/>
        <v>0</v>
      </c>
      <c r="AE253" s="164">
        <f t="shared" si="400"/>
        <v>0</v>
      </c>
      <c r="AF253" s="164">
        <f t="shared" si="400"/>
        <v>0</v>
      </c>
      <c r="AG253" s="164">
        <f t="shared" si="400"/>
        <v>0</v>
      </c>
      <c r="AH253" s="164">
        <f t="shared" si="400"/>
        <v>0</v>
      </c>
      <c r="AI253" s="164">
        <f t="shared" si="400"/>
        <v>0</v>
      </c>
      <c r="AJ253" s="164">
        <f t="shared" si="400"/>
        <v>0</v>
      </c>
      <c r="AK253" s="164">
        <f t="shared" si="400"/>
        <v>0</v>
      </c>
      <c r="AL253" s="164">
        <f t="shared" si="400"/>
        <v>0</v>
      </c>
      <c r="AM253" s="164">
        <f t="shared" si="400"/>
        <v>0</v>
      </c>
      <c r="AN253" s="164">
        <f t="shared" si="400"/>
        <v>0</v>
      </c>
      <c r="AO253" s="164">
        <f t="shared" si="400"/>
        <v>0</v>
      </c>
      <c r="AP253" s="164">
        <f t="shared" si="400"/>
        <v>0</v>
      </c>
      <c r="AQ253" s="164">
        <f t="shared" si="400"/>
        <v>0</v>
      </c>
      <c r="AR253" s="164">
        <f t="shared" si="400"/>
        <v>0</v>
      </c>
      <c r="AS253" s="164">
        <f t="shared" si="400"/>
        <v>0</v>
      </c>
      <c r="AT253" s="164">
        <f t="shared" si="400"/>
        <v>0</v>
      </c>
      <c r="AU253" s="164">
        <f t="shared" si="400"/>
        <v>0</v>
      </c>
      <c r="AV253" s="164">
        <f t="shared" si="400"/>
        <v>0</v>
      </c>
      <c r="AW253" s="164">
        <f t="shared" si="400"/>
        <v>0</v>
      </c>
      <c r="AX253" s="164">
        <f t="shared" si="400"/>
        <v>0</v>
      </c>
      <c r="AY253" s="164">
        <f t="shared" si="400"/>
        <v>0</v>
      </c>
      <c r="AZ253" s="164">
        <f t="shared" si="400"/>
        <v>0</v>
      </c>
      <c r="BA253" s="164">
        <f t="shared" si="400"/>
        <v>0</v>
      </c>
      <c r="BB253" s="164">
        <f t="shared" si="400"/>
        <v>0</v>
      </c>
      <c r="BC253" s="164">
        <f t="shared" si="400"/>
        <v>0</v>
      </c>
      <c r="BD253" s="164">
        <f t="shared" si="400"/>
        <v>0</v>
      </c>
      <c r="BE253" s="164">
        <f t="shared" si="400"/>
        <v>0</v>
      </c>
      <c r="BF253" s="164">
        <f t="shared" si="400"/>
        <v>0</v>
      </c>
      <c r="BG253" s="164">
        <f t="shared" si="400"/>
        <v>0</v>
      </c>
      <c r="BH253" s="164">
        <f t="shared" si="400"/>
        <v>0</v>
      </c>
      <c r="BI253" s="164">
        <f t="shared" si="400"/>
        <v>0</v>
      </c>
      <c r="BJ253" s="164">
        <f t="shared" si="400"/>
        <v>0</v>
      </c>
      <c r="BK253" s="33">
        <f t="shared" si="400"/>
        <v>0</v>
      </c>
    </row>
    <row r="254" spans="9:63">
      <c r="I254" s="31">
        <v>62</v>
      </c>
      <c r="L254" s="225">
        <f t="shared" si="340"/>
        <v>0</v>
      </c>
      <c r="M254" s="164">
        <f t="shared" ref="M254:BK254" si="401">LOOKUP(M141,$K$56:$BK$56,$K$60:$BK$60)</f>
        <v>0</v>
      </c>
      <c r="N254" s="164">
        <f t="shared" si="401"/>
        <v>0</v>
      </c>
      <c r="O254" s="164">
        <f t="shared" si="401"/>
        <v>0</v>
      </c>
      <c r="P254" s="164">
        <f t="shared" si="401"/>
        <v>0</v>
      </c>
      <c r="Q254" s="164">
        <f t="shared" si="401"/>
        <v>0</v>
      </c>
      <c r="R254" s="164">
        <f t="shared" si="401"/>
        <v>0</v>
      </c>
      <c r="S254" s="164">
        <f t="shared" si="401"/>
        <v>0</v>
      </c>
      <c r="T254" s="164">
        <f t="shared" si="401"/>
        <v>0</v>
      </c>
      <c r="U254" s="164">
        <f t="shared" si="401"/>
        <v>0</v>
      </c>
      <c r="V254" s="164">
        <f t="shared" si="401"/>
        <v>0</v>
      </c>
      <c r="W254" s="164">
        <f t="shared" si="401"/>
        <v>0</v>
      </c>
      <c r="X254" s="164">
        <f t="shared" si="401"/>
        <v>0</v>
      </c>
      <c r="Y254" s="164">
        <f t="shared" si="401"/>
        <v>0</v>
      </c>
      <c r="Z254" s="164">
        <f t="shared" si="401"/>
        <v>0</v>
      </c>
      <c r="AA254" s="164">
        <f t="shared" si="401"/>
        <v>0</v>
      </c>
      <c r="AB254" s="164">
        <f t="shared" si="401"/>
        <v>0</v>
      </c>
      <c r="AC254" s="164">
        <f t="shared" si="401"/>
        <v>0</v>
      </c>
      <c r="AD254" s="164">
        <f t="shared" si="401"/>
        <v>0</v>
      </c>
      <c r="AE254" s="164">
        <f t="shared" si="401"/>
        <v>0</v>
      </c>
      <c r="AF254" s="164">
        <f t="shared" si="401"/>
        <v>0</v>
      </c>
      <c r="AG254" s="164">
        <f t="shared" si="401"/>
        <v>0</v>
      </c>
      <c r="AH254" s="164">
        <f t="shared" si="401"/>
        <v>0</v>
      </c>
      <c r="AI254" s="164">
        <f t="shared" si="401"/>
        <v>0</v>
      </c>
      <c r="AJ254" s="164">
        <f t="shared" si="401"/>
        <v>0</v>
      </c>
      <c r="AK254" s="164">
        <f t="shared" si="401"/>
        <v>0</v>
      </c>
      <c r="AL254" s="164">
        <f t="shared" si="401"/>
        <v>0</v>
      </c>
      <c r="AM254" s="164">
        <f t="shared" si="401"/>
        <v>0</v>
      </c>
      <c r="AN254" s="164">
        <f t="shared" si="401"/>
        <v>0</v>
      </c>
      <c r="AO254" s="164">
        <f t="shared" si="401"/>
        <v>0</v>
      </c>
      <c r="AP254" s="164">
        <f t="shared" si="401"/>
        <v>0</v>
      </c>
      <c r="AQ254" s="164">
        <f t="shared" si="401"/>
        <v>0</v>
      </c>
      <c r="AR254" s="164">
        <f t="shared" si="401"/>
        <v>0</v>
      </c>
      <c r="AS254" s="164">
        <f t="shared" si="401"/>
        <v>0</v>
      </c>
      <c r="AT254" s="164">
        <f t="shared" si="401"/>
        <v>0</v>
      </c>
      <c r="AU254" s="164">
        <f t="shared" si="401"/>
        <v>0</v>
      </c>
      <c r="AV254" s="164">
        <f t="shared" si="401"/>
        <v>0</v>
      </c>
      <c r="AW254" s="164">
        <f t="shared" si="401"/>
        <v>0</v>
      </c>
      <c r="AX254" s="164">
        <f t="shared" si="401"/>
        <v>0</v>
      </c>
      <c r="AY254" s="164">
        <f t="shared" si="401"/>
        <v>0</v>
      </c>
      <c r="AZ254" s="164">
        <f t="shared" si="401"/>
        <v>0</v>
      </c>
      <c r="BA254" s="164">
        <f t="shared" si="401"/>
        <v>0</v>
      </c>
      <c r="BB254" s="164">
        <f t="shared" si="401"/>
        <v>0</v>
      </c>
      <c r="BC254" s="164">
        <f t="shared" si="401"/>
        <v>0</v>
      </c>
      <c r="BD254" s="164">
        <f t="shared" si="401"/>
        <v>0</v>
      </c>
      <c r="BE254" s="164">
        <f t="shared" si="401"/>
        <v>0</v>
      </c>
      <c r="BF254" s="164">
        <f t="shared" si="401"/>
        <v>0</v>
      </c>
      <c r="BG254" s="164">
        <f t="shared" si="401"/>
        <v>0</v>
      </c>
      <c r="BH254" s="164">
        <f t="shared" si="401"/>
        <v>0</v>
      </c>
      <c r="BI254" s="164">
        <f t="shared" si="401"/>
        <v>0</v>
      </c>
      <c r="BJ254" s="164">
        <f t="shared" si="401"/>
        <v>0</v>
      </c>
      <c r="BK254" s="33">
        <f t="shared" si="401"/>
        <v>0</v>
      </c>
    </row>
    <row r="255" spans="9:63">
      <c r="I255" s="31">
        <v>63</v>
      </c>
      <c r="L255" s="225">
        <f t="shared" si="340"/>
        <v>0</v>
      </c>
      <c r="M255" s="164">
        <f t="shared" ref="M255:BK255" si="402">LOOKUP(M142,$K$56:$BK$56,$K$60:$BK$60)</f>
        <v>0</v>
      </c>
      <c r="N255" s="164">
        <f t="shared" si="402"/>
        <v>0</v>
      </c>
      <c r="O255" s="164">
        <f t="shared" si="402"/>
        <v>0</v>
      </c>
      <c r="P255" s="164">
        <f t="shared" si="402"/>
        <v>0</v>
      </c>
      <c r="Q255" s="164">
        <f t="shared" si="402"/>
        <v>0</v>
      </c>
      <c r="R255" s="164">
        <f t="shared" si="402"/>
        <v>0</v>
      </c>
      <c r="S255" s="164">
        <f t="shared" si="402"/>
        <v>0</v>
      </c>
      <c r="T255" s="164">
        <f t="shared" si="402"/>
        <v>0</v>
      </c>
      <c r="U255" s="164">
        <f t="shared" si="402"/>
        <v>0</v>
      </c>
      <c r="V255" s="164">
        <f t="shared" si="402"/>
        <v>0</v>
      </c>
      <c r="W255" s="164">
        <f t="shared" si="402"/>
        <v>0</v>
      </c>
      <c r="X255" s="164">
        <f t="shared" si="402"/>
        <v>0</v>
      </c>
      <c r="Y255" s="164">
        <f t="shared" si="402"/>
        <v>0</v>
      </c>
      <c r="Z255" s="164">
        <f t="shared" si="402"/>
        <v>0</v>
      </c>
      <c r="AA255" s="164">
        <f t="shared" si="402"/>
        <v>0</v>
      </c>
      <c r="AB255" s="164">
        <f t="shared" si="402"/>
        <v>0</v>
      </c>
      <c r="AC255" s="164">
        <f t="shared" si="402"/>
        <v>0</v>
      </c>
      <c r="AD255" s="164">
        <f t="shared" si="402"/>
        <v>0</v>
      </c>
      <c r="AE255" s="164">
        <f t="shared" si="402"/>
        <v>0</v>
      </c>
      <c r="AF255" s="164">
        <f t="shared" si="402"/>
        <v>0</v>
      </c>
      <c r="AG255" s="164">
        <f t="shared" si="402"/>
        <v>0</v>
      </c>
      <c r="AH255" s="164">
        <f t="shared" si="402"/>
        <v>0</v>
      </c>
      <c r="AI255" s="164">
        <f t="shared" si="402"/>
        <v>0</v>
      </c>
      <c r="AJ255" s="164">
        <f t="shared" si="402"/>
        <v>0</v>
      </c>
      <c r="AK255" s="164">
        <f t="shared" si="402"/>
        <v>0</v>
      </c>
      <c r="AL255" s="164">
        <f t="shared" si="402"/>
        <v>0</v>
      </c>
      <c r="AM255" s="164">
        <f t="shared" si="402"/>
        <v>0</v>
      </c>
      <c r="AN255" s="164">
        <f t="shared" si="402"/>
        <v>0</v>
      </c>
      <c r="AO255" s="164">
        <f t="shared" si="402"/>
        <v>0</v>
      </c>
      <c r="AP255" s="164">
        <f t="shared" si="402"/>
        <v>0</v>
      </c>
      <c r="AQ255" s="164">
        <f t="shared" si="402"/>
        <v>0</v>
      </c>
      <c r="AR255" s="164">
        <f t="shared" si="402"/>
        <v>0</v>
      </c>
      <c r="AS255" s="164">
        <f t="shared" si="402"/>
        <v>0</v>
      </c>
      <c r="AT255" s="164">
        <f t="shared" si="402"/>
        <v>0</v>
      </c>
      <c r="AU255" s="164">
        <f t="shared" si="402"/>
        <v>0</v>
      </c>
      <c r="AV255" s="164">
        <f t="shared" si="402"/>
        <v>0</v>
      </c>
      <c r="AW255" s="164">
        <f t="shared" si="402"/>
        <v>0</v>
      </c>
      <c r="AX255" s="164">
        <f t="shared" si="402"/>
        <v>0</v>
      </c>
      <c r="AY255" s="164">
        <f t="shared" si="402"/>
        <v>0</v>
      </c>
      <c r="AZ255" s="164">
        <f t="shared" si="402"/>
        <v>0</v>
      </c>
      <c r="BA255" s="164">
        <f t="shared" si="402"/>
        <v>0</v>
      </c>
      <c r="BB255" s="164">
        <f t="shared" si="402"/>
        <v>0</v>
      </c>
      <c r="BC255" s="164">
        <f t="shared" si="402"/>
        <v>0</v>
      </c>
      <c r="BD255" s="164">
        <f t="shared" si="402"/>
        <v>0</v>
      </c>
      <c r="BE255" s="164">
        <f t="shared" si="402"/>
        <v>0</v>
      </c>
      <c r="BF255" s="164">
        <f t="shared" si="402"/>
        <v>0</v>
      </c>
      <c r="BG255" s="164">
        <f t="shared" si="402"/>
        <v>0</v>
      </c>
      <c r="BH255" s="164">
        <f t="shared" si="402"/>
        <v>0</v>
      </c>
      <c r="BI255" s="164">
        <f t="shared" si="402"/>
        <v>0</v>
      </c>
      <c r="BJ255" s="164">
        <f t="shared" si="402"/>
        <v>0</v>
      </c>
      <c r="BK255" s="33">
        <f t="shared" si="402"/>
        <v>0</v>
      </c>
    </row>
    <row r="256" spans="9:63">
      <c r="I256" s="31">
        <v>64</v>
      </c>
      <c r="L256" s="225">
        <f t="shared" si="340"/>
        <v>0</v>
      </c>
      <c r="M256" s="164">
        <f t="shared" ref="M256:BK256" si="403">LOOKUP(M143,$K$56:$BK$56,$K$60:$BK$60)</f>
        <v>0</v>
      </c>
      <c r="N256" s="164">
        <f t="shared" si="403"/>
        <v>0</v>
      </c>
      <c r="O256" s="164">
        <f t="shared" si="403"/>
        <v>0</v>
      </c>
      <c r="P256" s="164">
        <f t="shared" si="403"/>
        <v>0</v>
      </c>
      <c r="Q256" s="164">
        <f t="shared" si="403"/>
        <v>0</v>
      </c>
      <c r="R256" s="164">
        <f t="shared" si="403"/>
        <v>0</v>
      </c>
      <c r="S256" s="164">
        <f t="shared" si="403"/>
        <v>0</v>
      </c>
      <c r="T256" s="164">
        <f t="shared" si="403"/>
        <v>0</v>
      </c>
      <c r="U256" s="164">
        <f t="shared" si="403"/>
        <v>0</v>
      </c>
      <c r="V256" s="164">
        <f t="shared" si="403"/>
        <v>0</v>
      </c>
      <c r="W256" s="164">
        <f t="shared" si="403"/>
        <v>0</v>
      </c>
      <c r="X256" s="164">
        <f t="shared" si="403"/>
        <v>0</v>
      </c>
      <c r="Y256" s="164">
        <f t="shared" si="403"/>
        <v>0</v>
      </c>
      <c r="Z256" s="164">
        <f t="shared" si="403"/>
        <v>0</v>
      </c>
      <c r="AA256" s="164">
        <f t="shared" si="403"/>
        <v>0</v>
      </c>
      <c r="AB256" s="164">
        <f t="shared" si="403"/>
        <v>0</v>
      </c>
      <c r="AC256" s="164">
        <f t="shared" si="403"/>
        <v>0</v>
      </c>
      <c r="AD256" s="164">
        <f t="shared" si="403"/>
        <v>0</v>
      </c>
      <c r="AE256" s="164">
        <f t="shared" si="403"/>
        <v>0</v>
      </c>
      <c r="AF256" s="164">
        <f t="shared" si="403"/>
        <v>0</v>
      </c>
      <c r="AG256" s="164">
        <f t="shared" si="403"/>
        <v>0</v>
      </c>
      <c r="AH256" s="164">
        <f t="shared" si="403"/>
        <v>0</v>
      </c>
      <c r="AI256" s="164">
        <f t="shared" si="403"/>
        <v>0</v>
      </c>
      <c r="AJ256" s="164">
        <f t="shared" si="403"/>
        <v>0</v>
      </c>
      <c r="AK256" s="164">
        <f t="shared" si="403"/>
        <v>0</v>
      </c>
      <c r="AL256" s="164">
        <f t="shared" si="403"/>
        <v>0</v>
      </c>
      <c r="AM256" s="164">
        <f t="shared" si="403"/>
        <v>0</v>
      </c>
      <c r="AN256" s="164">
        <f t="shared" si="403"/>
        <v>0</v>
      </c>
      <c r="AO256" s="164">
        <f t="shared" si="403"/>
        <v>0</v>
      </c>
      <c r="AP256" s="164">
        <f t="shared" si="403"/>
        <v>0</v>
      </c>
      <c r="AQ256" s="164">
        <f t="shared" si="403"/>
        <v>0</v>
      </c>
      <c r="AR256" s="164">
        <f t="shared" si="403"/>
        <v>0</v>
      </c>
      <c r="AS256" s="164">
        <f t="shared" si="403"/>
        <v>0</v>
      </c>
      <c r="AT256" s="164">
        <f t="shared" si="403"/>
        <v>0</v>
      </c>
      <c r="AU256" s="164">
        <f t="shared" si="403"/>
        <v>0</v>
      </c>
      <c r="AV256" s="164">
        <f t="shared" si="403"/>
        <v>0</v>
      </c>
      <c r="AW256" s="164">
        <f t="shared" si="403"/>
        <v>0</v>
      </c>
      <c r="AX256" s="164">
        <f t="shared" si="403"/>
        <v>0</v>
      </c>
      <c r="AY256" s="164">
        <f t="shared" si="403"/>
        <v>0</v>
      </c>
      <c r="AZ256" s="164">
        <f t="shared" si="403"/>
        <v>0</v>
      </c>
      <c r="BA256" s="164">
        <f t="shared" si="403"/>
        <v>0</v>
      </c>
      <c r="BB256" s="164">
        <f t="shared" si="403"/>
        <v>0</v>
      </c>
      <c r="BC256" s="164">
        <f t="shared" si="403"/>
        <v>0</v>
      </c>
      <c r="BD256" s="164">
        <f t="shared" si="403"/>
        <v>0</v>
      </c>
      <c r="BE256" s="164">
        <f t="shared" si="403"/>
        <v>0</v>
      </c>
      <c r="BF256" s="164">
        <f t="shared" si="403"/>
        <v>0</v>
      </c>
      <c r="BG256" s="164">
        <f t="shared" si="403"/>
        <v>0</v>
      </c>
      <c r="BH256" s="164">
        <f t="shared" si="403"/>
        <v>0</v>
      </c>
      <c r="BI256" s="164">
        <f t="shared" si="403"/>
        <v>0</v>
      </c>
      <c r="BJ256" s="164">
        <f t="shared" si="403"/>
        <v>0</v>
      </c>
      <c r="BK256" s="33">
        <f t="shared" si="403"/>
        <v>0</v>
      </c>
    </row>
    <row r="257" spans="9:63">
      <c r="I257" s="31">
        <v>65</v>
      </c>
      <c r="L257" s="225">
        <f t="shared" si="340"/>
        <v>0</v>
      </c>
      <c r="M257" s="164">
        <f t="shared" ref="M257:BK257" si="404">LOOKUP(M144,$K$56:$BK$56,$K$60:$BK$60)</f>
        <v>0</v>
      </c>
      <c r="N257" s="164">
        <f t="shared" si="404"/>
        <v>0</v>
      </c>
      <c r="O257" s="164">
        <f t="shared" si="404"/>
        <v>0</v>
      </c>
      <c r="P257" s="164">
        <f t="shared" si="404"/>
        <v>0</v>
      </c>
      <c r="Q257" s="164">
        <f t="shared" si="404"/>
        <v>0</v>
      </c>
      <c r="R257" s="164">
        <f t="shared" si="404"/>
        <v>0</v>
      </c>
      <c r="S257" s="164">
        <f t="shared" si="404"/>
        <v>0</v>
      </c>
      <c r="T257" s="164">
        <f t="shared" si="404"/>
        <v>0</v>
      </c>
      <c r="U257" s="164">
        <f t="shared" si="404"/>
        <v>0</v>
      </c>
      <c r="V257" s="164">
        <f t="shared" si="404"/>
        <v>0</v>
      </c>
      <c r="W257" s="164">
        <f t="shared" si="404"/>
        <v>0</v>
      </c>
      <c r="X257" s="164">
        <f t="shared" si="404"/>
        <v>0</v>
      </c>
      <c r="Y257" s="164">
        <f t="shared" si="404"/>
        <v>0</v>
      </c>
      <c r="Z257" s="164">
        <f t="shared" si="404"/>
        <v>0</v>
      </c>
      <c r="AA257" s="164">
        <f t="shared" si="404"/>
        <v>0</v>
      </c>
      <c r="AB257" s="164">
        <f t="shared" si="404"/>
        <v>0</v>
      </c>
      <c r="AC257" s="164">
        <f t="shared" si="404"/>
        <v>0</v>
      </c>
      <c r="AD257" s="164">
        <f t="shared" si="404"/>
        <v>0</v>
      </c>
      <c r="AE257" s="164">
        <f t="shared" si="404"/>
        <v>0</v>
      </c>
      <c r="AF257" s="164">
        <f t="shared" si="404"/>
        <v>0</v>
      </c>
      <c r="AG257" s="164">
        <f t="shared" si="404"/>
        <v>0</v>
      </c>
      <c r="AH257" s="164">
        <f t="shared" si="404"/>
        <v>0</v>
      </c>
      <c r="AI257" s="164">
        <f t="shared" si="404"/>
        <v>0</v>
      </c>
      <c r="AJ257" s="164">
        <f t="shared" si="404"/>
        <v>0</v>
      </c>
      <c r="AK257" s="164">
        <f t="shared" si="404"/>
        <v>0</v>
      </c>
      <c r="AL257" s="164">
        <f t="shared" si="404"/>
        <v>0</v>
      </c>
      <c r="AM257" s="164">
        <f t="shared" si="404"/>
        <v>0</v>
      </c>
      <c r="AN257" s="164">
        <f t="shared" si="404"/>
        <v>0</v>
      </c>
      <c r="AO257" s="164">
        <f t="shared" si="404"/>
        <v>0</v>
      </c>
      <c r="AP257" s="164">
        <f t="shared" si="404"/>
        <v>0</v>
      </c>
      <c r="AQ257" s="164">
        <f t="shared" si="404"/>
        <v>0</v>
      </c>
      <c r="AR257" s="164">
        <f t="shared" si="404"/>
        <v>0</v>
      </c>
      <c r="AS257" s="164">
        <f t="shared" si="404"/>
        <v>0</v>
      </c>
      <c r="AT257" s="164">
        <f t="shared" si="404"/>
        <v>0</v>
      </c>
      <c r="AU257" s="164">
        <f t="shared" si="404"/>
        <v>0</v>
      </c>
      <c r="AV257" s="164">
        <f t="shared" si="404"/>
        <v>0</v>
      </c>
      <c r="AW257" s="164">
        <f t="shared" si="404"/>
        <v>0</v>
      </c>
      <c r="AX257" s="164">
        <f t="shared" si="404"/>
        <v>0</v>
      </c>
      <c r="AY257" s="164">
        <f t="shared" si="404"/>
        <v>0</v>
      </c>
      <c r="AZ257" s="164">
        <f t="shared" si="404"/>
        <v>0</v>
      </c>
      <c r="BA257" s="164">
        <f t="shared" si="404"/>
        <v>0</v>
      </c>
      <c r="BB257" s="164">
        <f t="shared" si="404"/>
        <v>0</v>
      </c>
      <c r="BC257" s="164">
        <f t="shared" si="404"/>
        <v>0</v>
      </c>
      <c r="BD257" s="164">
        <f t="shared" si="404"/>
        <v>0</v>
      </c>
      <c r="BE257" s="164">
        <f t="shared" si="404"/>
        <v>0</v>
      </c>
      <c r="BF257" s="164">
        <f t="shared" si="404"/>
        <v>0</v>
      </c>
      <c r="BG257" s="164">
        <f t="shared" si="404"/>
        <v>0</v>
      </c>
      <c r="BH257" s="164">
        <f t="shared" si="404"/>
        <v>0</v>
      </c>
      <c r="BI257" s="164">
        <f t="shared" si="404"/>
        <v>0</v>
      </c>
      <c r="BJ257" s="164">
        <f t="shared" si="404"/>
        <v>0</v>
      </c>
      <c r="BK257" s="33">
        <f t="shared" si="404"/>
        <v>0</v>
      </c>
    </row>
    <row r="258" spans="9:63">
      <c r="I258" s="31">
        <v>66</v>
      </c>
      <c r="L258" s="225">
        <f t="shared" ref="L258:L292" si="405">LOOKUP(L145,$K$56:$BK$56,$K$60:$BK$60)</f>
        <v>0</v>
      </c>
      <c r="M258" s="164">
        <f t="shared" ref="M258:BK258" si="406">LOOKUP(M145,$K$56:$BK$56,$K$60:$BK$60)</f>
        <v>0</v>
      </c>
      <c r="N258" s="164">
        <f t="shared" si="406"/>
        <v>0</v>
      </c>
      <c r="O258" s="164">
        <f t="shared" si="406"/>
        <v>0</v>
      </c>
      <c r="P258" s="164">
        <f t="shared" si="406"/>
        <v>0</v>
      </c>
      <c r="Q258" s="164">
        <f t="shared" si="406"/>
        <v>0</v>
      </c>
      <c r="R258" s="164">
        <f t="shared" si="406"/>
        <v>0</v>
      </c>
      <c r="S258" s="164">
        <f t="shared" si="406"/>
        <v>0</v>
      </c>
      <c r="T258" s="164">
        <f t="shared" si="406"/>
        <v>0</v>
      </c>
      <c r="U258" s="164">
        <f t="shared" si="406"/>
        <v>0</v>
      </c>
      <c r="V258" s="164">
        <f t="shared" si="406"/>
        <v>0</v>
      </c>
      <c r="W258" s="164">
        <f t="shared" si="406"/>
        <v>0</v>
      </c>
      <c r="X258" s="164">
        <f t="shared" si="406"/>
        <v>0</v>
      </c>
      <c r="Y258" s="164">
        <f t="shared" si="406"/>
        <v>0</v>
      </c>
      <c r="Z258" s="164">
        <f t="shared" si="406"/>
        <v>0</v>
      </c>
      <c r="AA258" s="164">
        <f t="shared" si="406"/>
        <v>0</v>
      </c>
      <c r="AB258" s="164">
        <f t="shared" si="406"/>
        <v>0</v>
      </c>
      <c r="AC258" s="164">
        <f t="shared" si="406"/>
        <v>0</v>
      </c>
      <c r="AD258" s="164">
        <f t="shared" si="406"/>
        <v>0</v>
      </c>
      <c r="AE258" s="164">
        <f t="shared" si="406"/>
        <v>0</v>
      </c>
      <c r="AF258" s="164">
        <f t="shared" si="406"/>
        <v>0</v>
      </c>
      <c r="AG258" s="164">
        <f t="shared" si="406"/>
        <v>0</v>
      </c>
      <c r="AH258" s="164">
        <f t="shared" si="406"/>
        <v>0</v>
      </c>
      <c r="AI258" s="164">
        <f t="shared" si="406"/>
        <v>0</v>
      </c>
      <c r="AJ258" s="164">
        <f t="shared" si="406"/>
        <v>0</v>
      </c>
      <c r="AK258" s="164">
        <f t="shared" si="406"/>
        <v>0</v>
      </c>
      <c r="AL258" s="164">
        <f t="shared" si="406"/>
        <v>0</v>
      </c>
      <c r="AM258" s="164">
        <f t="shared" si="406"/>
        <v>0</v>
      </c>
      <c r="AN258" s="164">
        <f t="shared" si="406"/>
        <v>0</v>
      </c>
      <c r="AO258" s="164">
        <f t="shared" si="406"/>
        <v>0</v>
      </c>
      <c r="AP258" s="164">
        <f t="shared" si="406"/>
        <v>0</v>
      </c>
      <c r="AQ258" s="164">
        <f t="shared" si="406"/>
        <v>0</v>
      </c>
      <c r="AR258" s="164">
        <f t="shared" si="406"/>
        <v>0</v>
      </c>
      <c r="AS258" s="164">
        <f t="shared" si="406"/>
        <v>0</v>
      </c>
      <c r="AT258" s="164">
        <f t="shared" si="406"/>
        <v>0</v>
      </c>
      <c r="AU258" s="164">
        <f t="shared" si="406"/>
        <v>0</v>
      </c>
      <c r="AV258" s="164">
        <f t="shared" si="406"/>
        <v>0</v>
      </c>
      <c r="AW258" s="164">
        <f t="shared" si="406"/>
        <v>0</v>
      </c>
      <c r="AX258" s="164">
        <f t="shared" si="406"/>
        <v>0</v>
      </c>
      <c r="AY258" s="164">
        <f t="shared" si="406"/>
        <v>0</v>
      </c>
      <c r="AZ258" s="164">
        <f t="shared" si="406"/>
        <v>0</v>
      </c>
      <c r="BA258" s="164">
        <f t="shared" si="406"/>
        <v>0</v>
      </c>
      <c r="BB258" s="164">
        <f t="shared" si="406"/>
        <v>0</v>
      </c>
      <c r="BC258" s="164">
        <f t="shared" si="406"/>
        <v>0</v>
      </c>
      <c r="BD258" s="164">
        <f t="shared" si="406"/>
        <v>0</v>
      </c>
      <c r="BE258" s="164">
        <f t="shared" si="406"/>
        <v>0</v>
      </c>
      <c r="BF258" s="164">
        <f t="shared" si="406"/>
        <v>0</v>
      </c>
      <c r="BG258" s="164">
        <f t="shared" si="406"/>
        <v>0</v>
      </c>
      <c r="BH258" s="164">
        <f t="shared" si="406"/>
        <v>0</v>
      </c>
      <c r="BI258" s="164">
        <f t="shared" si="406"/>
        <v>0</v>
      </c>
      <c r="BJ258" s="164">
        <f t="shared" si="406"/>
        <v>0</v>
      </c>
      <c r="BK258" s="33">
        <f t="shared" si="406"/>
        <v>0</v>
      </c>
    </row>
    <row r="259" spans="9:63">
      <c r="I259" s="31">
        <v>67</v>
      </c>
      <c r="L259" s="225">
        <f t="shared" si="405"/>
        <v>0</v>
      </c>
      <c r="M259" s="164">
        <f t="shared" ref="M259:BK259" si="407">LOOKUP(M146,$K$56:$BK$56,$K$60:$BK$60)</f>
        <v>0</v>
      </c>
      <c r="N259" s="164">
        <f t="shared" si="407"/>
        <v>0</v>
      </c>
      <c r="O259" s="164">
        <f t="shared" si="407"/>
        <v>0</v>
      </c>
      <c r="P259" s="164">
        <f t="shared" si="407"/>
        <v>0</v>
      </c>
      <c r="Q259" s="164">
        <f t="shared" si="407"/>
        <v>0</v>
      </c>
      <c r="R259" s="164">
        <f t="shared" si="407"/>
        <v>0</v>
      </c>
      <c r="S259" s="164">
        <f t="shared" si="407"/>
        <v>0</v>
      </c>
      <c r="T259" s="164">
        <f t="shared" si="407"/>
        <v>0</v>
      </c>
      <c r="U259" s="164">
        <f t="shared" si="407"/>
        <v>0</v>
      </c>
      <c r="V259" s="164">
        <f t="shared" si="407"/>
        <v>0</v>
      </c>
      <c r="W259" s="164">
        <f t="shared" si="407"/>
        <v>0</v>
      </c>
      <c r="X259" s="164">
        <f t="shared" si="407"/>
        <v>0</v>
      </c>
      <c r="Y259" s="164">
        <f t="shared" si="407"/>
        <v>0</v>
      </c>
      <c r="Z259" s="164">
        <f t="shared" si="407"/>
        <v>0</v>
      </c>
      <c r="AA259" s="164">
        <f t="shared" si="407"/>
        <v>0</v>
      </c>
      <c r="AB259" s="164">
        <f t="shared" si="407"/>
        <v>0</v>
      </c>
      <c r="AC259" s="164">
        <f t="shared" si="407"/>
        <v>0</v>
      </c>
      <c r="AD259" s="164">
        <f t="shared" si="407"/>
        <v>0</v>
      </c>
      <c r="AE259" s="164">
        <f t="shared" si="407"/>
        <v>0</v>
      </c>
      <c r="AF259" s="164">
        <f t="shared" si="407"/>
        <v>0</v>
      </c>
      <c r="AG259" s="164">
        <f t="shared" si="407"/>
        <v>0</v>
      </c>
      <c r="AH259" s="164">
        <f t="shared" si="407"/>
        <v>0</v>
      </c>
      <c r="AI259" s="164">
        <f t="shared" si="407"/>
        <v>0</v>
      </c>
      <c r="AJ259" s="164">
        <f t="shared" si="407"/>
        <v>0</v>
      </c>
      <c r="AK259" s="164">
        <f t="shared" si="407"/>
        <v>0</v>
      </c>
      <c r="AL259" s="164">
        <f t="shared" si="407"/>
        <v>0</v>
      </c>
      <c r="AM259" s="164">
        <f t="shared" si="407"/>
        <v>0</v>
      </c>
      <c r="AN259" s="164">
        <f t="shared" si="407"/>
        <v>0</v>
      </c>
      <c r="AO259" s="164">
        <f t="shared" si="407"/>
        <v>0</v>
      </c>
      <c r="AP259" s="164">
        <f t="shared" si="407"/>
        <v>0</v>
      </c>
      <c r="AQ259" s="164">
        <f t="shared" si="407"/>
        <v>0</v>
      </c>
      <c r="AR259" s="164">
        <f t="shared" si="407"/>
        <v>0</v>
      </c>
      <c r="AS259" s="164">
        <f t="shared" si="407"/>
        <v>0</v>
      </c>
      <c r="AT259" s="164">
        <f t="shared" si="407"/>
        <v>0</v>
      </c>
      <c r="AU259" s="164">
        <f t="shared" si="407"/>
        <v>0</v>
      </c>
      <c r="AV259" s="164">
        <f t="shared" si="407"/>
        <v>0</v>
      </c>
      <c r="AW259" s="164">
        <f t="shared" si="407"/>
        <v>0</v>
      </c>
      <c r="AX259" s="164">
        <f t="shared" si="407"/>
        <v>0</v>
      </c>
      <c r="AY259" s="164">
        <f t="shared" si="407"/>
        <v>0</v>
      </c>
      <c r="AZ259" s="164">
        <f t="shared" si="407"/>
        <v>0</v>
      </c>
      <c r="BA259" s="164">
        <f t="shared" si="407"/>
        <v>0</v>
      </c>
      <c r="BB259" s="164">
        <f t="shared" si="407"/>
        <v>0</v>
      </c>
      <c r="BC259" s="164">
        <f t="shared" si="407"/>
        <v>0</v>
      </c>
      <c r="BD259" s="164">
        <f t="shared" si="407"/>
        <v>0</v>
      </c>
      <c r="BE259" s="164">
        <f t="shared" si="407"/>
        <v>0</v>
      </c>
      <c r="BF259" s="164">
        <f t="shared" si="407"/>
        <v>0</v>
      </c>
      <c r="BG259" s="164">
        <f t="shared" si="407"/>
        <v>0</v>
      </c>
      <c r="BH259" s="164">
        <f t="shared" si="407"/>
        <v>0</v>
      </c>
      <c r="BI259" s="164">
        <f t="shared" si="407"/>
        <v>0</v>
      </c>
      <c r="BJ259" s="164">
        <f t="shared" si="407"/>
        <v>0</v>
      </c>
      <c r="BK259" s="33">
        <f t="shared" si="407"/>
        <v>0</v>
      </c>
    </row>
    <row r="260" spans="9:63">
      <c r="I260" s="31">
        <v>68</v>
      </c>
      <c r="L260" s="225">
        <f t="shared" si="405"/>
        <v>0</v>
      </c>
      <c r="M260" s="164">
        <f t="shared" ref="M260:BK260" si="408">LOOKUP(M147,$K$56:$BK$56,$K$60:$BK$60)</f>
        <v>0</v>
      </c>
      <c r="N260" s="164">
        <f t="shared" si="408"/>
        <v>0</v>
      </c>
      <c r="O260" s="164">
        <f t="shared" si="408"/>
        <v>0</v>
      </c>
      <c r="P260" s="164">
        <f t="shared" si="408"/>
        <v>0</v>
      </c>
      <c r="Q260" s="164">
        <f t="shared" si="408"/>
        <v>0</v>
      </c>
      <c r="R260" s="164">
        <f t="shared" si="408"/>
        <v>0</v>
      </c>
      <c r="S260" s="164">
        <f t="shared" si="408"/>
        <v>0</v>
      </c>
      <c r="T260" s="164">
        <f t="shared" si="408"/>
        <v>0</v>
      </c>
      <c r="U260" s="164">
        <f t="shared" si="408"/>
        <v>0</v>
      </c>
      <c r="V260" s="164">
        <f t="shared" si="408"/>
        <v>0</v>
      </c>
      <c r="W260" s="164">
        <f t="shared" si="408"/>
        <v>0</v>
      </c>
      <c r="X260" s="164">
        <f t="shared" si="408"/>
        <v>0</v>
      </c>
      <c r="Y260" s="164">
        <f t="shared" si="408"/>
        <v>0</v>
      </c>
      <c r="Z260" s="164">
        <f t="shared" si="408"/>
        <v>0</v>
      </c>
      <c r="AA260" s="164">
        <f t="shared" si="408"/>
        <v>0</v>
      </c>
      <c r="AB260" s="164">
        <f t="shared" si="408"/>
        <v>0</v>
      </c>
      <c r="AC260" s="164">
        <f t="shared" si="408"/>
        <v>0</v>
      </c>
      <c r="AD260" s="164">
        <f t="shared" si="408"/>
        <v>0</v>
      </c>
      <c r="AE260" s="164">
        <f t="shared" si="408"/>
        <v>0</v>
      </c>
      <c r="AF260" s="164">
        <f t="shared" si="408"/>
        <v>0</v>
      </c>
      <c r="AG260" s="164">
        <f t="shared" si="408"/>
        <v>0</v>
      </c>
      <c r="AH260" s="164">
        <f t="shared" si="408"/>
        <v>0</v>
      </c>
      <c r="AI260" s="164">
        <f t="shared" si="408"/>
        <v>0</v>
      </c>
      <c r="AJ260" s="164">
        <f t="shared" si="408"/>
        <v>0</v>
      </c>
      <c r="AK260" s="164">
        <f t="shared" si="408"/>
        <v>0</v>
      </c>
      <c r="AL260" s="164">
        <f t="shared" si="408"/>
        <v>0</v>
      </c>
      <c r="AM260" s="164">
        <f t="shared" si="408"/>
        <v>0</v>
      </c>
      <c r="AN260" s="164">
        <f t="shared" si="408"/>
        <v>0</v>
      </c>
      <c r="AO260" s="164">
        <f t="shared" si="408"/>
        <v>0</v>
      </c>
      <c r="AP260" s="164">
        <f t="shared" si="408"/>
        <v>0</v>
      </c>
      <c r="AQ260" s="164">
        <f t="shared" si="408"/>
        <v>0</v>
      </c>
      <c r="AR260" s="164">
        <f t="shared" si="408"/>
        <v>0</v>
      </c>
      <c r="AS260" s="164">
        <f t="shared" si="408"/>
        <v>0</v>
      </c>
      <c r="AT260" s="164">
        <f t="shared" si="408"/>
        <v>0</v>
      </c>
      <c r="AU260" s="164">
        <f t="shared" si="408"/>
        <v>0</v>
      </c>
      <c r="AV260" s="164">
        <f t="shared" si="408"/>
        <v>0</v>
      </c>
      <c r="AW260" s="164">
        <f t="shared" si="408"/>
        <v>0</v>
      </c>
      <c r="AX260" s="164">
        <f t="shared" si="408"/>
        <v>0</v>
      </c>
      <c r="AY260" s="164">
        <f t="shared" si="408"/>
        <v>0</v>
      </c>
      <c r="AZ260" s="164">
        <f t="shared" si="408"/>
        <v>0</v>
      </c>
      <c r="BA260" s="164">
        <f t="shared" si="408"/>
        <v>0</v>
      </c>
      <c r="BB260" s="164">
        <f t="shared" si="408"/>
        <v>0</v>
      </c>
      <c r="BC260" s="164">
        <f t="shared" si="408"/>
        <v>0</v>
      </c>
      <c r="BD260" s="164">
        <f t="shared" si="408"/>
        <v>0</v>
      </c>
      <c r="BE260" s="164">
        <f t="shared" si="408"/>
        <v>0</v>
      </c>
      <c r="BF260" s="164">
        <f t="shared" si="408"/>
        <v>0</v>
      </c>
      <c r="BG260" s="164">
        <f t="shared" si="408"/>
        <v>0</v>
      </c>
      <c r="BH260" s="164">
        <f t="shared" si="408"/>
        <v>0</v>
      </c>
      <c r="BI260" s="164">
        <f t="shared" si="408"/>
        <v>0</v>
      </c>
      <c r="BJ260" s="164">
        <f t="shared" si="408"/>
        <v>0</v>
      </c>
      <c r="BK260" s="33">
        <f t="shared" si="408"/>
        <v>0</v>
      </c>
    </row>
    <row r="261" spans="9:63">
      <c r="I261" s="31">
        <v>69</v>
      </c>
      <c r="L261" s="225">
        <f t="shared" si="405"/>
        <v>0</v>
      </c>
      <c r="M261" s="164">
        <f t="shared" ref="M261:BK261" si="409">LOOKUP(M148,$K$56:$BK$56,$K$60:$BK$60)</f>
        <v>0</v>
      </c>
      <c r="N261" s="164">
        <f t="shared" si="409"/>
        <v>0</v>
      </c>
      <c r="O261" s="164">
        <f t="shared" si="409"/>
        <v>0</v>
      </c>
      <c r="P261" s="164">
        <f t="shared" si="409"/>
        <v>0</v>
      </c>
      <c r="Q261" s="164">
        <f t="shared" si="409"/>
        <v>0</v>
      </c>
      <c r="R261" s="164">
        <f t="shared" si="409"/>
        <v>0</v>
      </c>
      <c r="S261" s="164">
        <f t="shared" si="409"/>
        <v>0</v>
      </c>
      <c r="T261" s="164">
        <f t="shared" si="409"/>
        <v>0</v>
      </c>
      <c r="U261" s="164">
        <f t="shared" si="409"/>
        <v>0</v>
      </c>
      <c r="V261" s="164">
        <f t="shared" si="409"/>
        <v>0</v>
      </c>
      <c r="W261" s="164">
        <f t="shared" si="409"/>
        <v>0</v>
      </c>
      <c r="X261" s="164">
        <f t="shared" si="409"/>
        <v>0</v>
      </c>
      <c r="Y261" s="164">
        <f t="shared" si="409"/>
        <v>0</v>
      </c>
      <c r="Z261" s="164">
        <f t="shared" si="409"/>
        <v>0</v>
      </c>
      <c r="AA261" s="164">
        <f t="shared" si="409"/>
        <v>0</v>
      </c>
      <c r="AB261" s="164">
        <f t="shared" si="409"/>
        <v>0</v>
      </c>
      <c r="AC261" s="164">
        <f t="shared" si="409"/>
        <v>0</v>
      </c>
      <c r="AD261" s="164">
        <f t="shared" si="409"/>
        <v>0</v>
      </c>
      <c r="AE261" s="164">
        <f t="shared" si="409"/>
        <v>0</v>
      </c>
      <c r="AF261" s="164">
        <f t="shared" si="409"/>
        <v>0</v>
      </c>
      <c r="AG261" s="164">
        <f t="shared" si="409"/>
        <v>0</v>
      </c>
      <c r="AH261" s="164">
        <f t="shared" si="409"/>
        <v>0</v>
      </c>
      <c r="AI261" s="164">
        <f t="shared" si="409"/>
        <v>0</v>
      </c>
      <c r="AJ261" s="164">
        <f t="shared" si="409"/>
        <v>0</v>
      </c>
      <c r="AK261" s="164">
        <f t="shared" si="409"/>
        <v>0</v>
      </c>
      <c r="AL261" s="164">
        <f t="shared" si="409"/>
        <v>0</v>
      </c>
      <c r="AM261" s="164">
        <f t="shared" si="409"/>
        <v>0</v>
      </c>
      <c r="AN261" s="164">
        <f t="shared" si="409"/>
        <v>0</v>
      </c>
      <c r="AO261" s="164">
        <f t="shared" si="409"/>
        <v>0</v>
      </c>
      <c r="AP261" s="164">
        <f t="shared" si="409"/>
        <v>0</v>
      </c>
      <c r="AQ261" s="164">
        <f t="shared" si="409"/>
        <v>0</v>
      </c>
      <c r="AR261" s="164">
        <f t="shared" si="409"/>
        <v>0</v>
      </c>
      <c r="AS261" s="164">
        <f t="shared" si="409"/>
        <v>0</v>
      </c>
      <c r="AT261" s="164">
        <f t="shared" si="409"/>
        <v>0</v>
      </c>
      <c r="AU261" s="164">
        <f t="shared" si="409"/>
        <v>0</v>
      </c>
      <c r="AV261" s="164">
        <f t="shared" si="409"/>
        <v>0</v>
      </c>
      <c r="AW261" s="164">
        <f t="shared" si="409"/>
        <v>0</v>
      </c>
      <c r="AX261" s="164">
        <f t="shared" si="409"/>
        <v>0</v>
      </c>
      <c r="AY261" s="164">
        <f t="shared" si="409"/>
        <v>0</v>
      </c>
      <c r="AZ261" s="164">
        <f t="shared" si="409"/>
        <v>0</v>
      </c>
      <c r="BA261" s="164">
        <f t="shared" si="409"/>
        <v>0</v>
      </c>
      <c r="BB261" s="164">
        <f t="shared" si="409"/>
        <v>0</v>
      </c>
      <c r="BC261" s="164">
        <f t="shared" si="409"/>
        <v>0</v>
      </c>
      <c r="BD261" s="164">
        <f t="shared" si="409"/>
        <v>0</v>
      </c>
      <c r="BE261" s="164">
        <f t="shared" si="409"/>
        <v>0</v>
      </c>
      <c r="BF261" s="164">
        <f t="shared" si="409"/>
        <v>0</v>
      </c>
      <c r="BG261" s="164">
        <f t="shared" si="409"/>
        <v>0</v>
      </c>
      <c r="BH261" s="164">
        <f t="shared" si="409"/>
        <v>0</v>
      </c>
      <c r="BI261" s="164">
        <f t="shared" si="409"/>
        <v>0</v>
      </c>
      <c r="BJ261" s="164">
        <f t="shared" si="409"/>
        <v>0</v>
      </c>
      <c r="BK261" s="33">
        <f t="shared" si="409"/>
        <v>0</v>
      </c>
    </row>
    <row r="262" spans="9:63">
      <c r="I262" s="31">
        <v>70</v>
      </c>
      <c r="L262" s="225">
        <f t="shared" si="405"/>
        <v>0</v>
      </c>
      <c r="M262" s="164">
        <f t="shared" ref="M262:BK262" si="410">LOOKUP(M149,$K$56:$BK$56,$K$60:$BK$60)</f>
        <v>0</v>
      </c>
      <c r="N262" s="164">
        <f t="shared" si="410"/>
        <v>0</v>
      </c>
      <c r="O262" s="164">
        <f t="shared" si="410"/>
        <v>0</v>
      </c>
      <c r="P262" s="164">
        <f t="shared" si="410"/>
        <v>0</v>
      </c>
      <c r="Q262" s="164">
        <f t="shared" si="410"/>
        <v>0</v>
      </c>
      <c r="R262" s="164">
        <f t="shared" si="410"/>
        <v>0</v>
      </c>
      <c r="S262" s="164">
        <f t="shared" si="410"/>
        <v>0</v>
      </c>
      <c r="T262" s="164">
        <f t="shared" si="410"/>
        <v>0</v>
      </c>
      <c r="U262" s="164">
        <f t="shared" si="410"/>
        <v>0</v>
      </c>
      <c r="V262" s="164">
        <f t="shared" si="410"/>
        <v>0</v>
      </c>
      <c r="W262" s="164">
        <f t="shared" si="410"/>
        <v>0</v>
      </c>
      <c r="X262" s="164">
        <f t="shared" si="410"/>
        <v>0</v>
      </c>
      <c r="Y262" s="164">
        <f t="shared" si="410"/>
        <v>0</v>
      </c>
      <c r="Z262" s="164">
        <f t="shared" si="410"/>
        <v>0</v>
      </c>
      <c r="AA262" s="164">
        <f t="shared" si="410"/>
        <v>0</v>
      </c>
      <c r="AB262" s="164">
        <f t="shared" si="410"/>
        <v>0</v>
      </c>
      <c r="AC262" s="164">
        <f t="shared" si="410"/>
        <v>0</v>
      </c>
      <c r="AD262" s="164">
        <f t="shared" si="410"/>
        <v>0</v>
      </c>
      <c r="AE262" s="164">
        <f t="shared" si="410"/>
        <v>0</v>
      </c>
      <c r="AF262" s="164">
        <f t="shared" si="410"/>
        <v>0</v>
      </c>
      <c r="AG262" s="164">
        <f t="shared" si="410"/>
        <v>0</v>
      </c>
      <c r="AH262" s="164">
        <f t="shared" si="410"/>
        <v>0</v>
      </c>
      <c r="AI262" s="164">
        <f t="shared" si="410"/>
        <v>0</v>
      </c>
      <c r="AJ262" s="164">
        <f t="shared" si="410"/>
        <v>0</v>
      </c>
      <c r="AK262" s="164">
        <f t="shared" si="410"/>
        <v>0</v>
      </c>
      <c r="AL262" s="164">
        <f t="shared" si="410"/>
        <v>0</v>
      </c>
      <c r="AM262" s="164">
        <f t="shared" si="410"/>
        <v>0</v>
      </c>
      <c r="AN262" s="164">
        <f t="shared" si="410"/>
        <v>0</v>
      </c>
      <c r="AO262" s="164">
        <f t="shared" si="410"/>
        <v>0</v>
      </c>
      <c r="AP262" s="164">
        <f t="shared" si="410"/>
        <v>0</v>
      </c>
      <c r="AQ262" s="164">
        <f t="shared" si="410"/>
        <v>0</v>
      </c>
      <c r="AR262" s="164">
        <f t="shared" si="410"/>
        <v>0</v>
      </c>
      <c r="AS262" s="164">
        <f t="shared" si="410"/>
        <v>0</v>
      </c>
      <c r="AT262" s="164">
        <f t="shared" si="410"/>
        <v>0</v>
      </c>
      <c r="AU262" s="164">
        <f t="shared" si="410"/>
        <v>0</v>
      </c>
      <c r="AV262" s="164">
        <f t="shared" si="410"/>
        <v>0</v>
      </c>
      <c r="AW262" s="164">
        <f t="shared" si="410"/>
        <v>0</v>
      </c>
      <c r="AX262" s="164">
        <f t="shared" si="410"/>
        <v>0</v>
      </c>
      <c r="AY262" s="164">
        <f t="shared" si="410"/>
        <v>0</v>
      </c>
      <c r="AZ262" s="164">
        <f t="shared" si="410"/>
        <v>0</v>
      </c>
      <c r="BA262" s="164">
        <f t="shared" si="410"/>
        <v>0</v>
      </c>
      <c r="BB262" s="164">
        <f t="shared" si="410"/>
        <v>0</v>
      </c>
      <c r="BC262" s="164">
        <f t="shared" si="410"/>
        <v>0</v>
      </c>
      <c r="BD262" s="164">
        <f t="shared" si="410"/>
        <v>0</v>
      </c>
      <c r="BE262" s="164">
        <f t="shared" si="410"/>
        <v>0</v>
      </c>
      <c r="BF262" s="164">
        <f t="shared" si="410"/>
        <v>0</v>
      </c>
      <c r="BG262" s="164">
        <f t="shared" si="410"/>
        <v>0</v>
      </c>
      <c r="BH262" s="164">
        <f t="shared" si="410"/>
        <v>0</v>
      </c>
      <c r="BI262" s="164">
        <f t="shared" si="410"/>
        <v>0</v>
      </c>
      <c r="BJ262" s="164">
        <f t="shared" si="410"/>
        <v>0</v>
      </c>
      <c r="BK262" s="33">
        <f t="shared" si="410"/>
        <v>0</v>
      </c>
    </row>
    <row r="263" spans="9:63">
      <c r="I263" s="31">
        <v>71</v>
      </c>
      <c r="L263" s="225">
        <f t="shared" si="405"/>
        <v>0</v>
      </c>
      <c r="M263" s="164">
        <f t="shared" ref="M263:BK263" si="411">LOOKUP(M150,$K$56:$BK$56,$K$60:$BK$60)</f>
        <v>0</v>
      </c>
      <c r="N263" s="164">
        <f t="shared" si="411"/>
        <v>0</v>
      </c>
      <c r="O263" s="164">
        <f t="shared" si="411"/>
        <v>0</v>
      </c>
      <c r="P263" s="164">
        <f t="shared" si="411"/>
        <v>0</v>
      </c>
      <c r="Q263" s="164">
        <f t="shared" si="411"/>
        <v>0</v>
      </c>
      <c r="R263" s="164">
        <f t="shared" si="411"/>
        <v>0</v>
      </c>
      <c r="S263" s="164">
        <f t="shared" si="411"/>
        <v>0</v>
      </c>
      <c r="T263" s="164">
        <f t="shared" si="411"/>
        <v>0</v>
      </c>
      <c r="U263" s="164">
        <f t="shared" si="411"/>
        <v>0</v>
      </c>
      <c r="V263" s="164">
        <f t="shared" si="411"/>
        <v>0</v>
      </c>
      <c r="W263" s="164">
        <f t="shared" si="411"/>
        <v>0</v>
      </c>
      <c r="X263" s="164">
        <f t="shared" si="411"/>
        <v>0</v>
      </c>
      <c r="Y263" s="164">
        <f t="shared" si="411"/>
        <v>0</v>
      </c>
      <c r="Z263" s="164">
        <f t="shared" si="411"/>
        <v>0</v>
      </c>
      <c r="AA263" s="164">
        <f t="shared" si="411"/>
        <v>0</v>
      </c>
      <c r="AB263" s="164">
        <f t="shared" si="411"/>
        <v>0</v>
      </c>
      <c r="AC263" s="164">
        <f t="shared" si="411"/>
        <v>0</v>
      </c>
      <c r="AD263" s="164">
        <f t="shared" si="411"/>
        <v>0</v>
      </c>
      <c r="AE263" s="164">
        <f t="shared" si="411"/>
        <v>0</v>
      </c>
      <c r="AF263" s="164">
        <f t="shared" si="411"/>
        <v>0</v>
      </c>
      <c r="AG263" s="164">
        <f t="shared" si="411"/>
        <v>0</v>
      </c>
      <c r="AH263" s="164">
        <f t="shared" si="411"/>
        <v>0</v>
      </c>
      <c r="AI263" s="164">
        <f t="shared" si="411"/>
        <v>0</v>
      </c>
      <c r="AJ263" s="164">
        <f t="shared" si="411"/>
        <v>0</v>
      </c>
      <c r="AK263" s="164">
        <f t="shared" si="411"/>
        <v>0</v>
      </c>
      <c r="AL263" s="164">
        <f t="shared" si="411"/>
        <v>0</v>
      </c>
      <c r="AM263" s="164">
        <f t="shared" si="411"/>
        <v>0</v>
      </c>
      <c r="AN263" s="164">
        <f t="shared" si="411"/>
        <v>0</v>
      </c>
      <c r="AO263" s="164">
        <f t="shared" si="411"/>
        <v>0</v>
      </c>
      <c r="AP263" s="164">
        <f t="shared" si="411"/>
        <v>0</v>
      </c>
      <c r="AQ263" s="164">
        <f t="shared" si="411"/>
        <v>0</v>
      </c>
      <c r="AR263" s="164">
        <f t="shared" si="411"/>
        <v>0</v>
      </c>
      <c r="AS263" s="164">
        <f t="shared" si="411"/>
        <v>0</v>
      </c>
      <c r="AT263" s="164">
        <f t="shared" si="411"/>
        <v>0</v>
      </c>
      <c r="AU263" s="164">
        <f t="shared" si="411"/>
        <v>0</v>
      </c>
      <c r="AV263" s="164">
        <f t="shared" si="411"/>
        <v>0</v>
      </c>
      <c r="AW263" s="164">
        <f t="shared" si="411"/>
        <v>0</v>
      </c>
      <c r="AX263" s="164">
        <f t="shared" si="411"/>
        <v>0</v>
      </c>
      <c r="AY263" s="164">
        <f t="shared" si="411"/>
        <v>0</v>
      </c>
      <c r="AZ263" s="164">
        <f t="shared" si="411"/>
        <v>0</v>
      </c>
      <c r="BA263" s="164">
        <f t="shared" si="411"/>
        <v>0</v>
      </c>
      <c r="BB263" s="164">
        <f t="shared" si="411"/>
        <v>0</v>
      </c>
      <c r="BC263" s="164">
        <f t="shared" si="411"/>
        <v>0</v>
      </c>
      <c r="BD263" s="164">
        <f t="shared" si="411"/>
        <v>0</v>
      </c>
      <c r="BE263" s="164">
        <f t="shared" si="411"/>
        <v>0</v>
      </c>
      <c r="BF263" s="164">
        <f t="shared" si="411"/>
        <v>0</v>
      </c>
      <c r="BG263" s="164">
        <f t="shared" si="411"/>
        <v>0</v>
      </c>
      <c r="BH263" s="164">
        <f t="shared" si="411"/>
        <v>0</v>
      </c>
      <c r="BI263" s="164">
        <f t="shared" si="411"/>
        <v>0</v>
      </c>
      <c r="BJ263" s="164">
        <f t="shared" si="411"/>
        <v>0</v>
      </c>
      <c r="BK263" s="33">
        <f t="shared" si="411"/>
        <v>0</v>
      </c>
    </row>
    <row r="264" spans="9:63">
      <c r="I264" s="31">
        <v>72</v>
      </c>
      <c r="L264" s="225">
        <f t="shared" si="405"/>
        <v>0</v>
      </c>
      <c r="M264" s="164">
        <f t="shared" ref="M264:BK264" si="412">LOOKUP(M151,$K$56:$BK$56,$K$60:$BK$60)</f>
        <v>0</v>
      </c>
      <c r="N264" s="164">
        <f t="shared" si="412"/>
        <v>0</v>
      </c>
      <c r="O264" s="164">
        <f t="shared" si="412"/>
        <v>0</v>
      </c>
      <c r="P264" s="164">
        <f t="shared" si="412"/>
        <v>0</v>
      </c>
      <c r="Q264" s="164">
        <f t="shared" si="412"/>
        <v>0</v>
      </c>
      <c r="R264" s="164">
        <f t="shared" si="412"/>
        <v>0</v>
      </c>
      <c r="S264" s="164">
        <f t="shared" si="412"/>
        <v>0</v>
      </c>
      <c r="T264" s="164">
        <f t="shared" si="412"/>
        <v>0</v>
      </c>
      <c r="U264" s="164">
        <f t="shared" si="412"/>
        <v>0</v>
      </c>
      <c r="V264" s="164">
        <f t="shared" si="412"/>
        <v>0</v>
      </c>
      <c r="W264" s="164">
        <f t="shared" si="412"/>
        <v>0</v>
      </c>
      <c r="X264" s="164">
        <f t="shared" si="412"/>
        <v>0</v>
      </c>
      <c r="Y264" s="164">
        <f t="shared" si="412"/>
        <v>0</v>
      </c>
      <c r="Z264" s="164">
        <f t="shared" si="412"/>
        <v>0</v>
      </c>
      <c r="AA264" s="164">
        <f t="shared" si="412"/>
        <v>0</v>
      </c>
      <c r="AB264" s="164">
        <f t="shared" si="412"/>
        <v>0</v>
      </c>
      <c r="AC264" s="164">
        <f t="shared" si="412"/>
        <v>0</v>
      </c>
      <c r="AD264" s="164">
        <f t="shared" si="412"/>
        <v>0</v>
      </c>
      <c r="AE264" s="164">
        <f t="shared" si="412"/>
        <v>0</v>
      </c>
      <c r="AF264" s="164">
        <f t="shared" si="412"/>
        <v>0</v>
      </c>
      <c r="AG264" s="164">
        <f t="shared" si="412"/>
        <v>0</v>
      </c>
      <c r="AH264" s="164">
        <f t="shared" si="412"/>
        <v>0</v>
      </c>
      <c r="AI264" s="164">
        <f t="shared" si="412"/>
        <v>0</v>
      </c>
      <c r="AJ264" s="164">
        <f t="shared" si="412"/>
        <v>0</v>
      </c>
      <c r="AK264" s="164">
        <f t="shared" si="412"/>
        <v>0</v>
      </c>
      <c r="AL264" s="164">
        <f t="shared" si="412"/>
        <v>0</v>
      </c>
      <c r="AM264" s="164">
        <f t="shared" si="412"/>
        <v>0</v>
      </c>
      <c r="AN264" s="164">
        <f t="shared" si="412"/>
        <v>0</v>
      </c>
      <c r="AO264" s="164">
        <f t="shared" si="412"/>
        <v>0</v>
      </c>
      <c r="AP264" s="164">
        <f t="shared" si="412"/>
        <v>0</v>
      </c>
      <c r="AQ264" s="164">
        <f t="shared" si="412"/>
        <v>0</v>
      </c>
      <c r="AR264" s="164">
        <f t="shared" si="412"/>
        <v>0</v>
      </c>
      <c r="AS264" s="164">
        <f t="shared" si="412"/>
        <v>0</v>
      </c>
      <c r="AT264" s="164">
        <f t="shared" si="412"/>
        <v>0</v>
      </c>
      <c r="AU264" s="164">
        <f t="shared" si="412"/>
        <v>0</v>
      </c>
      <c r="AV264" s="164">
        <f t="shared" si="412"/>
        <v>0</v>
      </c>
      <c r="AW264" s="164">
        <f t="shared" si="412"/>
        <v>0</v>
      </c>
      <c r="AX264" s="164">
        <f t="shared" si="412"/>
        <v>0</v>
      </c>
      <c r="AY264" s="164">
        <f t="shared" si="412"/>
        <v>0</v>
      </c>
      <c r="AZ264" s="164">
        <f t="shared" si="412"/>
        <v>0</v>
      </c>
      <c r="BA264" s="164">
        <f t="shared" si="412"/>
        <v>0</v>
      </c>
      <c r="BB264" s="164">
        <f t="shared" si="412"/>
        <v>0</v>
      </c>
      <c r="BC264" s="164">
        <f t="shared" si="412"/>
        <v>0</v>
      </c>
      <c r="BD264" s="164">
        <f t="shared" si="412"/>
        <v>0</v>
      </c>
      <c r="BE264" s="164">
        <f t="shared" si="412"/>
        <v>0</v>
      </c>
      <c r="BF264" s="164">
        <f t="shared" si="412"/>
        <v>0</v>
      </c>
      <c r="BG264" s="164">
        <f t="shared" si="412"/>
        <v>0</v>
      </c>
      <c r="BH264" s="164">
        <f t="shared" si="412"/>
        <v>0</v>
      </c>
      <c r="BI264" s="164">
        <f t="shared" si="412"/>
        <v>0</v>
      </c>
      <c r="BJ264" s="164">
        <f t="shared" si="412"/>
        <v>0</v>
      </c>
      <c r="BK264" s="33">
        <f t="shared" si="412"/>
        <v>0</v>
      </c>
    </row>
    <row r="265" spans="9:63">
      <c r="I265" s="31">
        <v>73</v>
      </c>
      <c r="L265" s="225">
        <f t="shared" si="405"/>
        <v>0</v>
      </c>
      <c r="M265" s="164">
        <f t="shared" ref="M265:BK265" si="413">LOOKUP(M152,$K$56:$BK$56,$K$60:$BK$60)</f>
        <v>0</v>
      </c>
      <c r="N265" s="164">
        <f t="shared" si="413"/>
        <v>0</v>
      </c>
      <c r="O265" s="164">
        <f t="shared" si="413"/>
        <v>0</v>
      </c>
      <c r="P265" s="164">
        <f t="shared" si="413"/>
        <v>0</v>
      </c>
      <c r="Q265" s="164">
        <f t="shared" si="413"/>
        <v>0</v>
      </c>
      <c r="R265" s="164">
        <f t="shared" si="413"/>
        <v>0</v>
      </c>
      <c r="S265" s="164">
        <f t="shared" si="413"/>
        <v>0</v>
      </c>
      <c r="T265" s="164">
        <f t="shared" si="413"/>
        <v>0</v>
      </c>
      <c r="U265" s="164">
        <f t="shared" si="413"/>
        <v>0</v>
      </c>
      <c r="V265" s="164">
        <f t="shared" si="413"/>
        <v>0</v>
      </c>
      <c r="W265" s="164">
        <f t="shared" si="413"/>
        <v>0</v>
      </c>
      <c r="X265" s="164">
        <f t="shared" si="413"/>
        <v>0</v>
      </c>
      <c r="Y265" s="164">
        <f t="shared" si="413"/>
        <v>0</v>
      </c>
      <c r="Z265" s="164">
        <f t="shared" si="413"/>
        <v>0</v>
      </c>
      <c r="AA265" s="164">
        <f t="shared" si="413"/>
        <v>0</v>
      </c>
      <c r="AB265" s="164">
        <f t="shared" si="413"/>
        <v>0</v>
      </c>
      <c r="AC265" s="164">
        <f t="shared" si="413"/>
        <v>0</v>
      </c>
      <c r="AD265" s="164">
        <f t="shared" si="413"/>
        <v>0</v>
      </c>
      <c r="AE265" s="164">
        <f t="shared" si="413"/>
        <v>0</v>
      </c>
      <c r="AF265" s="164">
        <f t="shared" si="413"/>
        <v>0</v>
      </c>
      <c r="AG265" s="164">
        <f t="shared" si="413"/>
        <v>0</v>
      </c>
      <c r="AH265" s="164">
        <f t="shared" si="413"/>
        <v>0</v>
      </c>
      <c r="AI265" s="164">
        <f t="shared" si="413"/>
        <v>0</v>
      </c>
      <c r="AJ265" s="164">
        <f t="shared" si="413"/>
        <v>0</v>
      </c>
      <c r="AK265" s="164">
        <f t="shared" si="413"/>
        <v>0</v>
      </c>
      <c r="AL265" s="164">
        <f t="shared" si="413"/>
        <v>0</v>
      </c>
      <c r="AM265" s="164">
        <f t="shared" si="413"/>
        <v>0</v>
      </c>
      <c r="AN265" s="164">
        <f t="shared" si="413"/>
        <v>0</v>
      </c>
      <c r="AO265" s="164">
        <f t="shared" si="413"/>
        <v>0</v>
      </c>
      <c r="AP265" s="164">
        <f t="shared" si="413"/>
        <v>0</v>
      </c>
      <c r="AQ265" s="164">
        <f t="shared" si="413"/>
        <v>0</v>
      </c>
      <c r="AR265" s="164">
        <f t="shared" si="413"/>
        <v>0</v>
      </c>
      <c r="AS265" s="164">
        <f t="shared" si="413"/>
        <v>0</v>
      </c>
      <c r="AT265" s="164">
        <f t="shared" si="413"/>
        <v>0</v>
      </c>
      <c r="AU265" s="164">
        <f t="shared" si="413"/>
        <v>0</v>
      </c>
      <c r="AV265" s="164">
        <f t="shared" si="413"/>
        <v>0</v>
      </c>
      <c r="AW265" s="164">
        <f t="shared" si="413"/>
        <v>0</v>
      </c>
      <c r="AX265" s="164">
        <f t="shared" si="413"/>
        <v>0</v>
      </c>
      <c r="AY265" s="164">
        <f t="shared" si="413"/>
        <v>0</v>
      </c>
      <c r="AZ265" s="164">
        <f t="shared" si="413"/>
        <v>0</v>
      </c>
      <c r="BA265" s="164">
        <f t="shared" si="413"/>
        <v>0</v>
      </c>
      <c r="BB265" s="164">
        <f t="shared" si="413"/>
        <v>0</v>
      </c>
      <c r="BC265" s="164">
        <f t="shared" si="413"/>
        <v>0</v>
      </c>
      <c r="BD265" s="164">
        <f t="shared" si="413"/>
        <v>0</v>
      </c>
      <c r="BE265" s="164">
        <f t="shared" si="413"/>
        <v>0</v>
      </c>
      <c r="BF265" s="164">
        <f t="shared" si="413"/>
        <v>0</v>
      </c>
      <c r="BG265" s="164">
        <f t="shared" si="413"/>
        <v>0</v>
      </c>
      <c r="BH265" s="164">
        <f t="shared" si="413"/>
        <v>0</v>
      </c>
      <c r="BI265" s="164">
        <f t="shared" si="413"/>
        <v>0</v>
      </c>
      <c r="BJ265" s="164">
        <f t="shared" si="413"/>
        <v>0</v>
      </c>
      <c r="BK265" s="33">
        <f t="shared" si="413"/>
        <v>0</v>
      </c>
    </row>
    <row r="266" spans="9:63">
      <c r="I266" s="31">
        <v>74</v>
      </c>
      <c r="L266" s="225">
        <f t="shared" si="405"/>
        <v>0</v>
      </c>
      <c r="M266" s="164">
        <f t="shared" ref="M266:BK266" si="414">LOOKUP(M153,$K$56:$BK$56,$K$60:$BK$60)</f>
        <v>0</v>
      </c>
      <c r="N266" s="164">
        <f t="shared" si="414"/>
        <v>0</v>
      </c>
      <c r="O266" s="164">
        <f t="shared" si="414"/>
        <v>0</v>
      </c>
      <c r="P266" s="164">
        <f t="shared" si="414"/>
        <v>0</v>
      </c>
      <c r="Q266" s="164">
        <f t="shared" si="414"/>
        <v>0</v>
      </c>
      <c r="R266" s="164">
        <f t="shared" si="414"/>
        <v>0</v>
      </c>
      <c r="S266" s="164">
        <f t="shared" si="414"/>
        <v>0</v>
      </c>
      <c r="T266" s="164">
        <f t="shared" si="414"/>
        <v>0</v>
      </c>
      <c r="U266" s="164">
        <f t="shared" si="414"/>
        <v>0</v>
      </c>
      <c r="V266" s="164">
        <f t="shared" si="414"/>
        <v>0</v>
      </c>
      <c r="W266" s="164">
        <f t="shared" si="414"/>
        <v>0</v>
      </c>
      <c r="X266" s="164">
        <f t="shared" si="414"/>
        <v>0</v>
      </c>
      <c r="Y266" s="164">
        <f t="shared" si="414"/>
        <v>0</v>
      </c>
      <c r="Z266" s="164">
        <f t="shared" si="414"/>
        <v>0</v>
      </c>
      <c r="AA266" s="164">
        <f t="shared" si="414"/>
        <v>0</v>
      </c>
      <c r="AB266" s="164">
        <f t="shared" si="414"/>
        <v>0</v>
      </c>
      <c r="AC266" s="164">
        <f t="shared" si="414"/>
        <v>0</v>
      </c>
      <c r="AD266" s="164">
        <f t="shared" si="414"/>
        <v>0</v>
      </c>
      <c r="AE266" s="164">
        <f t="shared" si="414"/>
        <v>0</v>
      </c>
      <c r="AF266" s="164">
        <f t="shared" si="414"/>
        <v>0</v>
      </c>
      <c r="AG266" s="164">
        <f t="shared" si="414"/>
        <v>0</v>
      </c>
      <c r="AH266" s="164">
        <f t="shared" si="414"/>
        <v>0</v>
      </c>
      <c r="AI266" s="164">
        <f t="shared" si="414"/>
        <v>0</v>
      </c>
      <c r="AJ266" s="164">
        <f t="shared" si="414"/>
        <v>0</v>
      </c>
      <c r="AK266" s="164">
        <f t="shared" si="414"/>
        <v>0</v>
      </c>
      <c r="AL266" s="164">
        <f t="shared" si="414"/>
        <v>0</v>
      </c>
      <c r="AM266" s="164">
        <f t="shared" si="414"/>
        <v>0</v>
      </c>
      <c r="AN266" s="164">
        <f t="shared" si="414"/>
        <v>0</v>
      </c>
      <c r="AO266" s="164">
        <f t="shared" si="414"/>
        <v>0</v>
      </c>
      <c r="AP266" s="164">
        <f t="shared" si="414"/>
        <v>0</v>
      </c>
      <c r="AQ266" s="164">
        <f t="shared" si="414"/>
        <v>0</v>
      </c>
      <c r="AR266" s="164">
        <f t="shared" si="414"/>
        <v>0</v>
      </c>
      <c r="AS266" s="164">
        <f t="shared" si="414"/>
        <v>0</v>
      </c>
      <c r="AT266" s="164">
        <f t="shared" si="414"/>
        <v>0</v>
      </c>
      <c r="AU266" s="164">
        <f t="shared" si="414"/>
        <v>0</v>
      </c>
      <c r="AV266" s="164">
        <f t="shared" si="414"/>
        <v>0</v>
      </c>
      <c r="AW266" s="164">
        <f t="shared" si="414"/>
        <v>0</v>
      </c>
      <c r="AX266" s="164">
        <f t="shared" si="414"/>
        <v>0</v>
      </c>
      <c r="AY266" s="164">
        <f t="shared" si="414"/>
        <v>0</v>
      </c>
      <c r="AZ266" s="164">
        <f t="shared" si="414"/>
        <v>0</v>
      </c>
      <c r="BA266" s="164">
        <f t="shared" si="414"/>
        <v>0</v>
      </c>
      <c r="BB266" s="164">
        <f t="shared" si="414"/>
        <v>0</v>
      </c>
      <c r="BC266" s="164">
        <f t="shared" si="414"/>
        <v>0</v>
      </c>
      <c r="BD266" s="164">
        <f t="shared" si="414"/>
        <v>0</v>
      </c>
      <c r="BE266" s="164">
        <f t="shared" si="414"/>
        <v>0</v>
      </c>
      <c r="BF266" s="164">
        <f t="shared" si="414"/>
        <v>0</v>
      </c>
      <c r="BG266" s="164">
        <f t="shared" si="414"/>
        <v>0</v>
      </c>
      <c r="BH266" s="164">
        <f t="shared" si="414"/>
        <v>0</v>
      </c>
      <c r="BI266" s="164">
        <f t="shared" si="414"/>
        <v>0</v>
      </c>
      <c r="BJ266" s="164">
        <f t="shared" si="414"/>
        <v>0</v>
      </c>
      <c r="BK266" s="33">
        <f t="shared" si="414"/>
        <v>0</v>
      </c>
    </row>
    <row r="267" spans="9:63">
      <c r="I267" s="31">
        <v>75</v>
      </c>
      <c r="L267" s="225">
        <f t="shared" si="405"/>
        <v>0</v>
      </c>
      <c r="M267" s="164">
        <f t="shared" ref="M267:BK267" si="415">LOOKUP(M154,$K$56:$BK$56,$K$60:$BK$60)</f>
        <v>0</v>
      </c>
      <c r="N267" s="164">
        <f t="shared" si="415"/>
        <v>0</v>
      </c>
      <c r="O267" s="164">
        <f t="shared" si="415"/>
        <v>0</v>
      </c>
      <c r="P267" s="164">
        <f t="shared" si="415"/>
        <v>0</v>
      </c>
      <c r="Q267" s="164">
        <f t="shared" si="415"/>
        <v>0</v>
      </c>
      <c r="R267" s="164">
        <f t="shared" si="415"/>
        <v>0</v>
      </c>
      <c r="S267" s="164">
        <f t="shared" si="415"/>
        <v>0</v>
      </c>
      <c r="T267" s="164">
        <f t="shared" si="415"/>
        <v>0</v>
      </c>
      <c r="U267" s="164">
        <f t="shared" si="415"/>
        <v>0</v>
      </c>
      <c r="V267" s="164">
        <f t="shared" si="415"/>
        <v>0</v>
      </c>
      <c r="W267" s="164">
        <f t="shared" si="415"/>
        <v>0</v>
      </c>
      <c r="X267" s="164">
        <f t="shared" si="415"/>
        <v>0</v>
      </c>
      <c r="Y267" s="164">
        <f t="shared" si="415"/>
        <v>0</v>
      </c>
      <c r="Z267" s="164">
        <f t="shared" si="415"/>
        <v>0</v>
      </c>
      <c r="AA267" s="164">
        <f t="shared" si="415"/>
        <v>0</v>
      </c>
      <c r="AB267" s="164">
        <f t="shared" si="415"/>
        <v>0</v>
      </c>
      <c r="AC267" s="164">
        <f t="shared" si="415"/>
        <v>0</v>
      </c>
      <c r="AD267" s="164">
        <f t="shared" si="415"/>
        <v>0</v>
      </c>
      <c r="AE267" s="164">
        <f t="shared" si="415"/>
        <v>0</v>
      </c>
      <c r="AF267" s="164">
        <f t="shared" si="415"/>
        <v>0</v>
      </c>
      <c r="AG267" s="164">
        <f t="shared" si="415"/>
        <v>0</v>
      </c>
      <c r="AH267" s="164">
        <f t="shared" si="415"/>
        <v>0</v>
      </c>
      <c r="AI267" s="164">
        <f t="shared" si="415"/>
        <v>0</v>
      </c>
      <c r="AJ267" s="164">
        <f t="shared" si="415"/>
        <v>0</v>
      </c>
      <c r="AK267" s="164">
        <f t="shared" si="415"/>
        <v>0</v>
      </c>
      <c r="AL267" s="164">
        <f t="shared" si="415"/>
        <v>0</v>
      </c>
      <c r="AM267" s="164">
        <f t="shared" si="415"/>
        <v>0</v>
      </c>
      <c r="AN267" s="164">
        <f t="shared" si="415"/>
        <v>0</v>
      </c>
      <c r="AO267" s="164">
        <f t="shared" si="415"/>
        <v>0</v>
      </c>
      <c r="AP267" s="164">
        <f t="shared" si="415"/>
        <v>0</v>
      </c>
      <c r="AQ267" s="164">
        <f t="shared" si="415"/>
        <v>0</v>
      </c>
      <c r="AR267" s="164">
        <f t="shared" si="415"/>
        <v>0</v>
      </c>
      <c r="AS267" s="164">
        <f t="shared" si="415"/>
        <v>0</v>
      </c>
      <c r="AT267" s="164">
        <f t="shared" si="415"/>
        <v>0</v>
      </c>
      <c r="AU267" s="164">
        <f t="shared" si="415"/>
        <v>0</v>
      </c>
      <c r="AV267" s="164">
        <f t="shared" si="415"/>
        <v>0</v>
      </c>
      <c r="AW267" s="164">
        <f t="shared" si="415"/>
        <v>0</v>
      </c>
      <c r="AX267" s="164">
        <f t="shared" si="415"/>
        <v>0</v>
      </c>
      <c r="AY267" s="164">
        <f t="shared" si="415"/>
        <v>0</v>
      </c>
      <c r="AZ267" s="164">
        <f t="shared" si="415"/>
        <v>0</v>
      </c>
      <c r="BA267" s="164">
        <f t="shared" si="415"/>
        <v>0</v>
      </c>
      <c r="BB267" s="164">
        <f t="shared" si="415"/>
        <v>0</v>
      </c>
      <c r="BC267" s="164">
        <f t="shared" si="415"/>
        <v>0</v>
      </c>
      <c r="BD267" s="164">
        <f t="shared" si="415"/>
        <v>0</v>
      </c>
      <c r="BE267" s="164">
        <f t="shared" si="415"/>
        <v>0</v>
      </c>
      <c r="BF267" s="164">
        <f t="shared" si="415"/>
        <v>0</v>
      </c>
      <c r="BG267" s="164">
        <f t="shared" si="415"/>
        <v>0</v>
      </c>
      <c r="BH267" s="164">
        <f t="shared" si="415"/>
        <v>0</v>
      </c>
      <c r="BI267" s="164">
        <f t="shared" si="415"/>
        <v>0</v>
      </c>
      <c r="BJ267" s="164">
        <f t="shared" si="415"/>
        <v>0</v>
      </c>
      <c r="BK267" s="33">
        <f t="shared" si="415"/>
        <v>0</v>
      </c>
    </row>
    <row r="268" spans="9:63">
      <c r="I268" s="31">
        <v>76</v>
      </c>
      <c r="L268" s="225">
        <f t="shared" si="405"/>
        <v>0</v>
      </c>
      <c r="M268" s="164">
        <f t="shared" ref="M268:BK268" si="416">LOOKUP(M155,$K$56:$BK$56,$K$60:$BK$60)</f>
        <v>0</v>
      </c>
      <c r="N268" s="164">
        <f t="shared" si="416"/>
        <v>0</v>
      </c>
      <c r="O268" s="164">
        <f t="shared" si="416"/>
        <v>0</v>
      </c>
      <c r="P268" s="164">
        <f t="shared" si="416"/>
        <v>0</v>
      </c>
      <c r="Q268" s="164">
        <f t="shared" si="416"/>
        <v>0</v>
      </c>
      <c r="R268" s="164">
        <f t="shared" si="416"/>
        <v>0</v>
      </c>
      <c r="S268" s="164">
        <f t="shared" si="416"/>
        <v>0</v>
      </c>
      <c r="T268" s="164">
        <f t="shared" si="416"/>
        <v>0</v>
      </c>
      <c r="U268" s="164">
        <f t="shared" si="416"/>
        <v>0</v>
      </c>
      <c r="V268" s="164">
        <f t="shared" si="416"/>
        <v>0</v>
      </c>
      <c r="W268" s="164">
        <f t="shared" si="416"/>
        <v>0</v>
      </c>
      <c r="X268" s="164">
        <f t="shared" si="416"/>
        <v>0</v>
      </c>
      <c r="Y268" s="164">
        <f t="shared" si="416"/>
        <v>0</v>
      </c>
      <c r="Z268" s="164">
        <f t="shared" si="416"/>
        <v>0</v>
      </c>
      <c r="AA268" s="164">
        <f t="shared" si="416"/>
        <v>0</v>
      </c>
      <c r="AB268" s="164">
        <f t="shared" si="416"/>
        <v>0</v>
      </c>
      <c r="AC268" s="164">
        <f t="shared" si="416"/>
        <v>0</v>
      </c>
      <c r="AD268" s="164">
        <f t="shared" si="416"/>
        <v>0</v>
      </c>
      <c r="AE268" s="164">
        <f t="shared" si="416"/>
        <v>0</v>
      </c>
      <c r="AF268" s="164">
        <f t="shared" si="416"/>
        <v>0</v>
      </c>
      <c r="AG268" s="164">
        <f t="shared" si="416"/>
        <v>0</v>
      </c>
      <c r="AH268" s="164">
        <f t="shared" si="416"/>
        <v>0</v>
      </c>
      <c r="AI268" s="164">
        <f t="shared" si="416"/>
        <v>0</v>
      </c>
      <c r="AJ268" s="164">
        <f t="shared" si="416"/>
        <v>0</v>
      </c>
      <c r="AK268" s="164">
        <f t="shared" si="416"/>
        <v>0</v>
      </c>
      <c r="AL268" s="164">
        <f t="shared" si="416"/>
        <v>0</v>
      </c>
      <c r="AM268" s="164">
        <f t="shared" si="416"/>
        <v>0</v>
      </c>
      <c r="AN268" s="164">
        <f t="shared" si="416"/>
        <v>0</v>
      </c>
      <c r="AO268" s="164">
        <f t="shared" si="416"/>
        <v>0</v>
      </c>
      <c r="AP268" s="164">
        <f t="shared" si="416"/>
        <v>0</v>
      </c>
      <c r="AQ268" s="164">
        <f t="shared" si="416"/>
        <v>0</v>
      </c>
      <c r="AR268" s="164">
        <f t="shared" si="416"/>
        <v>0</v>
      </c>
      <c r="AS268" s="164">
        <f t="shared" si="416"/>
        <v>0</v>
      </c>
      <c r="AT268" s="164">
        <f t="shared" si="416"/>
        <v>0</v>
      </c>
      <c r="AU268" s="164">
        <f t="shared" si="416"/>
        <v>0</v>
      </c>
      <c r="AV268" s="164">
        <f t="shared" si="416"/>
        <v>0</v>
      </c>
      <c r="AW268" s="164">
        <f t="shared" si="416"/>
        <v>0</v>
      </c>
      <c r="AX268" s="164">
        <f t="shared" si="416"/>
        <v>0</v>
      </c>
      <c r="AY268" s="164">
        <f t="shared" si="416"/>
        <v>0</v>
      </c>
      <c r="AZ268" s="164">
        <f t="shared" si="416"/>
        <v>0</v>
      </c>
      <c r="BA268" s="164">
        <f t="shared" si="416"/>
        <v>0</v>
      </c>
      <c r="BB268" s="164">
        <f t="shared" si="416"/>
        <v>0</v>
      </c>
      <c r="BC268" s="164">
        <f t="shared" si="416"/>
        <v>0</v>
      </c>
      <c r="BD268" s="164">
        <f t="shared" si="416"/>
        <v>0</v>
      </c>
      <c r="BE268" s="164">
        <f t="shared" si="416"/>
        <v>0</v>
      </c>
      <c r="BF268" s="164">
        <f t="shared" si="416"/>
        <v>0</v>
      </c>
      <c r="BG268" s="164">
        <f t="shared" si="416"/>
        <v>0</v>
      </c>
      <c r="BH268" s="164">
        <f t="shared" si="416"/>
        <v>0</v>
      </c>
      <c r="BI268" s="164">
        <f t="shared" si="416"/>
        <v>0</v>
      </c>
      <c r="BJ268" s="164">
        <f t="shared" si="416"/>
        <v>0</v>
      </c>
      <c r="BK268" s="33">
        <f t="shared" si="416"/>
        <v>0</v>
      </c>
    </row>
    <row r="269" spans="9:63">
      <c r="I269" s="31">
        <v>77</v>
      </c>
      <c r="L269" s="225">
        <f t="shared" si="405"/>
        <v>0</v>
      </c>
      <c r="M269" s="164">
        <f t="shared" ref="M269:BK269" si="417">LOOKUP(M156,$K$56:$BK$56,$K$60:$BK$60)</f>
        <v>0</v>
      </c>
      <c r="N269" s="164">
        <f t="shared" si="417"/>
        <v>0</v>
      </c>
      <c r="O269" s="164">
        <f t="shared" si="417"/>
        <v>0</v>
      </c>
      <c r="P269" s="164">
        <f t="shared" si="417"/>
        <v>0</v>
      </c>
      <c r="Q269" s="164">
        <f t="shared" si="417"/>
        <v>0</v>
      </c>
      <c r="R269" s="164">
        <f t="shared" si="417"/>
        <v>0</v>
      </c>
      <c r="S269" s="164">
        <f t="shared" si="417"/>
        <v>0</v>
      </c>
      <c r="T269" s="164">
        <f t="shared" si="417"/>
        <v>0</v>
      </c>
      <c r="U269" s="164">
        <f t="shared" si="417"/>
        <v>0</v>
      </c>
      <c r="V269" s="164">
        <f t="shared" si="417"/>
        <v>0</v>
      </c>
      <c r="W269" s="164">
        <f t="shared" si="417"/>
        <v>0</v>
      </c>
      <c r="X269" s="164">
        <f t="shared" si="417"/>
        <v>0</v>
      </c>
      <c r="Y269" s="164">
        <f t="shared" si="417"/>
        <v>0</v>
      </c>
      <c r="Z269" s="164">
        <f t="shared" si="417"/>
        <v>0</v>
      </c>
      <c r="AA269" s="164">
        <f t="shared" si="417"/>
        <v>0</v>
      </c>
      <c r="AB269" s="164">
        <f t="shared" si="417"/>
        <v>0</v>
      </c>
      <c r="AC269" s="164">
        <f t="shared" si="417"/>
        <v>0</v>
      </c>
      <c r="AD269" s="164">
        <f t="shared" si="417"/>
        <v>0</v>
      </c>
      <c r="AE269" s="164">
        <f t="shared" si="417"/>
        <v>0</v>
      </c>
      <c r="AF269" s="164">
        <f t="shared" si="417"/>
        <v>0</v>
      </c>
      <c r="AG269" s="164">
        <f t="shared" si="417"/>
        <v>0</v>
      </c>
      <c r="AH269" s="164">
        <f t="shared" si="417"/>
        <v>0</v>
      </c>
      <c r="AI269" s="164">
        <f t="shared" si="417"/>
        <v>0</v>
      </c>
      <c r="AJ269" s="164">
        <f t="shared" si="417"/>
        <v>0</v>
      </c>
      <c r="AK269" s="164">
        <f t="shared" si="417"/>
        <v>0</v>
      </c>
      <c r="AL269" s="164">
        <f t="shared" si="417"/>
        <v>0</v>
      </c>
      <c r="AM269" s="164">
        <f t="shared" si="417"/>
        <v>0</v>
      </c>
      <c r="AN269" s="164">
        <f t="shared" si="417"/>
        <v>0</v>
      </c>
      <c r="AO269" s="164">
        <f t="shared" si="417"/>
        <v>0</v>
      </c>
      <c r="AP269" s="164">
        <f t="shared" si="417"/>
        <v>0</v>
      </c>
      <c r="AQ269" s="164">
        <f t="shared" si="417"/>
        <v>0</v>
      </c>
      <c r="AR269" s="164">
        <f t="shared" si="417"/>
        <v>0</v>
      </c>
      <c r="AS269" s="164">
        <f t="shared" si="417"/>
        <v>0</v>
      </c>
      <c r="AT269" s="164">
        <f t="shared" si="417"/>
        <v>0</v>
      </c>
      <c r="AU269" s="164">
        <f t="shared" si="417"/>
        <v>0</v>
      </c>
      <c r="AV269" s="164">
        <f t="shared" si="417"/>
        <v>0</v>
      </c>
      <c r="AW269" s="164">
        <f t="shared" si="417"/>
        <v>0</v>
      </c>
      <c r="AX269" s="164">
        <f t="shared" si="417"/>
        <v>0</v>
      </c>
      <c r="AY269" s="164">
        <f t="shared" si="417"/>
        <v>0</v>
      </c>
      <c r="AZ269" s="164">
        <f t="shared" si="417"/>
        <v>0</v>
      </c>
      <c r="BA269" s="164">
        <f t="shared" si="417"/>
        <v>0</v>
      </c>
      <c r="BB269" s="164">
        <f t="shared" si="417"/>
        <v>0</v>
      </c>
      <c r="BC269" s="164">
        <f t="shared" si="417"/>
        <v>0</v>
      </c>
      <c r="BD269" s="164">
        <f t="shared" si="417"/>
        <v>0</v>
      </c>
      <c r="BE269" s="164">
        <f t="shared" si="417"/>
        <v>0</v>
      </c>
      <c r="BF269" s="164">
        <f t="shared" si="417"/>
        <v>0</v>
      </c>
      <c r="BG269" s="164">
        <f t="shared" si="417"/>
        <v>0</v>
      </c>
      <c r="BH269" s="164">
        <f t="shared" si="417"/>
        <v>0</v>
      </c>
      <c r="BI269" s="164">
        <f t="shared" si="417"/>
        <v>0</v>
      </c>
      <c r="BJ269" s="164">
        <f t="shared" si="417"/>
        <v>0</v>
      </c>
      <c r="BK269" s="33">
        <f t="shared" si="417"/>
        <v>0</v>
      </c>
    </row>
    <row r="270" spans="9:63">
      <c r="I270" s="31">
        <v>78</v>
      </c>
      <c r="L270" s="225">
        <f t="shared" si="405"/>
        <v>0</v>
      </c>
      <c r="M270" s="164">
        <f t="shared" ref="M270:BK270" si="418">LOOKUP(M157,$K$56:$BK$56,$K$60:$BK$60)</f>
        <v>0</v>
      </c>
      <c r="N270" s="164">
        <f t="shared" si="418"/>
        <v>0</v>
      </c>
      <c r="O270" s="164">
        <f t="shared" si="418"/>
        <v>0</v>
      </c>
      <c r="P270" s="164">
        <f t="shared" si="418"/>
        <v>0</v>
      </c>
      <c r="Q270" s="164">
        <f t="shared" si="418"/>
        <v>0</v>
      </c>
      <c r="R270" s="164">
        <f t="shared" si="418"/>
        <v>0</v>
      </c>
      <c r="S270" s="164">
        <f t="shared" si="418"/>
        <v>0</v>
      </c>
      <c r="T270" s="164">
        <f t="shared" si="418"/>
        <v>0</v>
      </c>
      <c r="U270" s="164">
        <f t="shared" si="418"/>
        <v>0</v>
      </c>
      <c r="V270" s="164">
        <f t="shared" si="418"/>
        <v>0</v>
      </c>
      <c r="W270" s="164">
        <f t="shared" si="418"/>
        <v>0</v>
      </c>
      <c r="X270" s="164">
        <f t="shared" si="418"/>
        <v>0</v>
      </c>
      <c r="Y270" s="164">
        <f t="shared" si="418"/>
        <v>0</v>
      </c>
      <c r="Z270" s="164">
        <f t="shared" si="418"/>
        <v>0</v>
      </c>
      <c r="AA270" s="164">
        <f t="shared" si="418"/>
        <v>0</v>
      </c>
      <c r="AB270" s="164">
        <f t="shared" si="418"/>
        <v>0</v>
      </c>
      <c r="AC270" s="164">
        <f t="shared" si="418"/>
        <v>0</v>
      </c>
      <c r="AD270" s="164">
        <f t="shared" si="418"/>
        <v>0</v>
      </c>
      <c r="AE270" s="164">
        <f t="shared" si="418"/>
        <v>0</v>
      </c>
      <c r="AF270" s="164">
        <f t="shared" si="418"/>
        <v>0</v>
      </c>
      <c r="AG270" s="164">
        <f t="shared" si="418"/>
        <v>0</v>
      </c>
      <c r="AH270" s="164">
        <f t="shared" si="418"/>
        <v>0</v>
      </c>
      <c r="AI270" s="164">
        <f t="shared" si="418"/>
        <v>0</v>
      </c>
      <c r="AJ270" s="164">
        <f t="shared" si="418"/>
        <v>0</v>
      </c>
      <c r="AK270" s="164">
        <f t="shared" si="418"/>
        <v>0</v>
      </c>
      <c r="AL270" s="164">
        <f t="shared" si="418"/>
        <v>0</v>
      </c>
      <c r="AM270" s="164">
        <f t="shared" si="418"/>
        <v>0</v>
      </c>
      <c r="AN270" s="164">
        <f t="shared" si="418"/>
        <v>0</v>
      </c>
      <c r="AO270" s="164">
        <f t="shared" si="418"/>
        <v>0</v>
      </c>
      <c r="AP270" s="164">
        <f t="shared" si="418"/>
        <v>0</v>
      </c>
      <c r="AQ270" s="164">
        <f t="shared" si="418"/>
        <v>0</v>
      </c>
      <c r="AR270" s="164">
        <f t="shared" si="418"/>
        <v>0</v>
      </c>
      <c r="AS270" s="164">
        <f t="shared" si="418"/>
        <v>0</v>
      </c>
      <c r="AT270" s="164">
        <f t="shared" si="418"/>
        <v>0</v>
      </c>
      <c r="AU270" s="164">
        <f t="shared" si="418"/>
        <v>0</v>
      </c>
      <c r="AV270" s="164">
        <f t="shared" si="418"/>
        <v>0</v>
      </c>
      <c r="AW270" s="164">
        <f t="shared" si="418"/>
        <v>0</v>
      </c>
      <c r="AX270" s="164">
        <f t="shared" si="418"/>
        <v>0</v>
      </c>
      <c r="AY270" s="164">
        <f t="shared" si="418"/>
        <v>0</v>
      </c>
      <c r="AZ270" s="164">
        <f t="shared" si="418"/>
        <v>0</v>
      </c>
      <c r="BA270" s="164">
        <f t="shared" si="418"/>
        <v>0</v>
      </c>
      <c r="BB270" s="164">
        <f t="shared" si="418"/>
        <v>0</v>
      </c>
      <c r="BC270" s="164">
        <f t="shared" si="418"/>
        <v>0</v>
      </c>
      <c r="BD270" s="164">
        <f t="shared" si="418"/>
        <v>0</v>
      </c>
      <c r="BE270" s="164">
        <f t="shared" si="418"/>
        <v>0</v>
      </c>
      <c r="BF270" s="164">
        <f t="shared" si="418"/>
        <v>0</v>
      </c>
      <c r="BG270" s="164">
        <f t="shared" si="418"/>
        <v>0</v>
      </c>
      <c r="BH270" s="164">
        <f t="shared" si="418"/>
        <v>0</v>
      </c>
      <c r="BI270" s="164">
        <f t="shared" si="418"/>
        <v>0</v>
      </c>
      <c r="BJ270" s="164">
        <f t="shared" si="418"/>
        <v>0</v>
      </c>
      <c r="BK270" s="33">
        <f t="shared" si="418"/>
        <v>0</v>
      </c>
    </row>
    <row r="271" spans="9:63">
      <c r="I271" s="31">
        <v>79</v>
      </c>
      <c r="L271" s="225">
        <f t="shared" si="405"/>
        <v>0</v>
      </c>
      <c r="M271" s="164">
        <f t="shared" ref="M271:BK271" si="419">LOOKUP(M158,$K$56:$BK$56,$K$60:$BK$60)</f>
        <v>0</v>
      </c>
      <c r="N271" s="164">
        <f t="shared" si="419"/>
        <v>0</v>
      </c>
      <c r="O271" s="164">
        <f t="shared" si="419"/>
        <v>0</v>
      </c>
      <c r="P271" s="164">
        <f t="shared" si="419"/>
        <v>0</v>
      </c>
      <c r="Q271" s="164">
        <f t="shared" si="419"/>
        <v>0</v>
      </c>
      <c r="R271" s="164">
        <f t="shared" si="419"/>
        <v>0</v>
      </c>
      <c r="S271" s="164">
        <f t="shared" si="419"/>
        <v>0</v>
      </c>
      <c r="T271" s="164">
        <f t="shared" si="419"/>
        <v>0</v>
      </c>
      <c r="U271" s="164">
        <f t="shared" si="419"/>
        <v>0</v>
      </c>
      <c r="V271" s="164">
        <f t="shared" si="419"/>
        <v>0</v>
      </c>
      <c r="W271" s="164">
        <f t="shared" si="419"/>
        <v>0</v>
      </c>
      <c r="X271" s="164">
        <f t="shared" si="419"/>
        <v>0</v>
      </c>
      <c r="Y271" s="164">
        <f t="shared" si="419"/>
        <v>0</v>
      </c>
      <c r="Z271" s="164">
        <f t="shared" si="419"/>
        <v>0</v>
      </c>
      <c r="AA271" s="164">
        <f t="shared" si="419"/>
        <v>0</v>
      </c>
      <c r="AB271" s="164">
        <f t="shared" si="419"/>
        <v>0</v>
      </c>
      <c r="AC271" s="164">
        <f t="shared" si="419"/>
        <v>0</v>
      </c>
      <c r="AD271" s="164">
        <f t="shared" si="419"/>
        <v>0</v>
      </c>
      <c r="AE271" s="164">
        <f t="shared" si="419"/>
        <v>0</v>
      </c>
      <c r="AF271" s="164">
        <f t="shared" si="419"/>
        <v>0</v>
      </c>
      <c r="AG271" s="164">
        <f t="shared" si="419"/>
        <v>0</v>
      </c>
      <c r="AH271" s="164">
        <f t="shared" si="419"/>
        <v>0</v>
      </c>
      <c r="AI271" s="164">
        <f t="shared" si="419"/>
        <v>0</v>
      </c>
      <c r="AJ271" s="164">
        <f t="shared" si="419"/>
        <v>0</v>
      </c>
      <c r="AK271" s="164">
        <f t="shared" si="419"/>
        <v>0</v>
      </c>
      <c r="AL271" s="164">
        <f t="shared" si="419"/>
        <v>0</v>
      </c>
      <c r="AM271" s="164">
        <f t="shared" si="419"/>
        <v>0</v>
      </c>
      <c r="AN271" s="164">
        <f t="shared" si="419"/>
        <v>0</v>
      </c>
      <c r="AO271" s="164">
        <f t="shared" si="419"/>
        <v>0</v>
      </c>
      <c r="AP271" s="164">
        <f t="shared" si="419"/>
        <v>0</v>
      </c>
      <c r="AQ271" s="164">
        <f t="shared" si="419"/>
        <v>0</v>
      </c>
      <c r="AR271" s="164">
        <f t="shared" si="419"/>
        <v>0</v>
      </c>
      <c r="AS271" s="164">
        <f t="shared" si="419"/>
        <v>0</v>
      </c>
      <c r="AT271" s="164">
        <f t="shared" si="419"/>
        <v>0</v>
      </c>
      <c r="AU271" s="164">
        <f t="shared" si="419"/>
        <v>0</v>
      </c>
      <c r="AV271" s="164">
        <f t="shared" si="419"/>
        <v>0</v>
      </c>
      <c r="AW271" s="164">
        <f t="shared" si="419"/>
        <v>0</v>
      </c>
      <c r="AX271" s="164">
        <f t="shared" si="419"/>
        <v>0</v>
      </c>
      <c r="AY271" s="164">
        <f t="shared" si="419"/>
        <v>0</v>
      </c>
      <c r="AZ271" s="164">
        <f t="shared" si="419"/>
        <v>0</v>
      </c>
      <c r="BA271" s="164">
        <f t="shared" si="419"/>
        <v>0</v>
      </c>
      <c r="BB271" s="164">
        <f t="shared" si="419"/>
        <v>0</v>
      </c>
      <c r="BC271" s="164">
        <f t="shared" si="419"/>
        <v>0</v>
      </c>
      <c r="BD271" s="164">
        <f t="shared" si="419"/>
        <v>0</v>
      </c>
      <c r="BE271" s="164">
        <f t="shared" si="419"/>
        <v>0</v>
      </c>
      <c r="BF271" s="164">
        <f t="shared" si="419"/>
        <v>0</v>
      </c>
      <c r="BG271" s="164">
        <f t="shared" si="419"/>
        <v>0</v>
      </c>
      <c r="BH271" s="164">
        <f t="shared" si="419"/>
        <v>0</v>
      </c>
      <c r="BI271" s="164">
        <f t="shared" si="419"/>
        <v>0</v>
      </c>
      <c r="BJ271" s="164">
        <f t="shared" si="419"/>
        <v>0</v>
      </c>
      <c r="BK271" s="33">
        <f t="shared" si="419"/>
        <v>0</v>
      </c>
    </row>
    <row r="272" spans="9:63">
      <c r="I272" s="31">
        <v>80</v>
      </c>
      <c r="L272" s="225">
        <f t="shared" si="405"/>
        <v>0</v>
      </c>
      <c r="M272" s="164">
        <f t="shared" ref="M272:BK272" si="420">LOOKUP(M159,$K$56:$BK$56,$K$60:$BK$60)</f>
        <v>0</v>
      </c>
      <c r="N272" s="164">
        <f t="shared" si="420"/>
        <v>0</v>
      </c>
      <c r="O272" s="164">
        <f t="shared" si="420"/>
        <v>0</v>
      </c>
      <c r="P272" s="164">
        <f t="shared" si="420"/>
        <v>0</v>
      </c>
      <c r="Q272" s="164">
        <f t="shared" si="420"/>
        <v>0</v>
      </c>
      <c r="R272" s="164">
        <f t="shared" si="420"/>
        <v>0</v>
      </c>
      <c r="S272" s="164">
        <f t="shared" si="420"/>
        <v>0</v>
      </c>
      <c r="T272" s="164">
        <f t="shared" si="420"/>
        <v>0</v>
      </c>
      <c r="U272" s="164">
        <f t="shared" si="420"/>
        <v>0</v>
      </c>
      <c r="V272" s="164">
        <f t="shared" si="420"/>
        <v>0</v>
      </c>
      <c r="W272" s="164">
        <f t="shared" si="420"/>
        <v>0</v>
      </c>
      <c r="X272" s="164">
        <f t="shared" si="420"/>
        <v>0</v>
      </c>
      <c r="Y272" s="164">
        <f t="shared" si="420"/>
        <v>0</v>
      </c>
      <c r="Z272" s="164">
        <f t="shared" si="420"/>
        <v>0</v>
      </c>
      <c r="AA272" s="164">
        <f t="shared" si="420"/>
        <v>0</v>
      </c>
      <c r="AB272" s="164">
        <f t="shared" si="420"/>
        <v>0</v>
      </c>
      <c r="AC272" s="164">
        <f t="shared" si="420"/>
        <v>0</v>
      </c>
      <c r="AD272" s="164">
        <f t="shared" si="420"/>
        <v>0</v>
      </c>
      <c r="AE272" s="164">
        <f t="shared" si="420"/>
        <v>0</v>
      </c>
      <c r="AF272" s="164">
        <f t="shared" si="420"/>
        <v>0</v>
      </c>
      <c r="AG272" s="164">
        <f t="shared" si="420"/>
        <v>0</v>
      </c>
      <c r="AH272" s="164">
        <f t="shared" si="420"/>
        <v>0</v>
      </c>
      <c r="AI272" s="164">
        <f t="shared" si="420"/>
        <v>0</v>
      </c>
      <c r="AJ272" s="164">
        <f t="shared" si="420"/>
        <v>0</v>
      </c>
      <c r="AK272" s="164">
        <f t="shared" si="420"/>
        <v>0</v>
      </c>
      <c r="AL272" s="164">
        <f t="shared" si="420"/>
        <v>0</v>
      </c>
      <c r="AM272" s="164">
        <f t="shared" si="420"/>
        <v>0</v>
      </c>
      <c r="AN272" s="164">
        <f t="shared" si="420"/>
        <v>0</v>
      </c>
      <c r="AO272" s="164">
        <f t="shared" si="420"/>
        <v>0</v>
      </c>
      <c r="AP272" s="164">
        <f t="shared" si="420"/>
        <v>0</v>
      </c>
      <c r="AQ272" s="164">
        <f t="shared" si="420"/>
        <v>0</v>
      </c>
      <c r="AR272" s="164">
        <f t="shared" si="420"/>
        <v>0</v>
      </c>
      <c r="AS272" s="164">
        <f t="shared" si="420"/>
        <v>0</v>
      </c>
      <c r="AT272" s="164">
        <f t="shared" si="420"/>
        <v>0</v>
      </c>
      <c r="AU272" s="164">
        <f t="shared" si="420"/>
        <v>0</v>
      </c>
      <c r="AV272" s="164">
        <f t="shared" si="420"/>
        <v>0</v>
      </c>
      <c r="AW272" s="164">
        <f t="shared" si="420"/>
        <v>0</v>
      </c>
      <c r="AX272" s="164">
        <f t="shared" si="420"/>
        <v>0</v>
      </c>
      <c r="AY272" s="164">
        <f t="shared" si="420"/>
        <v>0</v>
      </c>
      <c r="AZ272" s="164">
        <f t="shared" si="420"/>
        <v>0</v>
      </c>
      <c r="BA272" s="164">
        <f t="shared" si="420"/>
        <v>0</v>
      </c>
      <c r="BB272" s="164">
        <f t="shared" si="420"/>
        <v>0</v>
      </c>
      <c r="BC272" s="164">
        <f t="shared" si="420"/>
        <v>0</v>
      </c>
      <c r="BD272" s="164">
        <f t="shared" si="420"/>
        <v>0</v>
      </c>
      <c r="BE272" s="164">
        <f t="shared" si="420"/>
        <v>0</v>
      </c>
      <c r="BF272" s="164">
        <f t="shared" si="420"/>
        <v>0</v>
      </c>
      <c r="BG272" s="164">
        <f t="shared" si="420"/>
        <v>0</v>
      </c>
      <c r="BH272" s="164">
        <f t="shared" si="420"/>
        <v>0</v>
      </c>
      <c r="BI272" s="164">
        <f t="shared" si="420"/>
        <v>0</v>
      </c>
      <c r="BJ272" s="164">
        <f t="shared" si="420"/>
        <v>0</v>
      </c>
      <c r="BK272" s="33">
        <f t="shared" si="420"/>
        <v>0</v>
      </c>
    </row>
    <row r="273" spans="9:63">
      <c r="I273" s="31">
        <v>81</v>
      </c>
      <c r="L273" s="225">
        <f t="shared" si="405"/>
        <v>0</v>
      </c>
      <c r="M273" s="164">
        <f t="shared" ref="M273:BK273" si="421">LOOKUP(M160,$K$56:$BK$56,$K$60:$BK$60)</f>
        <v>0</v>
      </c>
      <c r="N273" s="164">
        <f t="shared" si="421"/>
        <v>0</v>
      </c>
      <c r="O273" s="164">
        <f t="shared" si="421"/>
        <v>0</v>
      </c>
      <c r="P273" s="164">
        <f t="shared" si="421"/>
        <v>0</v>
      </c>
      <c r="Q273" s="164">
        <f t="shared" si="421"/>
        <v>0</v>
      </c>
      <c r="R273" s="164">
        <f t="shared" si="421"/>
        <v>0</v>
      </c>
      <c r="S273" s="164">
        <f t="shared" si="421"/>
        <v>0</v>
      </c>
      <c r="T273" s="164">
        <f t="shared" si="421"/>
        <v>0</v>
      </c>
      <c r="U273" s="164">
        <f t="shared" si="421"/>
        <v>0</v>
      </c>
      <c r="V273" s="164">
        <f t="shared" si="421"/>
        <v>0</v>
      </c>
      <c r="W273" s="164">
        <f t="shared" si="421"/>
        <v>0</v>
      </c>
      <c r="X273" s="164">
        <f t="shared" si="421"/>
        <v>0</v>
      </c>
      <c r="Y273" s="164">
        <f t="shared" si="421"/>
        <v>0</v>
      </c>
      <c r="Z273" s="164">
        <f t="shared" si="421"/>
        <v>0</v>
      </c>
      <c r="AA273" s="164">
        <f t="shared" si="421"/>
        <v>0</v>
      </c>
      <c r="AB273" s="164">
        <f t="shared" si="421"/>
        <v>0</v>
      </c>
      <c r="AC273" s="164">
        <f t="shared" si="421"/>
        <v>0</v>
      </c>
      <c r="AD273" s="164">
        <f t="shared" si="421"/>
        <v>0</v>
      </c>
      <c r="AE273" s="164">
        <f t="shared" si="421"/>
        <v>0</v>
      </c>
      <c r="AF273" s="164">
        <f t="shared" si="421"/>
        <v>0</v>
      </c>
      <c r="AG273" s="164">
        <f t="shared" si="421"/>
        <v>0</v>
      </c>
      <c r="AH273" s="164">
        <f t="shared" si="421"/>
        <v>0</v>
      </c>
      <c r="AI273" s="164">
        <f t="shared" si="421"/>
        <v>0</v>
      </c>
      <c r="AJ273" s="164">
        <f t="shared" si="421"/>
        <v>0</v>
      </c>
      <c r="AK273" s="164">
        <f t="shared" si="421"/>
        <v>0</v>
      </c>
      <c r="AL273" s="164">
        <f t="shared" si="421"/>
        <v>0</v>
      </c>
      <c r="AM273" s="164">
        <f t="shared" si="421"/>
        <v>0</v>
      </c>
      <c r="AN273" s="164">
        <f t="shared" si="421"/>
        <v>0</v>
      </c>
      <c r="AO273" s="164">
        <f t="shared" si="421"/>
        <v>0</v>
      </c>
      <c r="AP273" s="164">
        <f t="shared" si="421"/>
        <v>0</v>
      </c>
      <c r="AQ273" s="164">
        <f t="shared" si="421"/>
        <v>0</v>
      </c>
      <c r="AR273" s="164">
        <f t="shared" si="421"/>
        <v>0</v>
      </c>
      <c r="AS273" s="164">
        <f t="shared" si="421"/>
        <v>0</v>
      </c>
      <c r="AT273" s="164">
        <f t="shared" si="421"/>
        <v>0</v>
      </c>
      <c r="AU273" s="164">
        <f t="shared" si="421"/>
        <v>0</v>
      </c>
      <c r="AV273" s="164">
        <f t="shared" si="421"/>
        <v>0</v>
      </c>
      <c r="AW273" s="164">
        <f t="shared" si="421"/>
        <v>0</v>
      </c>
      <c r="AX273" s="164">
        <f t="shared" si="421"/>
        <v>0</v>
      </c>
      <c r="AY273" s="164">
        <f t="shared" si="421"/>
        <v>0</v>
      </c>
      <c r="AZ273" s="164">
        <f t="shared" si="421"/>
        <v>0</v>
      </c>
      <c r="BA273" s="164">
        <f t="shared" si="421"/>
        <v>0</v>
      </c>
      <c r="BB273" s="164">
        <f t="shared" si="421"/>
        <v>0</v>
      </c>
      <c r="BC273" s="164">
        <f t="shared" si="421"/>
        <v>0</v>
      </c>
      <c r="BD273" s="164">
        <f t="shared" si="421"/>
        <v>0</v>
      </c>
      <c r="BE273" s="164">
        <f t="shared" si="421"/>
        <v>0</v>
      </c>
      <c r="BF273" s="164">
        <f t="shared" si="421"/>
        <v>0</v>
      </c>
      <c r="BG273" s="164">
        <f t="shared" si="421"/>
        <v>0</v>
      </c>
      <c r="BH273" s="164">
        <f t="shared" si="421"/>
        <v>0</v>
      </c>
      <c r="BI273" s="164">
        <f t="shared" si="421"/>
        <v>0</v>
      </c>
      <c r="BJ273" s="164">
        <f t="shared" si="421"/>
        <v>0</v>
      </c>
      <c r="BK273" s="33">
        <f t="shared" si="421"/>
        <v>0</v>
      </c>
    </row>
    <row r="274" spans="9:63">
      <c r="I274" s="31">
        <v>82</v>
      </c>
      <c r="L274" s="225">
        <f t="shared" si="405"/>
        <v>0</v>
      </c>
      <c r="M274" s="164">
        <f t="shared" ref="M274:BK274" si="422">LOOKUP(M161,$K$56:$BK$56,$K$60:$BK$60)</f>
        <v>0</v>
      </c>
      <c r="N274" s="164">
        <f t="shared" si="422"/>
        <v>0</v>
      </c>
      <c r="O274" s="164">
        <f t="shared" si="422"/>
        <v>0</v>
      </c>
      <c r="P274" s="164">
        <f t="shared" si="422"/>
        <v>0</v>
      </c>
      <c r="Q274" s="164">
        <f t="shared" si="422"/>
        <v>0</v>
      </c>
      <c r="R274" s="164">
        <f t="shared" si="422"/>
        <v>0</v>
      </c>
      <c r="S274" s="164">
        <f t="shared" si="422"/>
        <v>0</v>
      </c>
      <c r="T274" s="164">
        <f t="shared" si="422"/>
        <v>0</v>
      </c>
      <c r="U274" s="164">
        <f t="shared" si="422"/>
        <v>0</v>
      </c>
      <c r="V274" s="164">
        <f t="shared" si="422"/>
        <v>0</v>
      </c>
      <c r="W274" s="164">
        <f t="shared" si="422"/>
        <v>0</v>
      </c>
      <c r="X274" s="164">
        <f t="shared" si="422"/>
        <v>0</v>
      </c>
      <c r="Y274" s="164">
        <f t="shared" si="422"/>
        <v>0</v>
      </c>
      <c r="Z274" s="164">
        <f t="shared" si="422"/>
        <v>0</v>
      </c>
      <c r="AA274" s="164">
        <f t="shared" si="422"/>
        <v>0</v>
      </c>
      <c r="AB274" s="164">
        <f t="shared" si="422"/>
        <v>0</v>
      </c>
      <c r="AC274" s="164">
        <f t="shared" si="422"/>
        <v>0</v>
      </c>
      <c r="AD274" s="164">
        <f t="shared" si="422"/>
        <v>0</v>
      </c>
      <c r="AE274" s="164">
        <f t="shared" si="422"/>
        <v>0</v>
      </c>
      <c r="AF274" s="164">
        <f t="shared" si="422"/>
        <v>0</v>
      </c>
      <c r="AG274" s="164">
        <f t="shared" si="422"/>
        <v>0</v>
      </c>
      <c r="AH274" s="164">
        <f t="shared" si="422"/>
        <v>0</v>
      </c>
      <c r="AI274" s="164">
        <f t="shared" si="422"/>
        <v>0</v>
      </c>
      <c r="AJ274" s="164">
        <f t="shared" si="422"/>
        <v>0</v>
      </c>
      <c r="AK274" s="164">
        <f t="shared" si="422"/>
        <v>0</v>
      </c>
      <c r="AL274" s="164">
        <f t="shared" si="422"/>
        <v>0</v>
      </c>
      <c r="AM274" s="164">
        <f t="shared" si="422"/>
        <v>0</v>
      </c>
      <c r="AN274" s="164">
        <f t="shared" si="422"/>
        <v>0</v>
      </c>
      <c r="AO274" s="164">
        <f t="shared" si="422"/>
        <v>0</v>
      </c>
      <c r="AP274" s="164">
        <f t="shared" si="422"/>
        <v>0</v>
      </c>
      <c r="AQ274" s="164">
        <f t="shared" si="422"/>
        <v>0</v>
      </c>
      <c r="AR274" s="164">
        <f t="shared" si="422"/>
        <v>0</v>
      </c>
      <c r="AS274" s="164">
        <f t="shared" si="422"/>
        <v>0</v>
      </c>
      <c r="AT274" s="164">
        <f t="shared" si="422"/>
        <v>0</v>
      </c>
      <c r="AU274" s="164">
        <f t="shared" si="422"/>
        <v>0</v>
      </c>
      <c r="AV274" s="164">
        <f t="shared" si="422"/>
        <v>0</v>
      </c>
      <c r="AW274" s="164">
        <f t="shared" si="422"/>
        <v>0</v>
      </c>
      <c r="AX274" s="164">
        <f t="shared" si="422"/>
        <v>0</v>
      </c>
      <c r="AY274" s="164">
        <f t="shared" si="422"/>
        <v>0</v>
      </c>
      <c r="AZ274" s="164">
        <f t="shared" si="422"/>
        <v>0</v>
      </c>
      <c r="BA274" s="164">
        <f t="shared" si="422"/>
        <v>0</v>
      </c>
      <c r="BB274" s="164">
        <f t="shared" si="422"/>
        <v>0</v>
      </c>
      <c r="BC274" s="164">
        <f t="shared" si="422"/>
        <v>0</v>
      </c>
      <c r="BD274" s="164">
        <f t="shared" si="422"/>
        <v>0</v>
      </c>
      <c r="BE274" s="164">
        <f t="shared" si="422"/>
        <v>0</v>
      </c>
      <c r="BF274" s="164">
        <f t="shared" si="422"/>
        <v>0</v>
      </c>
      <c r="BG274" s="164">
        <f t="shared" si="422"/>
        <v>0</v>
      </c>
      <c r="BH274" s="164">
        <f t="shared" si="422"/>
        <v>0</v>
      </c>
      <c r="BI274" s="164">
        <f t="shared" si="422"/>
        <v>0</v>
      </c>
      <c r="BJ274" s="164">
        <f t="shared" si="422"/>
        <v>0</v>
      </c>
      <c r="BK274" s="33">
        <f t="shared" si="422"/>
        <v>0</v>
      </c>
    </row>
    <row r="275" spans="9:63">
      <c r="I275" s="31">
        <v>83</v>
      </c>
      <c r="L275" s="225">
        <f t="shared" si="405"/>
        <v>0</v>
      </c>
      <c r="M275" s="164">
        <f t="shared" ref="M275:BK275" si="423">LOOKUP(M162,$K$56:$BK$56,$K$60:$BK$60)</f>
        <v>0</v>
      </c>
      <c r="N275" s="164">
        <f t="shared" si="423"/>
        <v>0</v>
      </c>
      <c r="O275" s="164">
        <f t="shared" si="423"/>
        <v>0</v>
      </c>
      <c r="P275" s="164">
        <f t="shared" si="423"/>
        <v>0</v>
      </c>
      <c r="Q275" s="164">
        <f t="shared" si="423"/>
        <v>0</v>
      </c>
      <c r="R275" s="164">
        <f t="shared" si="423"/>
        <v>0</v>
      </c>
      <c r="S275" s="164">
        <f t="shared" si="423"/>
        <v>0</v>
      </c>
      <c r="T275" s="164">
        <f t="shared" si="423"/>
        <v>0</v>
      </c>
      <c r="U275" s="164">
        <f t="shared" si="423"/>
        <v>0</v>
      </c>
      <c r="V275" s="164">
        <f t="shared" si="423"/>
        <v>0</v>
      </c>
      <c r="W275" s="164">
        <f t="shared" si="423"/>
        <v>0</v>
      </c>
      <c r="X275" s="164">
        <f t="shared" si="423"/>
        <v>0</v>
      </c>
      <c r="Y275" s="164">
        <f t="shared" si="423"/>
        <v>0</v>
      </c>
      <c r="Z275" s="164">
        <f t="shared" si="423"/>
        <v>0</v>
      </c>
      <c r="AA275" s="164">
        <f t="shared" si="423"/>
        <v>0</v>
      </c>
      <c r="AB275" s="164">
        <f t="shared" si="423"/>
        <v>0</v>
      </c>
      <c r="AC275" s="164">
        <f t="shared" si="423"/>
        <v>0</v>
      </c>
      <c r="AD275" s="164">
        <f t="shared" si="423"/>
        <v>0</v>
      </c>
      <c r="AE275" s="164">
        <f t="shared" si="423"/>
        <v>0</v>
      </c>
      <c r="AF275" s="164">
        <f t="shared" si="423"/>
        <v>0</v>
      </c>
      <c r="AG275" s="164">
        <f t="shared" si="423"/>
        <v>0</v>
      </c>
      <c r="AH275" s="164">
        <f t="shared" si="423"/>
        <v>0</v>
      </c>
      <c r="AI275" s="164">
        <f t="shared" si="423"/>
        <v>0</v>
      </c>
      <c r="AJ275" s="164">
        <f t="shared" si="423"/>
        <v>0</v>
      </c>
      <c r="AK275" s="164">
        <f t="shared" si="423"/>
        <v>0</v>
      </c>
      <c r="AL275" s="164">
        <f t="shared" si="423"/>
        <v>0</v>
      </c>
      <c r="AM275" s="164">
        <f t="shared" si="423"/>
        <v>0</v>
      </c>
      <c r="AN275" s="164">
        <f t="shared" si="423"/>
        <v>0</v>
      </c>
      <c r="AO275" s="164">
        <f t="shared" si="423"/>
        <v>0</v>
      </c>
      <c r="AP275" s="164">
        <f t="shared" si="423"/>
        <v>0</v>
      </c>
      <c r="AQ275" s="164">
        <f t="shared" si="423"/>
        <v>0</v>
      </c>
      <c r="AR275" s="164">
        <f t="shared" si="423"/>
        <v>0</v>
      </c>
      <c r="AS275" s="164">
        <f t="shared" si="423"/>
        <v>0</v>
      </c>
      <c r="AT275" s="164">
        <f t="shared" si="423"/>
        <v>0</v>
      </c>
      <c r="AU275" s="164">
        <f t="shared" si="423"/>
        <v>0</v>
      </c>
      <c r="AV275" s="164">
        <f t="shared" si="423"/>
        <v>0</v>
      </c>
      <c r="AW275" s="164">
        <f t="shared" si="423"/>
        <v>0</v>
      </c>
      <c r="AX275" s="164">
        <f t="shared" si="423"/>
        <v>0</v>
      </c>
      <c r="AY275" s="164">
        <f t="shared" si="423"/>
        <v>0</v>
      </c>
      <c r="AZ275" s="164">
        <f t="shared" si="423"/>
        <v>0</v>
      </c>
      <c r="BA275" s="164">
        <f t="shared" si="423"/>
        <v>0</v>
      </c>
      <c r="BB275" s="164">
        <f t="shared" si="423"/>
        <v>0</v>
      </c>
      <c r="BC275" s="164">
        <f t="shared" si="423"/>
        <v>0</v>
      </c>
      <c r="BD275" s="164">
        <f t="shared" si="423"/>
        <v>0</v>
      </c>
      <c r="BE275" s="164">
        <f t="shared" si="423"/>
        <v>0</v>
      </c>
      <c r="BF275" s="164">
        <f t="shared" si="423"/>
        <v>0</v>
      </c>
      <c r="BG275" s="164">
        <f t="shared" si="423"/>
        <v>0</v>
      </c>
      <c r="BH275" s="164">
        <f t="shared" si="423"/>
        <v>0</v>
      </c>
      <c r="BI275" s="164">
        <f t="shared" si="423"/>
        <v>0</v>
      </c>
      <c r="BJ275" s="164">
        <f t="shared" si="423"/>
        <v>0</v>
      </c>
      <c r="BK275" s="33">
        <f t="shared" si="423"/>
        <v>0</v>
      </c>
    </row>
    <row r="276" spans="9:63">
      <c r="I276" s="31">
        <v>84</v>
      </c>
      <c r="L276" s="225">
        <f t="shared" si="405"/>
        <v>0</v>
      </c>
      <c r="M276" s="164">
        <f t="shared" ref="M276:BK276" si="424">LOOKUP(M163,$K$56:$BK$56,$K$60:$BK$60)</f>
        <v>0</v>
      </c>
      <c r="N276" s="164">
        <f t="shared" si="424"/>
        <v>0</v>
      </c>
      <c r="O276" s="164">
        <f t="shared" si="424"/>
        <v>0</v>
      </c>
      <c r="P276" s="164">
        <f t="shared" si="424"/>
        <v>0</v>
      </c>
      <c r="Q276" s="164">
        <f t="shared" si="424"/>
        <v>0</v>
      </c>
      <c r="R276" s="164">
        <f t="shared" si="424"/>
        <v>0</v>
      </c>
      <c r="S276" s="164">
        <f t="shared" si="424"/>
        <v>0</v>
      </c>
      <c r="T276" s="164">
        <f t="shared" si="424"/>
        <v>0</v>
      </c>
      <c r="U276" s="164">
        <f t="shared" si="424"/>
        <v>0</v>
      </c>
      <c r="V276" s="164">
        <f t="shared" si="424"/>
        <v>0</v>
      </c>
      <c r="W276" s="164">
        <f t="shared" si="424"/>
        <v>0</v>
      </c>
      <c r="X276" s="164">
        <f t="shared" si="424"/>
        <v>0</v>
      </c>
      <c r="Y276" s="164">
        <f t="shared" si="424"/>
        <v>0</v>
      </c>
      <c r="Z276" s="164">
        <f t="shared" si="424"/>
        <v>0</v>
      </c>
      <c r="AA276" s="164">
        <f t="shared" si="424"/>
        <v>0</v>
      </c>
      <c r="AB276" s="164">
        <f t="shared" si="424"/>
        <v>0</v>
      </c>
      <c r="AC276" s="164">
        <f t="shared" si="424"/>
        <v>0</v>
      </c>
      <c r="AD276" s="164">
        <f t="shared" si="424"/>
        <v>0</v>
      </c>
      <c r="AE276" s="164">
        <f t="shared" si="424"/>
        <v>0</v>
      </c>
      <c r="AF276" s="164">
        <f t="shared" si="424"/>
        <v>0</v>
      </c>
      <c r="AG276" s="164">
        <f t="shared" si="424"/>
        <v>0</v>
      </c>
      <c r="AH276" s="164">
        <f t="shared" si="424"/>
        <v>0</v>
      </c>
      <c r="AI276" s="164">
        <f t="shared" si="424"/>
        <v>0</v>
      </c>
      <c r="AJ276" s="164">
        <f t="shared" si="424"/>
        <v>0</v>
      </c>
      <c r="AK276" s="164">
        <f t="shared" si="424"/>
        <v>0</v>
      </c>
      <c r="AL276" s="164">
        <f t="shared" si="424"/>
        <v>0</v>
      </c>
      <c r="AM276" s="164">
        <f t="shared" si="424"/>
        <v>0</v>
      </c>
      <c r="AN276" s="164">
        <f t="shared" si="424"/>
        <v>0</v>
      </c>
      <c r="AO276" s="164">
        <f t="shared" si="424"/>
        <v>0</v>
      </c>
      <c r="AP276" s="164">
        <f t="shared" si="424"/>
        <v>0</v>
      </c>
      <c r="AQ276" s="164">
        <f t="shared" si="424"/>
        <v>0</v>
      </c>
      <c r="AR276" s="164">
        <f t="shared" si="424"/>
        <v>0</v>
      </c>
      <c r="AS276" s="164">
        <f t="shared" si="424"/>
        <v>0</v>
      </c>
      <c r="AT276" s="164">
        <f t="shared" si="424"/>
        <v>0</v>
      </c>
      <c r="AU276" s="164">
        <f t="shared" si="424"/>
        <v>0</v>
      </c>
      <c r="AV276" s="164">
        <f t="shared" si="424"/>
        <v>0</v>
      </c>
      <c r="AW276" s="164">
        <f t="shared" si="424"/>
        <v>0</v>
      </c>
      <c r="AX276" s="164">
        <f t="shared" si="424"/>
        <v>0</v>
      </c>
      <c r="AY276" s="164">
        <f t="shared" si="424"/>
        <v>0</v>
      </c>
      <c r="AZ276" s="164">
        <f t="shared" si="424"/>
        <v>0</v>
      </c>
      <c r="BA276" s="164">
        <f t="shared" si="424"/>
        <v>0</v>
      </c>
      <c r="BB276" s="164">
        <f t="shared" si="424"/>
        <v>0</v>
      </c>
      <c r="BC276" s="164">
        <f t="shared" si="424"/>
        <v>0</v>
      </c>
      <c r="BD276" s="164">
        <f t="shared" si="424"/>
        <v>0</v>
      </c>
      <c r="BE276" s="164">
        <f t="shared" si="424"/>
        <v>0</v>
      </c>
      <c r="BF276" s="164">
        <f t="shared" si="424"/>
        <v>0</v>
      </c>
      <c r="BG276" s="164">
        <f t="shared" si="424"/>
        <v>0</v>
      </c>
      <c r="BH276" s="164">
        <f t="shared" si="424"/>
        <v>0</v>
      </c>
      <c r="BI276" s="164">
        <f t="shared" si="424"/>
        <v>0</v>
      </c>
      <c r="BJ276" s="164">
        <f t="shared" si="424"/>
        <v>0</v>
      </c>
      <c r="BK276" s="33">
        <f t="shared" si="424"/>
        <v>0</v>
      </c>
    </row>
    <row r="277" spans="9:63">
      <c r="I277" s="31">
        <v>85</v>
      </c>
      <c r="L277" s="225">
        <f t="shared" si="405"/>
        <v>0</v>
      </c>
      <c r="M277" s="164">
        <f t="shared" ref="M277:BK277" si="425">LOOKUP(M164,$K$56:$BK$56,$K$60:$BK$60)</f>
        <v>0</v>
      </c>
      <c r="N277" s="164">
        <f t="shared" si="425"/>
        <v>0</v>
      </c>
      <c r="O277" s="164">
        <f t="shared" si="425"/>
        <v>0</v>
      </c>
      <c r="P277" s="164">
        <f t="shared" si="425"/>
        <v>0</v>
      </c>
      <c r="Q277" s="164">
        <f t="shared" si="425"/>
        <v>0</v>
      </c>
      <c r="R277" s="164">
        <f t="shared" si="425"/>
        <v>0</v>
      </c>
      <c r="S277" s="164">
        <f t="shared" si="425"/>
        <v>0</v>
      </c>
      <c r="T277" s="164">
        <f t="shared" si="425"/>
        <v>0</v>
      </c>
      <c r="U277" s="164">
        <f t="shared" si="425"/>
        <v>0</v>
      </c>
      <c r="V277" s="164">
        <f t="shared" si="425"/>
        <v>0</v>
      </c>
      <c r="W277" s="164">
        <f t="shared" si="425"/>
        <v>0</v>
      </c>
      <c r="X277" s="164">
        <f t="shared" si="425"/>
        <v>0</v>
      </c>
      <c r="Y277" s="164">
        <f t="shared" si="425"/>
        <v>0</v>
      </c>
      <c r="Z277" s="164">
        <f t="shared" si="425"/>
        <v>0</v>
      </c>
      <c r="AA277" s="164">
        <f t="shared" si="425"/>
        <v>0</v>
      </c>
      <c r="AB277" s="164">
        <f t="shared" si="425"/>
        <v>0</v>
      </c>
      <c r="AC277" s="164">
        <f t="shared" si="425"/>
        <v>0</v>
      </c>
      <c r="AD277" s="164">
        <f t="shared" si="425"/>
        <v>0</v>
      </c>
      <c r="AE277" s="164">
        <f t="shared" si="425"/>
        <v>0</v>
      </c>
      <c r="AF277" s="164">
        <f t="shared" si="425"/>
        <v>0</v>
      </c>
      <c r="AG277" s="164">
        <f t="shared" si="425"/>
        <v>0</v>
      </c>
      <c r="AH277" s="164">
        <f t="shared" si="425"/>
        <v>0</v>
      </c>
      <c r="AI277" s="164">
        <f t="shared" si="425"/>
        <v>0</v>
      </c>
      <c r="AJ277" s="164">
        <f t="shared" si="425"/>
        <v>0</v>
      </c>
      <c r="AK277" s="164">
        <f t="shared" si="425"/>
        <v>0</v>
      </c>
      <c r="AL277" s="164">
        <f t="shared" si="425"/>
        <v>0</v>
      </c>
      <c r="AM277" s="164">
        <f t="shared" si="425"/>
        <v>0</v>
      </c>
      <c r="AN277" s="164">
        <f t="shared" si="425"/>
        <v>0</v>
      </c>
      <c r="AO277" s="164">
        <f t="shared" si="425"/>
        <v>0</v>
      </c>
      <c r="AP277" s="164">
        <f t="shared" si="425"/>
        <v>0</v>
      </c>
      <c r="AQ277" s="164">
        <f t="shared" si="425"/>
        <v>0</v>
      </c>
      <c r="AR277" s="164">
        <f t="shared" si="425"/>
        <v>0</v>
      </c>
      <c r="AS277" s="164">
        <f t="shared" si="425"/>
        <v>0</v>
      </c>
      <c r="AT277" s="164">
        <f t="shared" si="425"/>
        <v>0</v>
      </c>
      <c r="AU277" s="164">
        <f t="shared" si="425"/>
        <v>0</v>
      </c>
      <c r="AV277" s="164">
        <f t="shared" si="425"/>
        <v>0</v>
      </c>
      <c r="AW277" s="164">
        <f t="shared" si="425"/>
        <v>0</v>
      </c>
      <c r="AX277" s="164">
        <f t="shared" si="425"/>
        <v>0</v>
      </c>
      <c r="AY277" s="164">
        <f t="shared" si="425"/>
        <v>0</v>
      </c>
      <c r="AZ277" s="164">
        <f t="shared" si="425"/>
        <v>0</v>
      </c>
      <c r="BA277" s="164">
        <f t="shared" si="425"/>
        <v>0</v>
      </c>
      <c r="BB277" s="164">
        <f t="shared" si="425"/>
        <v>0</v>
      </c>
      <c r="BC277" s="164">
        <f t="shared" si="425"/>
        <v>0</v>
      </c>
      <c r="BD277" s="164">
        <f t="shared" si="425"/>
        <v>0</v>
      </c>
      <c r="BE277" s="164">
        <f t="shared" si="425"/>
        <v>0</v>
      </c>
      <c r="BF277" s="164">
        <f t="shared" si="425"/>
        <v>0</v>
      </c>
      <c r="BG277" s="164">
        <f t="shared" si="425"/>
        <v>0</v>
      </c>
      <c r="BH277" s="164">
        <f t="shared" si="425"/>
        <v>0</v>
      </c>
      <c r="BI277" s="164">
        <f t="shared" si="425"/>
        <v>0</v>
      </c>
      <c r="BJ277" s="164">
        <f t="shared" si="425"/>
        <v>0</v>
      </c>
      <c r="BK277" s="33">
        <f t="shared" si="425"/>
        <v>0</v>
      </c>
    </row>
    <row r="278" spans="9:63">
      <c r="I278" s="31">
        <v>86</v>
      </c>
      <c r="L278" s="225">
        <f t="shared" si="405"/>
        <v>0</v>
      </c>
      <c r="M278" s="164">
        <f t="shared" ref="M278:BK278" si="426">LOOKUP(M165,$K$56:$BK$56,$K$60:$BK$60)</f>
        <v>0</v>
      </c>
      <c r="N278" s="164">
        <f t="shared" si="426"/>
        <v>0</v>
      </c>
      <c r="O278" s="164">
        <f t="shared" si="426"/>
        <v>0</v>
      </c>
      <c r="P278" s="164">
        <f t="shared" si="426"/>
        <v>0</v>
      </c>
      <c r="Q278" s="164">
        <f t="shared" si="426"/>
        <v>0</v>
      </c>
      <c r="R278" s="164">
        <f t="shared" si="426"/>
        <v>0</v>
      </c>
      <c r="S278" s="164">
        <f t="shared" si="426"/>
        <v>0</v>
      </c>
      <c r="T278" s="164">
        <f t="shared" si="426"/>
        <v>0</v>
      </c>
      <c r="U278" s="164">
        <f t="shared" si="426"/>
        <v>0</v>
      </c>
      <c r="V278" s="164">
        <f t="shared" si="426"/>
        <v>0</v>
      </c>
      <c r="W278" s="164">
        <f t="shared" si="426"/>
        <v>0</v>
      </c>
      <c r="X278" s="164">
        <f t="shared" si="426"/>
        <v>0</v>
      </c>
      <c r="Y278" s="164">
        <f t="shared" si="426"/>
        <v>0</v>
      </c>
      <c r="Z278" s="164">
        <f t="shared" si="426"/>
        <v>0</v>
      </c>
      <c r="AA278" s="164">
        <f t="shared" si="426"/>
        <v>0</v>
      </c>
      <c r="AB278" s="164">
        <f t="shared" si="426"/>
        <v>0</v>
      </c>
      <c r="AC278" s="164">
        <f t="shared" si="426"/>
        <v>0</v>
      </c>
      <c r="AD278" s="164">
        <f t="shared" si="426"/>
        <v>0</v>
      </c>
      <c r="AE278" s="164">
        <f t="shared" si="426"/>
        <v>0</v>
      </c>
      <c r="AF278" s="164">
        <f t="shared" si="426"/>
        <v>0</v>
      </c>
      <c r="AG278" s="164">
        <f t="shared" si="426"/>
        <v>0</v>
      </c>
      <c r="AH278" s="164">
        <f t="shared" si="426"/>
        <v>0</v>
      </c>
      <c r="AI278" s="164">
        <f t="shared" si="426"/>
        <v>0</v>
      </c>
      <c r="AJ278" s="164">
        <f t="shared" si="426"/>
        <v>0</v>
      </c>
      <c r="AK278" s="164">
        <f t="shared" si="426"/>
        <v>0</v>
      </c>
      <c r="AL278" s="164">
        <f t="shared" si="426"/>
        <v>0</v>
      </c>
      <c r="AM278" s="164">
        <f t="shared" si="426"/>
        <v>0</v>
      </c>
      <c r="AN278" s="164">
        <f t="shared" si="426"/>
        <v>0</v>
      </c>
      <c r="AO278" s="164">
        <f t="shared" si="426"/>
        <v>0</v>
      </c>
      <c r="AP278" s="164">
        <f t="shared" si="426"/>
        <v>0</v>
      </c>
      <c r="AQ278" s="164">
        <f t="shared" si="426"/>
        <v>0</v>
      </c>
      <c r="AR278" s="164">
        <f t="shared" si="426"/>
        <v>0</v>
      </c>
      <c r="AS278" s="164">
        <f t="shared" si="426"/>
        <v>0</v>
      </c>
      <c r="AT278" s="164">
        <f t="shared" si="426"/>
        <v>0</v>
      </c>
      <c r="AU278" s="164">
        <f t="shared" si="426"/>
        <v>0</v>
      </c>
      <c r="AV278" s="164">
        <f t="shared" si="426"/>
        <v>0</v>
      </c>
      <c r="AW278" s="164">
        <f t="shared" si="426"/>
        <v>0</v>
      </c>
      <c r="AX278" s="164">
        <f t="shared" si="426"/>
        <v>0</v>
      </c>
      <c r="AY278" s="164">
        <f t="shared" si="426"/>
        <v>0</v>
      </c>
      <c r="AZ278" s="164">
        <f t="shared" si="426"/>
        <v>0</v>
      </c>
      <c r="BA278" s="164">
        <f t="shared" si="426"/>
        <v>0</v>
      </c>
      <c r="BB278" s="164">
        <f t="shared" si="426"/>
        <v>0</v>
      </c>
      <c r="BC278" s="164">
        <f t="shared" si="426"/>
        <v>0</v>
      </c>
      <c r="BD278" s="164">
        <f t="shared" si="426"/>
        <v>0</v>
      </c>
      <c r="BE278" s="164">
        <f t="shared" si="426"/>
        <v>0</v>
      </c>
      <c r="BF278" s="164">
        <f t="shared" si="426"/>
        <v>0</v>
      </c>
      <c r="BG278" s="164">
        <f t="shared" si="426"/>
        <v>0</v>
      </c>
      <c r="BH278" s="164">
        <f t="shared" si="426"/>
        <v>0</v>
      </c>
      <c r="BI278" s="164">
        <f t="shared" si="426"/>
        <v>0</v>
      </c>
      <c r="BJ278" s="164">
        <f t="shared" si="426"/>
        <v>0</v>
      </c>
      <c r="BK278" s="33">
        <f t="shared" si="426"/>
        <v>0</v>
      </c>
    </row>
    <row r="279" spans="9:63">
      <c r="I279" s="31">
        <v>87</v>
      </c>
      <c r="L279" s="225">
        <f t="shared" si="405"/>
        <v>0</v>
      </c>
      <c r="M279" s="164">
        <f t="shared" ref="M279:BK279" si="427">LOOKUP(M166,$K$56:$BK$56,$K$60:$BK$60)</f>
        <v>0</v>
      </c>
      <c r="N279" s="164">
        <f t="shared" si="427"/>
        <v>0</v>
      </c>
      <c r="O279" s="164">
        <f t="shared" si="427"/>
        <v>0</v>
      </c>
      <c r="P279" s="164">
        <f t="shared" si="427"/>
        <v>0</v>
      </c>
      <c r="Q279" s="164">
        <f t="shared" si="427"/>
        <v>0</v>
      </c>
      <c r="R279" s="164">
        <f t="shared" si="427"/>
        <v>0</v>
      </c>
      <c r="S279" s="164">
        <f t="shared" si="427"/>
        <v>0</v>
      </c>
      <c r="T279" s="164">
        <f t="shared" si="427"/>
        <v>0</v>
      </c>
      <c r="U279" s="164">
        <f t="shared" si="427"/>
        <v>0</v>
      </c>
      <c r="V279" s="164">
        <f t="shared" si="427"/>
        <v>0</v>
      </c>
      <c r="W279" s="164">
        <f t="shared" si="427"/>
        <v>0</v>
      </c>
      <c r="X279" s="164">
        <f t="shared" si="427"/>
        <v>0</v>
      </c>
      <c r="Y279" s="164">
        <f t="shared" si="427"/>
        <v>0</v>
      </c>
      <c r="Z279" s="164">
        <f t="shared" si="427"/>
        <v>0</v>
      </c>
      <c r="AA279" s="164">
        <f t="shared" si="427"/>
        <v>0</v>
      </c>
      <c r="AB279" s="164">
        <f t="shared" si="427"/>
        <v>0</v>
      </c>
      <c r="AC279" s="164">
        <f t="shared" si="427"/>
        <v>0</v>
      </c>
      <c r="AD279" s="164">
        <f t="shared" si="427"/>
        <v>0</v>
      </c>
      <c r="AE279" s="164">
        <f t="shared" si="427"/>
        <v>0</v>
      </c>
      <c r="AF279" s="164">
        <f t="shared" si="427"/>
        <v>0</v>
      </c>
      <c r="AG279" s="164">
        <f t="shared" si="427"/>
        <v>0</v>
      </c>
      <c r="AH279" s="164">
        <f t="shared" si="427"/>
        <v>0</v>
      </c>
      <c r="AI279" s="164">
        <f t="shared" si="427"/>
        <v>0</v>
      </c>
      <c r="AJ279" s="164">
        <f t="shared" si="427"/>
        <v>0</v>
      </c>
      <c r="AK279" s="164">
        <f t="shared" si="427"/>
        <v>0</v>
      </c>
      <c r="AL279" s="164">
        <f t="shared" si="427"/>
        <v>0</v>
      </c>
      <c r="AM279" s="164">
        <f t="shared" si="427"/>
        <v>0</v>
      </c>
      <c r="AN279" s="164">
        <f t="shared" si="427"/>
        <v>0</v>
      </c>
      <c r="AO279" s="164">
        <f t="shared" si="427"/>
        <v>0</v>
      </c>
      <c r="AP279" s="164">
        <f t="shared" si="427"/>
        <v>0</v>
      </c>
      <c r="AQ279" s="164">
        <f t="shared" si="427"/>
        <v>0</v>
      </c>
      <c r="AR279" s="164">
        <f t="shared" si="427"/>
        <v>0</v>
      </c>
      <c r="AS279" s="164">
        <f t="shared" si="427"/>
        <v>0</v>
      </c>
      <c r="AT279" s="164">
        <f t="shared" si="427"/>
        <v>0</v>
      </c>
      <c r="AU279" s="164">
        <f t="shared" si="427"/>
        <v>0</v>
      </c>
      <c r="AV279" s="164">
        <f t="shared" si="427"/>
        <v>0</v>
      </c>
      <c r="AW279" s="164">
        <f t="shared" si="427"/>
        <v>0</v>
      </c>
      <c r="AX279" s="164">
        <f t="shared" si="427"/>
        <v>0</v>
      </c>
      <c r="AY279" s="164">
        <f t="shared" si="427"/>
        <v>0</v>
      </c>
      <c r="AZ279" s="164">
        <f t="shared" si="427"/>
        <v>0</v>
      </c>
      <c r="BA279" s="164">
        <f t="shared" si="427"/>
        <v>0</v>
      </c>
      <c r="BB279" s="164">
        <f t="shared" si="427"/>
        <v>0</v>
      </c>
      <c r="BC279" s="164">
        <f t="shared" si="427"/>
        <v>0</v>
      </c>
      <c r="BD279" s="164">
        <f t="shared" si="427"/>
        <v>0</v>
      </c>
      <c r="BE279" s="164">
        <f t="shared" si="427"/>
        <v>0</v>
      </c>
      <c r="BF279" s="164">
        <f t="shared" si="427"/>
        <v>0</v>
      </c>
      <c r="BG279" s="164">
        <f t="shared" si="427"/>
        <v>0</v>
      </c>
      <c r="BH279" s="164">
        <f t="shared" si="427"/>
        <v>0</v>
      </c>
      <c r="BI279" s="164">
        <f t="shared" si="427"/>
        <v>0</v>
      </c>
      <c r="BJ279" s="164">
        <f t="shared" si="427"/>
        <v>0</v>
      </c>
      <c r="BK279" s="33">
        <f t="shared" si="427"/>
        <v>0</v>
      </c>
    </row>
    <row r="280" spans="9:63">
      <c r="I280" s="31">
        <v>88</v>
      </c>
      <c r="L280" s="225">
        <f t="shared" si="405"/>
        <v>0</v>
      </c>
      <c r="M280" s="164">
        <f t="shared" ref="M280:BK280" si="428">LOOKUP(M167,$K$56:$BK$56,$K$60:$BK$60)</f>
        <v>0</v>
      </c>
      <c r="N280" s="164">
        <f t="shared" si="428"/>
        <v>0</v>
      </c>
      <c r="O280" s="164">
        <f t="shared" si="428"/>
        <v>0</v>
      </c>
      <c r="P280" s="164">
        <f t="shared" si="428"/>
        <v>0</v>
      </c>
      <c r="Q280" s="164">
        <f t="shared" si="428"/>
        <v>0</v>
      </c>
      <c r="R280" s="164">
        <f t="shared" si="428"/>
        <v>0</v>
      </c>
      <c r="S280" s="164">
        <f t="shared" si="428"/>
        <v>0</v>
      </c>
      <c r="T280" s="164">
        <f t="shared" si="428"/>
        <v>0</v>
      </c>
      <c r="U280" s="164">
        <f t="shared" si="428"/>
        <v>0</v>
      </c>
      <c r="V280" s="164">
        <f t="shared" si="428"/>
        <v>0</v>
      </c>
      <c r="W280" s="164">
        <f t="shared" si="428"/>
        <v>0</v>
      </c>
      <c r="X280" s="164">
        <f t="shared" si="428"/>
        <v>0</v>
      </c>
      <c r="Y280" s="164">
        <f t="shared" si="428"/>
        <v>0</v>
      </c>
      <c r="Z280" s="164">
        <f t="shared" si="428"/>
        <v>0</v>
      </c>
      <c r="AA280" s="164">
        <f t="shared" si="428"/>
        <v>0</v>
      </c>
      <c r="AB280" s="164">
        <f t="shared" si="428"/>
        <v>0</v>
      </c>
      <c r="AC280" s="164">
        <f t="shared" si="428"/>
        <v>0</v>
      </c>
      <c r="AD280" s="164">
        <f t="shared" si="428"/>
        <v>0</v>
      </c>
      <c r="AE280" s="164">
        <f t="shared" si="428"/>
        <v>0</v>
      </c>
      <c r="AF280" s="164">
        <f t="shared" si="428"/>
        <v>0</v>
      </c>
      <c r="AG280" s="164">
        <f t="shared" si="428"/>
        <v>0</v>
      </c>
      <c r="AH280" s="164">
        <f t="shared" si="428"/>
        <v>0</v>
      </c>
      <c r="AI280" s="164">
        <f t="shared" si="428"/>
        <v>0</v>
      </c>
      <c r="AJ280" s="164">
        <f t="shared" si="428"/>
        <v>0</v>
      </c>
      <c r="AK280" s="164">
        <f t="shared" si="428"/>
        <v>0</v>
      </c>
      <c r="AL280" s="164">
        <f t="shared" si="428"/>
        <v>0</v>
      </c>
      <c r="AM280" s="164">
        <f t="shared" si="428"/>
        <v>0</v>
      </c>
      <c r="AN280" s="164">
        <f t="shared" si="428"/>
        <v>0</v>
      </c>
      <c r="AO280" s="164">
        <f t="shared" si="428"/>
        <v>0</v>
      </c>
      <c r="AP280" s="164">
        <f t="shared" si="428"/>
        <v>0</v>
      </c>
      <c r="AQ280" s="164">
        <f t="shared" si="428"/>
        <v>0</v>
      </c>
      <c r="AR280" s="164">
        <f t="shared" si="428"/>
        <v>0</v>
      </c>
      <c r="AS280" s="164">
        <f t="shared" si="428"/>
        <v>0</v>
      </c>
      <c r="AT280" s="164">
        <f t="shared" si="428"/>
        <v>0</v>
      </c>
      <c r="AU280" s="164">
        <f t="shared" si="428"/>
        <v>0</v>
      </c>
      <c r="AV280" s="164">
        <f t="shared" si="428"/>
        <v>0</v>
      </c>
      <c r="AW280" s="164">
        <f t="shared" si="428"/>
        <v>0</v>
      </c>
      <c r="AX280" s="164">
        <f t="shared" si="428"/>
        <v>0</v>
      </c>
      <c r="AY280" s="164">
        <f t="shared" si="428"/>
        <v>0</v>
      </c>
      <c r="AZ280" s="164">
        <f t="shared" si="428"/>
        <v>0</v>
      </c>
      <c r="BA280" s="164">
        <f t="shared" si="428"/>
        <v>0</v>
      </c>
      <c r="BB280" s="164">
        <f t="shared" si="428"/>
        <v>0</v>
      </c>
      <c r="BC280" s="164">
        <f t="shared" si="428"/>
        <v>0</v>
      </c>
      <c r="BD280" s="164">
        <f t="shared" si="428"/>
        <v>0</v>
      </c>
      <c r="BE280" s="164">
        <f t="shared" si="428"/>
        <v>0</v>
      </c>
      <c r="BF280" s="164">
        <f t="shared" si="428"/>
        <v>0</v>
      </c>
      <c r="BG280" s="164">
        <f t="shared" si="428"/>
        <v>0</v>
      </c>
      <c r="BH280" s="164">
        <f t="shared" si="428"/>
        <v>0</v>
      </c>
      <c r="BI280" s="164">
        <f t="shared" si="428"/>
        <v>0</v>
      </c>
      <c r="BJ280" s="164">
        <f t="shared" si="428"/>
        <v>0</v>
      </c>
      <c r="BK280" s="33">
        <f t="shared" si="428"/>
        <v>0</v>
      </c>
    </row>
    <row r="281" spans="9:63">
      <c r="I281" s="31">
        <v>89</v>
      </c>
      <c r="L281" s="225">
        <f t="shared" si="405"/>
        <v>0</v>
      </c>
      <c r="M281" s="164">
        <f t="shared" ref="M281:BK281" si="429">LOOKUP(M168,$K$56:$BK$56,$K$60:$BK$60)</f>
        <v>0</v>
      </c>
      <c r="N281" s="164">
        <f t="shared" si="429"/>
        <v>0</v>
      </c>
      <c r="O281" s="164">
        <f t="shared" si="429"/>
        <v>0</v>
      </c>
      <c r="P281" s="164">
        <f t="shared" si="429"/>
        <v>0</v>
      </c>
      <c r="Q281" s="164">
        <f t="shared" si="429"/>
        <v>0</v>
      </c>
      <c r="R281" s="164">
        <f t="shared" si="429"/>
        <v>0</v>
      </c>
      <c r="S281" s="164">
        <f t="shared" si="429"/>
        <v>0</v>
      </c>
      <c r="T281" s="164">
        <f t="shared" si="429"/>
        <v>0</v>
      </c>
      <c r="U281" s="164">
        <f t="shared" si="429"/>
        <v>0</v>
      </c>
      <c r="V281" s="164">
        <f t="shared" si="429"/>
        <v>0</v>
      </c>
      <c r="W281" s="164">
        <f t="shared" si="429"/>
        <v>0</v>
      </c>
      <c r="X281" s="164">
        <f t="shared" si="429"/>
        <v>0</v>
      </c>
      <c r="Y281" s="164">
        <f t="shared" si="429"/>
        <v>0</v>
      </c>
      <c r="Z281" s="164">
        <f t="shared" si="429"/>
        <v>0</v>
      </c>
      <c r="AA281" s="164">
        <f t="shared" si="429"/>
        <v>0</v>
      </c>
      <c r="AB281" s="164">
        <f t="shared" si="429"/>
        <v>0</v>
      </c>
      <c r="AC281" s="164">
        <f t="shared" si="429"/>
        <v>0</v>
      </c>
      <c r="AD281" s="164">
        <f t="shared" si="429"/>
        <v>0</v>
      </c>
      <c r="AE281" s="164">
        <f t="shared" si="429"/>
        <v>0</v>
      </c>
      <c r="AF281" s="164">
        <f t="shared" si="429"/>
        <v>0</v>
      </c>
      <c r="AG281" s="164">
        <f t="shared" si="429"/>
        <v>0</v>
      </c>
      <c r="AH281" s="164">
        <f t="shared" si="429"/>
        <v>0</v>
      </c>
      <c r="AI281" s="164">
        <f t="shared" si="429"/>
        <v>0</v>
      </c>
      <c r="AJ281" s="164">
        <f t="shared" si="429"/>
        <v>0</v>
      </c>
      <c r="AK281" s="164">
        <f t="shared" si="429"/>
        <v>0</v>
      </c>
      <c r="AL281" s="164">
        <f t="shared" si="429"/>
        <v>0</v>
      </c>
      <c r="AM281" s="164">
        <f t="shared" si="429"/>
        <v>0</v>
      </c>
      <c r="AN281" s="164">
        <f t="shared" si="429"/>
        <v>0</v>
      </c>
      <c r="AO281" s="164">
        <f t="shared" si="429"/>
        <v>0</v>
      </c>
      <c r="AP281" s="164">
        <f t="shared" si="429"/>
        <v>0</v>
      </c>
      <c r="AQ281" s="164">
        <f t="shared" si="429"/>
        <v>0</v>
      </c>
      <c r="AR281" s="164">
        <f t="shared" si="429"/>
        <v>0</v>
      </c>
      <c r="AS281" s="164">
        <f t="shared" si="429"/>
        <v>0</v>
      </c>
      <c r="AT281" s="164">
        <f t="shared" si="429"/>
        <v>0</v>
      </c>
      <c r="AU281" s="164">
        <f t="shared" si="429"/>
        <v>0</v>
      </c>
      <c r="AV281" s="164">
        <f t="shared" si="429"/>
        <v>0</v>
      </c>
      <c r="AW281" s="164">
        <f t="shared" si="429"/>
        <v>0</v>
      </c>
      <c r="AX281" s="164">
        <f t="shared" si="429"/>
        <v>0</v>
      </c>
      <c r="AY281" s="164">
        <f t="shared" si="429"/>
        <v>0</v>
      </c>
      <c r="AZ281" s="164">
        <f t="shared" si="429"/>
        <v>0</v>
      </c>
      <c r="BA281" s="164">
        <f t="shared" si="429"/>
        <v>0</v>
      </c>
      <c r="BB281" s="164">
        <f t="shared" si="429"/>
        <v>0</v>
      </c>
      <c r="BC281" s="164">
        <f t="shared" si="429"/>
        <v>0</v>
      </c>
      <c r="BD281" s="164">
        <f t="shared" si="429"/>
        <v>0</v>
      </c>
      <c r="BE281" s="164">
        <f t="shared" si="429"/>
        <v>0</v>
      </c>
      <c r="BF281" s="164">
        <f t="shared" si="429"/>
        <v>0</v>
      </c>
      <c r="BG281" s="164">
        <f t="shared" si="429"/>
        <v>0</v>
      </c>
      <c r="BH281" s="164">
        <f t="shared" si="429"/>
        <v>0</v>
      </c>
      <c r="BI281" s="164">
        <f t="shared" si="429"/>
        <v>0</v>
      </c>
      <c r="BJ281" s="164">
        <f t="shared" si="429"/>
        <v>0</v>
      </c>
      <c r="BK281" s="33">
        <f t="shared" si="429"/>
        <v>0</v>
      </c>
    </row>
    <row r="282" spans="9:63">
      <c r="I282" s="31">
        <v>90</v>
      </c>
      <c r="L282" s="225">
        <f t="shared" si="405"/>
        <v>0</v>
      </c>
      <c r="M282" s="164">
        <f t="shared" ref="M282:BK282" si="430">LOOKUP(M169,$K$56:$BK$56,$K$60:$BK$60)</f>
        <v>0</v>
      </c>
      <c r="N282" s="164">
        <f t="shared" si="430"/>
        <v>0</v>
      </c>
      <c r="O282" s="164">
        <f t="shared" si="430"/>
        <v>0</v>
      </c>
      <c r="P282" s="164">
        <f t="shared" si="430"/>
        <v>0</v>
      </c>
      <c r="Q282" s="164">
        <f t="shared" si="430"/>
        <v>0</v>
      </c>
      <c r="R282" s="164">
        <f t="shared" si="430"/>
        <v>0</v>
      </c>
      <c r="S282" s="164">
        <f t="shared" si="430"/>
        <v>0</v>
      </c>
      <c r="T282" s="164">
        <f t="shared" si="430"/>
        <v>0</v>
      </c>
      <c r="U282" s="164">
        <f t="shared" si="430"/>
        <v>0</v>
      </c>
      <c r="V282" s="164">
        <f t="shared" si="430"/>
        <v>0</v>
      </c>
      <c r="W282" s="164">
        <f t="shared" si="430"/>
        <v>0</v>
      </c>
      <c r="X282" s="164">
        <f t="shared" si="430"/>
        <v>0</v>
      </c>
      <c r="Y282" s="164">
        <f t="shared" si="430"/>
        <v>0</v>
      </c>
      <c r="Z282" s="164">
        <f t="shared" si="430"/>
        <v>0</v>
      </c>
      <c r="AA282" s="164">
        <f t="shared" si="430"/>
        <v>0</v>
      </c>
      <c r="AB282" s="164">
        <f t="shared" si="430"/>
        <v>0</v>
      </c>
      <c r="AC282" s="164">
        <f t="shared" si="430"/>
        <v>0</v>
      </c>
      <c r="AD282" s="164">
        <f t="shared" si="430"/>
        <v>0</v>
      </c>
      <c r="AE282" s="164">
        <f t="shared" si="430"/>
        <v>0</v>
      </c>
      <c r="AF282" s="164">
        <f t="shared" si="430"/>
        <v>0</v>
      </c>
      <c r="AG282" s="164">
        <f t="shared" si="430"/>
        <v>0</v>
      </c>
      <c r="AH282" s="164">
        <f t="shared" si="430"/>
        <v>0</v>
      </c>
      <c r="AI282" s="164">
        <f t="shared" si="430"/>
        <v>0</v>
      </c>
      <c r="AJ282" s="164">
        <f t="shared" si="430"/>
        <v>0</v>
      </c>
      <c r="AK282" s="164">
        <f t="shared" si="430"/>
        <v>0</v>
      </c>
      <c r="AL282" s="164">
        <f t="shared" si="430"/>
        <v>0</v>
      </c>
      <c r="AM282" s="164">
        <f t="shared" si="430"/>
        <v>0</v>
      </c>
      <c r="AN282" s="164">
        <f t="shared" si="430"/>
        <v>0</v>
      </c>
      <c r="AO282" s="164">
        <f t="shared" si="430"/>
        <v>0</v>
      </c>
      <c r="AP282" s="164">
        <f t="shared" si="430"/>
        <v>0</v>
      </c>
      <c r="AQ282" s="164">
        <f t="shared" si="430"/>
        <v>0</v>
      </c>
      <c r="AR282" s="164">
        <f t="shared" si="430"/>
        <v>0</v>
      </c>
      <c r="AS282" s="164">
        <f t="shared" si="430"/>
        <v>0</v>
      </c>
      <c r="AT282" s="164">
        <f t="shared" si="430"/>
        <v>0</v>
      </c>
      <c r="AU282" s="164">
        <f t="shared" si="430"/>
        <v>0</v>
      </c>
      <c r="AV282" s="164">
        <f t="shared" si="430"/>
        <v>0</v>
      </c>
      <c r="AW282" s="164">
        <f t="shared" si="430"/>
        <v>0</v>
      </c>
      <c r="AX282" s="164">
        <f t="shared" si="430"/>
        <v>0</v>
      </c>
      <c r="AY282" s="164">
        <f t="shared" si="430"/>
        <v>0</v>
      </c>
      <c r="AZ282" s="164">
        <f t="shared" si="430"/>
        <v>0</v>
      </c>
      <c r="BA282" s="164">
        <f t="shared" si="430"/>
        <v>0</v>
      </c>
      <c r="BB282" s="164">
        <f t="shared" si="430"/>
        <v>0</v>
      </c>
      <c r="BC282" s="164">
        <f t="shared" si="430"/>
        <v>0</v>
      </c>
      <c r="BD282" s="164">
        <f t="shared" si="430"/>
        <v>0</v>
      </c>
      <c r="BE282" s="164">
        <f t="shared" si="430"/>
        <v>0</v>
      </c>
      <c r="BF282" s="164">
        <f t="shared" si="430"/>
        <v>0</v>
      </c>
      <c r="BG282" s="164">
        <f t="shared" si="430"/>
        <v>0</v>
      </c>
      <c r="BH282" s="164">
        <f t="shared" si="430"/>
        <v>0</v>
      </c>
      <c r="BI282" s="164">
        <f t="shared" si="430"/>
        <v>0</v>
      </c>
      <c r="BJ282" s="164">
        <f t="shared" si="430"/>
        <v>0</v>
      </c>
      <c r="BK282" s="33">
        <f t="shared" si="430"/>
        <v>0</v>
      </c>
    </row>
    <row r="283" spans="9:63">
      <c r="I283" s="31">
        <v>91</v>
      </c>
      <c r="L283" s="225">
        <f t="shared" si="405"/>
        <v>0</v>
      </c>
      <c r="M283" s="164">
        <f t="shared" ref="M283:BK283" si="431">LOOKUP(M170,$K$56:$BK$56,$K$60:$BK$60)</f>
        <v>0</v>
      </c>
      <c r="N283" s="164">
        <f t="shared" si="431"/>
        <v>0</v>
      </c>
      <c r="O283" s="164">
        <f t="shared" si="431"/>
        <v>0</v>
      </c>
      <c r="P283" s="164">
        <f t="shared" si="431"/>
        <v>0</v>
      </c>
      <c r="Q283" s="164">
        <f t="shared" si="431"/>
        <v>0</v>
      </c>
      <c r="R283" s="164">
        <f t="shared" si="431"/>
        <v>0</v>
      </c>
      <c r="S283" s="164">
        <f t="shared" si="431"/>
        <v>0</v>
      </c>
      <c r="T283" s="164">
        <f t="shared" si="431"/>
        <v>0</v>
      </c>
      <c r="U283" s="164">
        <f t="shared" si="431"/>
        <v>0</v>
      </c>
      <c r="V283" s="164">
        <f t="shared" si="431"/>
        <v>0</v>
      </c>
      <c r="W283" s="164">
        <f t="shared" si="431"/>
        <v>0</v>
      </c>
      <c r="X283" s="164">
        <f t="shared" si="431"/>
        <v>0</v>
      </c>
      <c r="Y283" s="164">
        <f t="shared" si="431"/>
        <v>0</v>
      </c>
      <c r="Z283" s="164">
        <f t="shared" si="431"/>
        <v>0</v>
      </c>
      <c r="AA283" s="164">
        <f t="shared" si="431"/>
        <v>0</v>
      </c>
      <c r="AB283" s="164">
        <f t="shared" si="431"/>
        <v>0</v>
      </c>
      <c r="AC283" s="164">
        <f t="shared" si="431"/>
        <v>0</v>
      </c>
      <c r="AD283" s="164">
        <f t="shared" si="431"/>
        <v>0</v>
      </c>
      <c r="AE283" s="164">
        <f t="shared" si="431"/>
        <v>0</v>
      </c>
      <c r="AF283" s="164">
        <f t="shared" si="431"/>
        <v>0</v>
      </c>
      <c r="AG283" s="164">
        <f t="shared" si="431"/>
        <v>0</v>
      </c>
      <c r="AH283" s="164">
        <f t="shared" si="431"/>
        <v>0</v>
      </c>
      <c r="AI283" s="164">
        <f t="shared" si="431"/>
        <v>0</v>
      </c>
      <c r="AJ283" s="164">
        <f t="shared" si="431"/>
        <v>0</v>
      </c>
      <c r="AK283" s="164">
        <f t="shared" si="431"/>
        <v>0</v>
      </c>
      <c r="AL283" s="164">
        <f t="shared" si="431"/>
        <v>0</v>
      </c>
      <c r="AM283" s="164">
        <f t="shared" si="431"/>
        <v>0</v>
      </c>
      <c r="AN283" s="164">
        <f t="shared" si="431"/>
        <v>0</v>
      </c>
      <c r="AO283" s="164">
        <f t="shared" si="431"/>
        <v>0</v>
      </c>
      <c r="AP283" s="164">
        <f t="shared" si="431"/>
        <v>0</v>
      </c>
      <c r="AQ283" s="164">
        <f t="shared" si="431"/>
        <v>0</v>
      </c>
      <c r="AR283" s="164">
        <f t="shared" si="431"/>
        <v>0</v>
      </c>
      <c r="AS283" s="164">
        <f t="shared" si="431"/>
        <v>0</v>
      </c>
      <c r="AT283" s="164">
        <f t="shared" si="431"/>
        <v>0</v>
      </c>
      <c r="AU283" s="164">
        <f t="shared" si="431"/>
        <v>0</v>
      </c>
      <c r="AV283" s="164">
        <f t="shared" si="431"/>
        <v>0</v>
      </c>
      <c r="AW283" s="164">
        <f t="shared" si="431"/>
        <v>0</v>
      </c>
      <c r="AX283" s="164">
        <f t="shared" si="431"/>
        <v>0</v>
      </c>
      <c r="AY283" s="164">
        <f t="shared" si="431"/>
        <v>0</v>
      </c>
      <c r="AZ283" s="164">
        <f t="shared" si="431"/>
        <v>0</v>
      </c>
      <c r="BA283" s="164">
        <f t="shared" si="431"/>
        <v>0</v>
      </c>
      <c r="BB283" s="164">
        <f t="shared" si="431"/>
        <v>0</v>
      </c>
      <c r="BC283" s="164">
        <f t="shared" si="431"/>
        <v>0</v>
      </c>
      <c r="BD283" s="164">
        <f t="shared" si="431"/>
        <v>0</v>
      </c>
      <c r="BE283" s="164">
        <f t="shared" si="431"/>
        <v>0</v>
      </c>
      <c r="BF283" s="164">
        <f t="shared" si="431"/>
        <v>0</v>
      </c>
      <c r="BG283" s="164">
        <f t="shared" si="431"/>
        <v>0</v>
      </c>
      <c r="BH283" s="164">
        <f t="shared" si="431"/>
        <v>0</v>
      </c>
      <c r="BI283" s="164">
        <f t="shared" si="431"/>
        <v>0</v>
      </c>
      <c r="BJ283" s="164">
        <f t="shared" si="431"/>
        <v>0</v>
      </c>
      <c r="BK283" s="33">
        <f t="shared" si="431"/>
        <v>0</v>
      </c>
    </row>
    <row r="284" spans="9:63">
      <c r="I284" s="31">
        <v>92</v>
      </c>
      <c r="L284" s="225">
        <f t="shared" si="405"/>
        <v>0</v>
      </c>
      <c r="M284" s="164">
        <f t="shared" ref="M284:BK284" si="432">LOOKUP(M171,$K$56:$BK$56,$K$60:$BK$60)</f>
        <v>0</v>
      </c>
      <c r="N284" s="164">
        <f t="shared" si="432"/>
        <v>0</v>
      </c>
      <c r="O284" s="164">
        <f t="shared" si="432"/>
        <v>0</v>
      </c>
      <c r="P284" s="164">
        <f t="shared" si="432"/>
        <v>0</v>
      </c>
      <c r="Q284" s="164">
        <f t="shared" si="432"/>
        <v>0</v>
      </c>
      <c r="R284" s="164">
        <f t="shared" si="432"/>
        <v>0</v>
      </c>
      <c r="S284" s="164">
        <f t="shared" si="432"/>
        <v>0</v>
      </c>
      <c r="T284" s="164">
        <f t="shared" si="432"/>
        <v>0</v>
      </c>
      <c r="U284" s="164">
        <f t="shared" si="432"/>
        <v>0</v>
      </c>
      <c r="V284" s="164">
        <f t="shared" si="432"/>
        <v>0</v>
      </c>
      <c r="W284" s="164">
        <f t="shared" si="432"/>
        <v>0</v>
      </c>
      <c r="X284" s="164">
        <f t="shared" si="432"/>
        <v>0</v>
      </c>
      <c r="Y284" s="164">
        <f t="shared" si="432"/>
        <v>0</v>
      </c>
      <c r="Z284" s="164">
        <f t="shared" si="432"/>
        <v>0</v>
      </c>
      <c r="AA284" s="164">
        <f t="shared" si="432"/>
        <v>0</v>
      </c>
      <c r="AB284" s="164">
        <f t="shared" si="432"/>
        <v>0</v>
      </c>
      <c r="AC284" s="164">
        <f t="shared" si="432"/>
        <v>0</v>
      </c>
      <c r="AD284" s="164">
        <f t="shared" si="432"/>
        <v>0</v>
      </c>
      <c r="AE284" s="164">
        <f t="shared" si="432"/>
        <v>0</v>
      </c>
      <c r="AF284" s="164">
        <f t="shared" si="432"/>
        <v>0</v>
      </c>
      <c r="AG284" s="164">
        <f t="shared" si="432"/>
        <v>0</v>
      </c>
      <c r="AH284" s="164">
        <f t="shared" si="432"/>
        <v>0</v>
      </c>
      <c r="AI284" s="164">
        <f t="shared" si="432"/>
        <v>0</v>
      </c>
      <c r="AJ284" s="164">
        <f t="shared" si="432"/>
        <v>0</v>
      </c>
      <c r="AK284" s="164">
        <f t="shared" si="432"/>
        <v>0</v>
      </c>
      <c r="AL284" s="164">
        <f t="shared" si="432"/>
        <v>0</v>
      </c>
      <c r="AM284" s="164">
        <f t="shared" si="432"/>
        <v>0</v>
      </c>
      <c r="AN284" s="164">
        <f t="shared" si="432"/>
        <v>0</v>
      </c>
      <c r="AO284" s="164">
        <f t="shared" si="432"/>
        <v>0</v>
      </c>
      <c r="AP284" s="164">
        <f t="shared" si="432"/>
        <v>0</v>
      </c>
      <c r="AQ284" s="164">
        <f t="shared" si="432"/>
        <v>0</v>
      </c>
      <c r="AR284" s="164">
        <f t="shared" si="432"/>
        <v>0</v>
      </c>
      <c r="AS284" s="164">
        <f t="shared" si="432"/>
        <v>0</v>
      </c>
      <c r="AT284" s="164">
        <f t="shared" si="432"/>
        <v>0</v>
      </c>
      <c r="AU284" s="164">
        <f t="shared" si="432"/>
        <v>0</v>
      </c>
      <c r="AV284" s="164">
        <f t="shared" si="432"/>
        <v>0</v>
      </c>
      <c r="AW284" s="164">
        <f t="shared" si="432"/>
        <v>0</v>
      </c>
      <c r="AX284" s="164">
        <f t="shared" si="432"/>
        <v>0</v>
      </c>
      <c r="AY284" s="164">
        <f t="shared" si="432"/>
        <v>0</v>
      </c>
      <c r="AZ284" s="164">
        <f t="shared" si="432"/>
        <v>0</v>
      </c>
      <c r="BA284" s="164">
        <f t="shared" si="432"/>
        <v>0</v>
      </c>
      <c r="BB284" s="164">
        <f t="shared" si="432"/>
        <v>0</v>
      </c>
      <c r="BC284" s="164">
        <f t="shared" si="432"/>
        <v>0</v>
      </c>
      <c r="BD284" s="164">
        <f t="shared" si="432"/>
        <v>0</v>
      </c>
      <c r="BE284" s="164">
        <f t="shared" si="432"/>
        <v>0</v>
      </c>
      <c r="BF284" s="164">
        <f t="shared" si="432"/>
        <v>0</v>
      </c>
      <c r="BG284" s="164">
        <f t="shared" si="432"/>
        <v>0</v>
      </c>
      <c r="BH284" s="164">
        <f t="shared" si="432"/>
        <v>0</v>
      </c>
      <c r="BI284" s="164">
        <f t="shared" si="432"/>
        <v>0</v>
      </c>
      <c r="BJ284" s="164">
        <f t="shared" si="432"/>
        <v>0</v>
      </c>
      <c r="BK284" s="33">
        <f t="shared" si="432"/>
        <v>0</v>
      </c>
    </row>
    <row r="285" spans="9:63">
      <c r="I285" s="31">
        <v>93</v>
      </c>
      <c r="L285" s="225">
        <f t="shared" si="405"/>
        <v>0</v>
      </c>
      <c r="M285" s="164">
        <f t="shared" ref="M285:BK285" si="433">LOOKUP(M172,$K$56:$BK$56,$K$60:$BK$60)</f>
        <v>0</v>
      </c>
      <c r="N285" s="164">
        <f t="shared" si="433"/>
        <v>0</v>
      </c>
      <c r="O285" s="164">
        <f t="shared" si="433"/>
        <v>0</v>
      </c>
      <c r="P285" s="164">
        <f t="shared" si="433"/>
        <v>0</v>
      </c>
      <c r="Q285" s="164">
        <f t="shared" si="433"/>
        <v>0</v>
      </c>
      <c r="R285" s="164">
        <f t="shared" si="433"/>
        <v>0</v>
      </c>
      <c r="S285" s="164">
        <f t="shared" si="433"/>
        <v>0</v>
      </c>
      <c r="T285" s="164">
        <f t="shared" si="433"/>
        <v>0</v>
      </c>
      <c r="U285" s="164">
        <f t="shared" si="433"/>
        <v>0</v>
      </c>
      <c r="V285" s="164">
        <f t="shared" si="433"/>
        <v>0</v>
      </c>
      <c r="W285" s="164">
        <f t="shared" si="433"/>
        <v>0</v>
      </c>
      <c r="X285" s="164">
        <f t="shared" si="433"/>
        <v>0</v>
      </c>
      <c r="Y285" s="164">
        <f t="shared" si="433"/>
        <v>0</v>
      </c>
      <c r="Z285" s="164">
        <f t="shared" si="433"/>
        <v>0</v>
      </c>
      <c r="AA285" s="164">
        <f t="shared" si="433"/>
        <v>0</v>
      </c>
      <c r="AB285" s="164">
        <f t="shared" si="433"/>
        <v>0</v>
      </c>
      <c r="AC285" s="164">
        <f t="shared" si="433"/>
        <v>0</v>
      </c>
      <c r="AD285" s="164">
        <f t="shared" si="433"/>
        <v>0</v>
      </c>
      <c r="AE285" s="164">
        <f t="shared" si="433"/>
        <v>0</v>
      </c>
      <c r="AF285" s="164">
        <f t="shared" si="433"/>
        <v>0</v>
      </c>
      <c r="AG285" s="164">
        <f t="shared" si="433"/>
        <v>0</v>
      </c>
      <c r="AH285" s="164">
        <f t="shared" si="433"/>
        <v>0</v>
      </c>
      <c r="AI285" s="164">
        <f t="shared" si="433"/>
        <v>0</v>
      </c>
      <c r="AJ285" s="164">
        <f t="shared" si="433"/>
        <v>0</v>
      </c>
      <c r="AK285" s="164">
        <f t="shared" si="433"/>
        <v>0</v>
      </c>
      <c r="AL285" s="164">
        <f t="shared" si="433"/>
        <v>0</v>
      </c>
      <c r="AM285" s="164">
        <f t="shared" si="433"/>
        <v>0</v>
      </c>
      <c r="AN285" s="164">
        <f t="shared" si="433"/>
        <v>0</v>
      </c>
      <c r="AO285" s="164">
        <f t="shared" si="433"/>
        <v>0</v>
      </c>
      <c r="AP285" s="164">
        <f t="shared" si="433"/>
        <v>0</v>
      </c>
      <c r="AQ285" s="164">
        <f t="shared" si="433"/>
        <v>0</v>
      </c>
      <c r="AR285" s="164">
        <f t="shared" si="433"/>
        <v>0</v>
      </c>
      <c r="AS285" s="164">
        <f t="shared" si="433"/>
        <v>0</v>
      </c>
      <c r="AT285" s="164">
        <f t="shared" si="433"/>
        <v>0</v>
      </c>
      <c r="AU285" s="164">
        <f t="shared" si="433"/>
        <v>0</v>
      </c>
      <c r="AV285" s="164">
        <f t="shared" si="433"/>
        <v>0</v>
      </c>
      <c r="AW285" s="164">
        <f t="shared" si="433"/>
        <v>0</v>
      </c>
      <c r="AX285" s="164">
        <f t="shared" si="433"/>
        <v>0</v>
      </c>
      <c r="AY285" s="164">
        <f t="shared" si="433"/>
        <v>0</v>
      </c>
      <c r="AZ285" s="164">
        <f t="shared" si="433"/>
        <v>0</v>
      </c>
      <c r="BA285" s="164">
        <f t="shared" si="433"/>
        <v>0</v>
      </c>
      <c r="BB285" s="164">
        <f t="shared" si="433"/>
        <v>0</v>
      </c>
      <c r="BC285" s="164">
        <f t="shared" si="433"/>
        <v>0</v>
      </c>
      <c r="BD285" s="164">
        <f t="shared" si="433"/>
        <v>0</v>
      </c>
      <c r="BE285" s="164">
        <f t="shared" si="433"/>
        <v>0</v>
      </c>
      <c r="BF285" s="164">
        <f t="shared" si="433"/>
        <v>0</v>
      </c>
      <c r="BG285" s="164">
        <f t="shared" si="433"/>
        <v>0</v>
      </c>
      <c r="BH285" s="164">
        <f t="shared" si="433"/>
        <v>0</v>
      </c>
      <c r="BI285" s="164">
        <f t="shared" si="433"/>
        <v>0</v>
      </c>
      <c r="BJ285" s="164">
        <f t="shared" si="433"/>
        <v>0</v>
      </c>
      <c r="BK285" s="33">
        <f t="shared" si="433"/>
        <v>0</v>
      </c>
    </row>
    <row r="286" spans="9:63">
      <c r="I286" s="31">
        <v>94</v>
      </c>
      <c r="L286" s="225">
        <f t="shared" si="405"/>
        <v>0</v>
      </c>
      <c r="M286" s="164">
        <f t="shared" ref="M286:BK286" si="434">LOOKUP(M173,$K$56:$BK$56,$K$60:$BK$60)</f>
        <v>0</v>
      </c>
      <c r="N286" s="164">
        <f t="shared" si="434"/>
        <v>0</v>
      </c>
      <c r="O286" s="164">
        <f t="shared" si="434"/>
        <v>0</v>
      </c>
      <c r="P286" s="164">
        <f t="shared" si="434"/>
        <v>0</v>
      </c>
      <c r="Q286" s="164">
        <f t="shared" si="434"/>
        <v>0</v>
      </c>
      <c r="R286" s="164">
        <f t="shared" si="434"/>
        <v>0</v>
      </c>
      <c r="S286" s="164">
        <f t="shared" si="434"/>
        <v>0</v>
      </c>
      <c r="T286" s="164">
        <f t="shared" si="434"/>
        <v>0</v>
      </c>
      <c r="U286" s="164">
        <f t="shared" si="434"/>
        <v>0</v>
      </c>
      <c r="V286" s="164">
        <f t="shared" si="434"/>
        <v>0</v>
      </c>
      <c r="W286" s="164">
        <f t="shared" si="434"/>
        <v>0</v>
      </c>
      <c r="X286" s="164">
        <f t="shared" si="434"/>
        <v>0</v>
      </c>
      <c r="Y286" s="164">
        <f t="shared" si="434"/>
        <v>0</v>
      </c>
      <c r="Z286" s="164">
        <f t="shared" si="434"/>
        <v>0</v>
      </c>
      <c r="AA286" s="164">
        <f t="shared" si="434"/>
        <v>0</v>
      </c>
      <c r="AB286" s="164">
        <f t="shared" si="434"/>
        <v>0</v>
      </c>
      <c r="AC286" s="164">
        <f t="shared" si="434"/>
        <v>0</v>
      </c>
      <c r="AD286" s="164">
        <f t="shared" si="434"/>
        <v>0</v>
      </c>
      <c r="AE286" s="164">
        <f t="shared" si="434"/>
        <v>0</v>
      </c>
      <c r="AF286" s="164">
        <f t="shared" si="434"/>
        <v>0</v>
      </c>
      <c r="AG286" s="164">
        <f t="shared" si="434"/>
        <v>0</v>
      </c>
      <c r="AH286" s="164">
        <f t="shared" si="434"/>
        <v>0</v>
      </c>
      <c r="AI286" s="164">
        <f t="shared" si="434"/>
        <v>0</v>
      </c>
      <c r="AJ286" s="164">
        <f t="shared" si="434"/>
        <v>0</v>
      </c>
      <c r="AK286" s="164">
        <f t="shared" si="434"/>
        <v>0</v>
      </c>
      <c r="AL286" s="164">
        <f t="shared" si="434"/>
        <v>0</v>
      </c>
      <c r="AM286" s="164">
        <f t="shared" si="434"/>
        <v>0</v>
      </c>
      <c r="AN286" s="164">
        <f t="shared" si="434"/>
        <v>0</v>
      </c>
      <c r="AO286" s="164">
        <f t="shared" si="434"/>
        <v>0</v>
      </c>
      <c r="AP286" s="164">
        <f t="shared" si="434"/>
        <v>0</v>
      </c>
      <c r="AQ286" s="164">
        <f t="shared" si="434"/>
        <v>0</v>
      </c>
      <c r="AR286" s="164">
        <f t="shared" si="434"/>
        <v>0</v>
      </c>
      <c r="AS286" s="164">
        <f t="shared" si="434"/>
        <v>0</v>
      </c>
      <c r="AT286" s="164">
        <f t="shared" si="434"/>
        <v>0</v>
      </c>
      <c r="AU286" s="164">
        <f t="shared" si="434"/>
        <v>0</v>
      </c>
      <c r="AV286" s="164">
        <f t="shared" si="434"/>
        <v>0</v>
      </c>
      <c r="AW286" s="164">
        <f t="shared" si="434"/>
        <v>0</v>
      </c>
      <c r="AX286" s="164">
        <f t="shared" si="434"/>
        <v>0</v>
      </c>
      <c r="AY286" s="164">
        <f t="shared" si="434"/>
        <v>0</v>
      </c>
      <c r="AZ286" s="164">
        <f t="shared" si="434"/>
        <v>0</v>
      </c>
      <c r="BA286" s="164">
        <f t="shared" si="434"/>
        <v>0</v>
      </c>
      <c r="BB286" s="164">
        <f t="shared" si="434"/>
        <v>0</v>
      </c>
      <c r="BC286" s="164">
        <f t="shared" si="434"/>
        <v>0</v>
      </c>
      <c r="BD286" s="164">
        <f t="shared" si="434"/>
        <v>0</v>
      </c>
      <c r="BE286" s="164">
        <f t="shared" si="434"/>
        <v>0</v>
      </c>
      <c r="BF286" s="164">
        <f t="shared" si="434"/>
        <v>0</v>
      </c>
      <c r="BG286" s="164">
        <f t="shared" si="434"/>
        <v>0</v>
      </c>
      <c r="BH286" s="164">
        <f t="shared" si="434"/>
        <v>0</v>
      </c>
      <c r="BI286" s="164">
        <f t="shared" si="434"/>
        <v>0</v>
      </c>
      <c r="BJ286" s="164">
        <f t="shared" si="434"/>
        <v>0</v>
      </c>
      <c r="BK286" s="33">
        <f t="shared" si="434"/>
        <v>0</v>
      </c>
    </row>
    <row r="287" spans="9:63">
      <c r="I287" s="31">
        <v>95</v>
      </c>
      <c r="L287" s="225">
        <f t="shared" si="405"/>
        <v>0</v>
      </c>
      <c r="M287" s="164">
        <f t="shared" ref="M287:BK287" si="435">LOOKUP(M174,$K$56:$BK$56,$K$60:$BK$60)</f>
        <v>0</v>
      </c>
      <c r="N287" s="164">
        <f t="shared" si="435"/>
        <v>0</v>
      </c>
      <c r="O287" s="164">
        <f t="shared" si="435"/>
        <v>0</v>
      </c>
      <c r="P287" s="164">
        <f t="shared" si="435"/>
        <v>0</v>
      </c>
      <c r="Q287" s="164">
        <f t="shared" si="435"/>
        <v>0</v>
      </c>
      <c r="R287" s="164">
        <f t="shared" si="435"/>
        <v>0</v>
      </c>
      <c r="S287" s="164">
        <f t="shared" si="435"/>
        <v>0</v>
      </c>
      <c r="T287" s="164">
        <f t="shared" si="435"/>
        <v>0</v>
      </c>
      <c r="U287" s="164">
        <f t="shared" si="435"/>
        <v>0</v>
      </c>
      <c r="V287" s="164">
        <f t="shared" si="435"/>
        <v>0</v>
      </c>
      <c r="W287" s="164">
        <f t="shared" si="435"/>
        <v>0</v>
      </c>
      <c r="X287" s="164">
        <f t="shared" si="435"/>
        <v>0</v>
      </c>
      <c r="Y287" s="164">
        <f t="shared" si="435"/>
        <v>0</v>
      </c>
      <c r="Z287" s="164">
        <f t="shared" si="435"/>
        <v>0</v>
      </c>
      <c r="AA287" s="164">
        <f t="shared" si="435"/>
        <v>0</v>
      </c>
      <c r="AB287" s="164">
        <f t="shared" si="435"/>
        <v>0</v>
      </c>
      <c r="AC287" s="164">
        <f t="shared" si="435"/>
        <v>0</v>
      </c>
      <c r="AD287" s="164">
        <f t="shared" si="435"/>
        <v>0</v>
      </c>
      <c r="AE287" s="164">
        <f t="shared" si="435"/>
        <v>0</v>
      </c>
      <c r="AF287" s="164">
        <f t="shared" si="435"/>
        <v>0</v>
      </c>
      <c r="AG287" s="164">
        <f t="shared" si="435"/>
        <v>0</v>
      </c>
      <c r="AH287" s="164">
        <f t="shared" si="435"/>
        <v>0</v>
      </c>
      <c r="AI287" s="164">
        <f t="shared" si="435"/>
        <v>0</v>
      </c>
      <c r="AJ287" s="164">
        <f t="shared" si="435"/>
        <v>0</v>
      </c>
      <c r="AK287" s="164">
        <f t="shared" si="435"/>
        <v>0</v>
      </c>
      <c r="AL287" s="164">
        <f t="shared" si="435"/>
        <v>0</v>
      </c>
      <c r="AM287" s="164">
        <f t="shared" si="435"/>
        <v>0</v>
      </c>
      <c r="AN287" s="164">
        <f t="shared" si="435"/>
        <v>0</v>
      </c>
      <c r="AO287" s="164">
        <f t="shared" si="435"/>
        <v>0</v>
      </c>
      <c r="AP287" s="164">
        <f t="shared" si="435"/>
        <v>0</v>
      </c>
      <c r="AQ287" s="164">
        <f t="shared" si="435"/>
        <v>0</v>
      </c>
      <c r="AR287" s="164">
        <f t="shared" si="435"/>
        <v>0</v>
      </c>
      <c r="AS287" s="164">
        <f t="shared" si="435"/>
        <v>0</v>
      </c>
      <c r="AT287" s="164">
        <f t="shared" si="435"/>
        <v>0</v>
      </c>
      <c r="AU287" s="164">
        <f t="shared" si="435"/>
        <v>0</v>
      </c>
      <c r="AV287" s="164">
        <f t="shared" si="435"/>
        <v>0</v>
      </c>
      <c r="AW287" s="164">
        <f t="shared" si="435"/>
        <v>0</v>
      </c>
      <c r="AX287" s="164">
        <f t="shared" si="435"/>
        <v>0</v>
      </c>
      <c r="AY287" s="164">
        <f t="shared" si="435"/>
        <v>0</v>
      </c>
      <c r="AZ287" s="164">
        <f t="shared" si="435"/>
        <v>0</v>
      </c>
      <c r="BA287" s="164">
        <f t="shared" si="435"/>
        <v>0</v>
      </c>
      <c r="BB287" s="164">
        <f t="shared" si="435"/>
        <v>0</v>
      </c>
      <c r="BC287" s="164">
        <f t="shared" si="435"/>
        <v>0</v>
      </c>
      <c r="BD287" s="164">
        <f t="shared" si="435"/>
        <v>0</v>
      </c>
      <c r="BE287" s="164">
        <f t="shared" si="435"/>
        <v>0</v>
      </c>
      <c r="BF287" s="164">
        <f t="shared" si="435"/>
        <v>0</v>
      </c>
      <c r="BG287" s="164">
        <f t="shared" si="435"/>
        <v>0</v>
      </c>
      <c r="BH287" s="164">
        <f t="shared" si="435"/>
        <v>0</v>
      </c>
      <c r="BI287" s="164">
        <f t="shared" si="435"/>
        <v>0</v>
      </c>
      <c r="BJ287" s="164">
        <f t="shared" si="435"/>
        <v>0</v>
      </c>
      <c r="BK287" s="33">
        <f t="shared" si="435"/>
        <v>0</v>
      </c>
    </row>
    <row r="288" spans="9:63">
      <c r="I288" s="31">
        <v>96</v>
      </c>
      <c r="L288" s="225">
        <f t="shared" si="405"/>
        <v>0</v>
      </c>
      <c r="M288" s="164">
        <f t="shared" ref="M288:BK288" si="436">LOOKUP(M175,$K$56:$BK$56,$K$60:$BK$60)</f>
        <v>0</v>
      </c>
      <c r="N288" s="164">
        <f t="shared" si="436"/>
        <v>0</v>
      </c>
      <c r="O288" s="164">
        <f t="shared" si="436"/>
        <v>0</v>
      </c>
      <c r="P288" s="164">
        <f t="shared" si="436"/>
        <v>0</v>
      </c>
      <c r="Q288" s="164">
        <f t="shared" si="436"/>
        <v>0</v>
      </c>
      <c r="R288" s="164">
        <f t="shared" si="436"/>
        <v>0</v>
      </c>
      <c r="S288" s="164">
        <f t="shared" si="436"/>
        <v>0</v>
      </c>
      <c r="T288" s="164">
        <f t="shared" si="436"/>
        <v>0</v>
      </c>
      <c r="U288" s="164">
        <f t="shared" si="436"/>
        <v>0</v>
      </c>
      <c r="V288" s="164">
        <f t="shared" si="436"/>
        <v>0</v>
      </c>
      <c r="W288" s="164">
        <f t="shared" si="436"/>
        <v>0</v>
      </c>
      <c r="X288" s="164">
        <f t="shared" si="436"/>
        <v>0</v>
      </c>
      <c r="Y288" s="164">
        <f t="shared" si="436"/>
        <v>0</v>
      </c>
      <c r="Z288" s="164">
        <f t="shared" si="436"/>
        <v>0</v>
      </c>
      <c r="AA288" s="164">
        <f t="shared" si="436"/>
        <v>0</v>
      </c>
      <c r="AB288" s="164">
        <f t="shared" si="436"/>
        <v>0</v>
      </c>
      <c r="AC288" s="164">
        <f t="shared" si="436"/>
        <v>0</v>
      </c>
      <c r="AD288" s="164">
        <f t="shared" si="436"/>
        <v>0</v>
      </c>
      <c r="AE288" s="164">
        <f t="shared" si="436"/>
        <v>0</v>
      </c>
      <c r="AF288" s="164">
        <f t="shared" si="436"/>
        <v>0</v>
      </c>
      <c r="AG288" s="164">
        <f t="shared" si="436"/>
        <v>0</v>
      </c>
      <c r="AH288" s="164">
        <f t="shared" si="436"/>
        <v>0</v>
      </c>
      <c r="AI288" s="164">
        <f t="shared" si="436"/>
        <v>0</v>
      </c>
      <c r="AJ288" s="164">
        <f t="shared" si="436"/>
        <v>0</v>
      </c>
      <c r="AK288" s="164">
        <f t="shared" si="436"/>
        <v>0</v>
      </c>
      <c r="AL288" s="164">
        <f t="shared" si="436"/>
        <v>0</v>
      </c>
      <c r="AM288" s="164">
        <f t="shared" si="436"/>
        <v>0</v>
      </c>
      <c r="AN288" s="164">
        <f t="shared" si="436"/>
        <v>0</v>
      </c>
      <c r="AO288" s="164">
        <f t="shared" si="436"/>
        <v>0</v>
      </c>
      <c r="AP288" s="164">
        <f t="shared" si="436"/>
        <v>0</v>
      </c>
      <c r="AQ288" s="164">
        <f t="shared" si="436"/>
        <v>0</v>
      </c>
      <c r="AR288" s="164">
        <f t="shared" si="436"/>
        <v>0</v>
      </c>
      <c r="AS288" s="164">
        <f t="shared" si="436"/>
        <v>0</v>
      </c>
      <c r="AT288" s="164">
        <f t="shared" si="436"/>
        <v>0</v>
      </c>
      <c r="AU288" s="164">
        <f t="shared" si="436"/>
        <v>0</v>
      </c>
      <c r="AV288" s="164">
        <f t="shared" si="436"/>
        <v>0</v>
      </c>
      <c r="AW288" s="164">
        <f t="shared" si="436"/>
        <v>0</v>
      </c>
      <c r="AX288" s="164">
        <f t="shared" si="436"/>
        <v>0</v>
      </c>
      <c r="AY288" s="164">
        <f t="shared" si="436"/>
        <v>0</v>
      </c>
      <c r="AZ288" s="164">
        <f t="shared" si="436"/>
        <v>0</v>
      </c>
      <c r="BA288" s="164">
        <f t="shared" si="436"/>
        <v>0</v>
      </c>
      <c r="BB288" s="164">
        <f t="shared" si="436"/>
        <v>0</v>
      </c>
      <c r="BC288" s="164">
        <f t="shared" si="436"/>
        <v>0</v>
      </c>
      <c r="BD288" s="164">
        <f t="shared" si="436"/>
        <v>0</v>
      </c>
      <c r="BE288" s="164">
        <f t="shared" si="436"/>
        <v>0</v>
      </c>
      <c r="BF288" s="164">
        <f t="shared" si="436"/>
        <v>0</v>
      </c>
      <c r="BG288" s="164">
        <f t="shared" si="436"/>
        <v>0</v>
      </c>
      <c r="BH288" s="164">
        <f t="shared" si="436"/>
        <v>0</v>
      </c>
      <c r="BI288" s="164">
        <f t="shared" si="436"/>
        <v>0</v>
      </c>
      <c r="BJ288" s="164">
        <f t="shared" si="436"/>
        <v>0</v>
      </c>
      <c r="BK288" s="33">
        <f t="shared" si="436"/>
        <v>0</v>
      </c>
    </row>
    <row r="289" spans="9:63">
      <c r="I289" s="31">
        <v>97</v>
      </c>
      <c r="L289" s="225">
        <f t="shared" si="405"/>
        <v>0</v>
      </c>
      <c r="M289" s="164">
        <f t="shared" ref="M289:BK289" si="437">LOOKUP(M176,$K$56:$BK$56,$K$60:$BK$60)</f>
        <v>0</v>
      </c>
      <c r="N289" s="164">
        <f t="shared" si="437"/>
        <v>0</v>
      </c>
      <c r="O289" s="164">
        <f t="shared" si="437"/>
        <v>0</v>
      </c>
      <c r="P289" s="164">
        <f t="shared" si="437"/>
        <v>0</v>
      </c>
      <c r="Q289" s="164">
        <f t="shared" si="437"/>
        <v>0</v>
      </c>
      <c r="R289" s="164">
        <f t="shared" si="437"/>
        <v>0</v>
      </c>
      <c r="S289" s="164">
        <f t="shared" si="437"/>
        <v>0</v>
      </c>
      <c r="T289" s="164">
        <f t="shared" si="437"/>
        <v>0</v>
      </c>
      <c r="U289" s="164">
        <f t="shared" si="437"/>
        <v>0</v>
      </c>
      <c r="V289" s="164">
        <f t="shared" si="437"/>
        <v>0</v>
      </c>
      <c r="W289" s="164">
        <f t="shared" si="437"/>
        <v>0</v>
      </c>
      <c r="X289" s="164">
        <f t="shared" si="437"/>
        <v>0</v>
      </c>
      <c r="Y289" s="164">
        <f t="shared" si="437"/>
        <v>0</v>
      </c>
      <c r="Z289" s="164">
        <f t="shared" si="437"/>
        <v>0</v>
      </c>
      <c r="AA289" s="164">
        <f t="shared" si="437"/>
        <v>0</v>
      </c>
      <c r="AB289" s="164">
        <f t="shared" si="437"/>
        <v>0</v>
      </c>
      <c r="AC289" s="164">
        <f t="shared" si="437"/>
        <v>0</v>
      </c>
      <c r="AD289" s="164">
        <f t="shared" si="437"/>
        <v>0</v>
      </c>
      <c r="AE289" s="164">
        <f t="shared" si="437"/>
        <v>0</v>
      </c>
      <c r="AF289" s="164">
        <f t="shared" si="437"/>
        <v>0</v>
      </c>
      <c r="AG289" s="164">
        <f t="shared" si="437"/>
        <v>0</v>
      </c>
      <c r="AH289" s="164">
        <f t="shared" si="437"/>
        <v>0</v>
      </c>
      <c r="AI289" s="164">
        <f t="shared" si="437"/>
        <v>0</v>
      </c>
      <c r="AJ289" s="164">
        <f t="shared" si="437"/>
        <v>0</v>
      </c>
      <c r="AK289" s="164">
        <f t="shared" si="437"/>
        <v>0</v>
      </c>
      <c r="AL289" s="164">
        <f t="shared" si="437"/>
        <v>0</v>
      </c>
      <c r="AM289" s="164">
        <f t="shared" si="437"/>
        <v>0</v>
      </c>
      <c r="AN289" s="164">
        <f t="shared" si="437"/>
        <v>0</v>
      </c>
      <c r="AO289" s="164">
        <f t="shared" si="437"/>
        <v>0</v>
      </c>
      <c r="AP289" s="164">
        <f t="shared" si="437"/>
        <v>0</v>
      </c>
      <c r="AQ289" s="164">
        <f t="shared" si="437"/>
        <v>0</v>
      </c>
      <c r="AR289" s="164">
        <f t="shared" si="437"/>
        <v>0</v>
      </c>
      <c r="AS289" s="164">
        <f t="shared" si="437"/>
        <v>0</v>
      </c>
      <c r="AT289" s="164">
        <f t="shared" si="437"/>
        <v>0</v>
      </c>
      <c r="AU289" s="164">
        <f t="shared" si="437"/>
        <v>0</v>
      </c>
      <c r="AV289" s="164">
        <f t="shared" si="437"/>
        <v>0</v>
      </c>
      <c r="AW289" s="164">
        <f t="shared" si="437"/>
        <v>0</v>
      </c>
      <c r="AX289" s="164">
        <f t="shared" si="437"/>
        <v>0</v>
      </c>
      <c r="AY289" s="164">
        <f t="shared" si="437"/>
        <v>0</v>
      </c>
      <c r="AZ289" s="164">
        <f t="shared" si="437"/>
        <v>0</v>
      </c>
      <c r="BA289" s="164">
        <f t="shared" si="437"/>
        <v>0</v>
      </c>
      <c r="BB289" s="164">
        <f t="shared" si="437"/>
        <v>0</v>
      </c>
      <c r="BC289" s="164">
        <f t="shared" si="437"/>
        <v>0</v>
      </c>
      <c r="BD289" s="164">
        <f t="shared" si="437"/>
        <v>0</v>
      </c>
      <c r="BE289" s="164">
        <f t="shared" si="437"/>
        <v>0</v>
      </c>
      <c r="BF289" s="164">
        <f t="shared" si="437"/>
        <v>0</v>
      </c>
      <c r="BG289" s="164">
        <f t="shared" si="437"/>
        <v>0</v>
      </c>
      <c r="BH289" s="164">
        <f t="shared" si="437"/>
        <v>0</v>
      </c>
      <c r="BI289" s="164">
        <f t="shared" si="437"/>
        <v>0</v>
      </c>
      <c r="BJ289" s="164">
        <f t="shared" si="437"/>
        <v>0</v>
      </c>
      <c r="BK289" s="33">
        <f t="shared" si="437"/>
        <v>0</v>
      </c>
    </row>
    <row r="290" spans="9:63">
      <c r="I290" s="31">
        <v>98</v>
      </c>
      <c r="L290" s="225">
        <f t="shared" si="405"/>
        <v>0</v>
      </c>
      <c r="M290" s="164">
        <f t="shared" ref="M290:BK290" si="438">LOOKUP(M177,$K$56:$BK$56,$K$60:$BK$60)</f>
        <v>0</v>
      </c>
      <c r="N290" s="164">
        <f t="shared" si="438"/>
        <v>0</v>
      </c>
      <c r="O290" s="164">
        <f t="shared" si="438"/>
        <v>0</v>
      </c>
      <c r="P290" s="164">
        <f t="shared" si="438"/>
        <v>0</v>
      </c>
      <c r="Q290" s="164">
        <f t="shared" si="438"/>
        <v>0</v>
      </c>
      <c r="R290" s="164">
        <f t="shared" si="438"/>
        <v>0</v>
      </c>
      <c r="S290" s="164">
        <f t="shared" si="438"/>
        <v>0</v>
      </c>
      <c r="T290" s="164">
        <f t="shared" si="438"/>
        <v>0</v>
      </c>
      <c r="U290" s="164">
        <f t="shared" si="438"/>
        <v>0</v>
      </c>
      <c r="V290" s="164">
        <f t="shared" si="438"/>
        <v>0</v>
      </c>
      <c r="W290" s="164">
        <f t="shared" si="438"/>
        <v>0</v>
      </c>
      <c r="X290" s="164">
        <f t="shared" si="438"/>
        <v>0</v>
      </c>
      <c r="Y290" s="164">
        <f t="shared" si="438"/>
        <v>0</v>
      </c>
      <c r="Z290" s="164">
        <f t="shared" si="438"/>
        <v>0</v>
      </c>
      <c r="AA290" s="164">
        <f t="shared" si="438"/>
        <v>0</v>
      </c>
      <c r="AB290" s="164">
        <f t="shared" si="438"/>
        <v>0</v>
      </c>
      <c r="AC290" s="164">
        <f t="shared" si="438"/>
        <v>0</v>
      </c>
      <c r="AD290" s="164">
        <f t="shared" si="438"/>
        <v>0</v>
      </c>
      <c r="AE290" s="164">
        <f t="shared" si="438"/>
        <v>0</v>
      </c>
      <c r="AF290" s="164">
        <f t="shared" si="438"/>
        <v>0</v>
      </c>
      <c r="AG290" s="164">
        <f t="shared" si="438"/>
        <v>0</v>
      </c>
      <c r="AH290" s="164">
        <f t="shared" si="438"/>
        <v>0</v>
      </c>
      <c r="AI290" s="164">
        <f t="shared" si="438"/>
        <v>0</v>
      </c>
      <c r="AJ290" s="164">
        <f t="shared" si="438"/>
        <v>0</v>
      </c>
      <c r="AK290" s="164">
        <f t="shared" si="438"/>
        <v>0</v>
      </c>
      <c r="AL290" s="164">
        <f t="shared" si="438"/>
        <v>0</v>
      </c>
      <c r="AM290" s="164">
        <f t="shared" si="438"/>
        <v>0</v>
      </c>
      <c r="AN290" s="164">
        <f t="shared" si="438"/>
        <v>0</v>
      </c>
      <c r="AO290" s="164">
        <f t="shared" si="438"/>
        <v>0</v>
      </c>
      <c r="AP290" s="164">
        <f t="shared" si="438"/>
        <v>0</v>
      </c>
      <c r="AQ290" s="164">
        <f t="shared" si="438"/>
        <v>0</v>
      </c>
      <c r="AR290" s="164">
        <f t="shared" si="438"/>
        <v>0</v>
      </c>
      <c r="AS290" s="164">
        <f t="shared" si="438"/>
        <v>0</v>
      </c>
      <c r="AT290" s="164">
        <f t="shared" si="438"/>
        <v>0</v>
      </c>
      <c r="AU290" s="164">
        <f t="shared" si="438"/>
        <v>0</v>
      </c>
      <c r="AV290" s="164">
        <f t="shared" si="438"/>
        <v>0</v>
      </c>
      <c r="AW290" s="164">
        <f t="shared" si="438"/>
        <v>0</v>
      </c>
      <c r="AX290" s="164">
        <f t="shared" si="438"/>
        <v>0</v>
      </c>
      <c r="AY290" s="164">
        <f t="shared" si="438"/>
        <v>0</v>
      </c>
      <c r="AZ290" s="164">
        <f t="shared" si="438"/>
        <v>0</v>
      </c>
      <c r="BA290" s="164">
        <f t="shared" si="438"/>
        <v>0</v>
      </c>
      <c r="BB290" s="164">
        <f t="shared" si="438"/>
        <v>0</v>
      </c>
      <c r="BC290" s="164">
        <f t="shared" si="438"/>
        <v>0</v>
      </c>
      <c r="BD290" s="164">
        <f t="shared" si="438"/>
        <v>0</v>
      </c>
      <c r="BE290" s="164">
        <f t="shared" si="438"/>
        <v>0</v>
      </c>
      <c r="BF290" s="164">
        <f t="shared" si="438"/>
        <v>0</v>
      </c>
      <c r="BG290" s="164">
        <f t="shared" si="438"/>
        <v>0</v>
      </c>
      <c r="BH290" s="164">
        <f t="shared" si="438"/>
        <v>0</v>
      </c>
      <c r="BI290" s="164">
        <f t="shared" si="438"/>
        <v>0</v>
      </c>
      <c r="BJ290" s="164">
        <f t="shared" si="438"/>
        <v>0</v>
      </c>
      <c r="BK290" s="33">
        <f t="shared" si="438"/>
        <v>0</v>
      </c>
    </row>
    <row r="291" spans="9:63">
      <c r="I291" s="31">
        <v>99</v>
      </c>
      <c r="L291" s="225">
        <f t="shared" si="405"/>
        <v>0</v>
      </c>
      <c r="M291" s="164">
        <f t="shared" ref="M291:BK291" si="439">LOOKUP(M178,$K$56:$BK$56,$K$60:$BK$60)</f>
        <v>0</v>
      </c>
      <c r="N291" s="164">
        <f t="shared" si="439"/>
        <v>0</v>
      </c>
      <c r="O291" s="164">
        <f t="shared" si="439"/>
        <v>0</v>
      </c>
      <c r="P291" s="164">
        <f t="shared" si="439"/>
        <v>0</v>
      </c>
      <c r="Q291" s="164">
        <f t="shared" si="439"/>
        <v>0</v>
      </c>
      <c r="R291" s="164">
        <f t="shared" si="439"/>
        <v>0</v>
      </c>
      <c r="S291" s="164">
        <f t="shared" si="439"/>
        <v>0</v>
      </c>
      <c r="T291" s="164">
        <f t="shared" si="439"/>
        <v>0</v>
      </c>
      <c r="U291" s="164">
        <f t="shared" si="439"/>
        <v>0</v>
      </c>
      <c r="V291" s="164">
        <f t="shared" si="439"/>
        <v>0</v>
      </c>
      <c r="W291" s="164">
        <f t="shared" si="439"/>
        <v>0</v>
      </c>
      <c r="X291" s="164">
        <f t="shared" si="439"/>
        <v>0</v>
      </c>
      <c r="Y291" s="164">
        <f t="shared" si="439"/>
        <v>0</v>
      </c>
      <c r="Z291" s="164">
        <f t="shared" si="439"/>
        <v>0</v>
      </c>
      <c r="AA291" s="164">
        <f t="shared" si="439"/>
        <v>0</v>
      </c>
      <c r="AB291" s="164">
        <f t="shared" si="439"/>
        <v>0</v>
      </c>
      <c r="AC291" s="164">
        <f t="shared" si="439"/>
        <v>0</v>
      </c>
      <c r="AD291" s="164">
        <f t="shared" si="439"/>
        <v>0</v>
      </c>
      <c r="AE291" s="164">
        <f t="shared" si="439"/>
        <v>0</v>
      </c>
      <c r="AF291" s="164">
        <f t="shared" si="439"/>
        <v>0</v>
      </c>
      <c r="AG291" s="164">
        <f t="shared" si="439"/>
        <v>0</v>
      </c>
      <c r="AH291" s="164">
        <f t="shared" si="439"/>
        <v>0</v>
      </c>
      <c r="AI291" s="164">
        <f t="shared" si="439"/>
        <v>0</v>
      </c>
      <c r="AJ291" s="164">
        <f t="shared" si="439"/>
        <v>0</v>
      </c>
      <c r="AK291" s="164">
        <f t="shared" si="439"/>
        <v>0</v>
      </c>
      <c r="AL291" s="164">
        <f t="shared" si="439"/>
        <v>0</v>
      </c>
      <c r="AM291" s="164">
        <f t="shared" si="439"/>
        <v>0</v>
      </c>
      <c r="AN291" s="164">
        <f t="shared" si="439"/>
        <v>0</v>
      </c>
      <c r="AO291" s="164">
        <f t="shared" si="439"/>
        <v>0</v>
      </c>
      <c r="AP291" s="164">
        <f t="shared" si="439"/>
        <v>0</v>
      </c>
      <c r="AQ291" s="164">
        <f t="shared" si="439"/>
        <v>0</v>
      </c>
      <c r="AR291" s="164">
        <f t="shared" si="439"/>
        <v>0</v>
      </c>
      <c r="AS291" s="164">
        <f t="shared" si="439"/>
        <v>0</v>
      </c>
      <c r="AT291" s="164">
        <f t="shared" si="439"/>
        <v>0</v>
      </c>
      <c r="AU291" s="164">
        <f t="shared" si="439"/>
        <v>0</v>
      </c>
      <c r="AV291" s="164">
        <f t="shared" si="439"/>
        <v>0</v>
      </c>
      <c r="AW291" s="164">
        <f t="shared" si="439"/>
        <v>0</v>
      </c>
      <c r="AX291" s="164">
        <f t="shared" si="439"/>
        <v>0</v>
      </c>
      <c r="AY291" s="164">
        <f t="shared" si="439"/>
        <v>0</v>
      </c>
      <c r="AZ291" s="164">
        <f t="shared" si="439"/>
        <v>0</v>
      </c>
      <c r="BA291" s="164">
        <f t="shared" si="439"/>
        <v>0</v>
      </c>
      <c r="BB291" s="164">
        <f t="shared" si="439"/>
        <v>0</v>
      </c>
      <c r="BC291" s="164">
        <f t="shared" si="439"/>
        <v>0</v>
      </c>
      <c r="BD291" s="164">
        <f t="shared" si="439"/>
        <v>0</v>
      </c>
      <c r="BE291" s="164">
        <f t="shared" si="439"/>
        <v>0</v>
      </c>
      <c r="BF291" s="164">
        <f t="shared" si="439"/>
        <v>0</v>
      </c>
      <c r="BG291" s="164">
        <f t="shared" si="439"/>
        <v>0</v>
      </c>
      <c r="BH291" s="164">
        <f t="shared" si="439"/>
        <v>0</v>
      </c>
      <c r="BI291" s="164">
        <f t="shared" si="439"/>
        <v>0</v>
      </c>
      <c r="BJ291" s="164">
        <f t="shared" si="439"/>
        <v>0</v>
      </c>
      <c r="BK291" s="33">
        <f t="shared" si="439"/>
        <v>0</v>
      </c>
    </row>
    <row r="292" spans="9:63">
      <c r="I292" s="31">
        <v>100</v>
      </c>
      <c r="L292" s="226">
        <f t="shared" si="405"/>
        <v>0</v>
      </c>
      <c r="M292" s="227">
        <f t="shared" ref="M292:BK292" si="440">LOOKUP(M179,$K$56:$BK$56,$K$60:$BK$60)</f>
        <v>0</v>
      </c>
      <c r="N292" s="227">
        <f t="shared" si="440"/>
        <v>0</v>
      </c>
      <c r="O292" s="227">
        <f t="shared" si="440"/>
        <v>0</v>
      </c>
      <c r="P292" s="227">
        <f t="shared" si="440"/>
        <v>0</v>
      </c>
      <c r="Q292" s="227">
        <f t="shared" si="440"/>
        <v>0</v>
      </c>
      <c r="R292" s="227">
        <f t="shared" si="440"/>
        <v>0</v>
      </c>
      <c r="S292" s="227">
        <f t="shared" si="440"/>
        <v>0</v>
      </c>
      <c r="T292" s="227">
        <f t="shared" si="440"/>
        <v>0</v>
      </c>
      <c r="U292" s="227">
        <f t="shared" si="440"/>
        <v>0</v>
      </c>
      <c r="V292" s="227">
        <f t="shared" si="440"/>
        <v>0</v>
      </c>
      <c r="W292" s="227">
        <f t="shared" si="440"/>
        <v>0</v>
      </c>
      <c r="X292" s="227">
        <f t="shared" si="440"/>
        <v>0</v>
      </c>
      <c r="Y292" s="227">
        <f t="shared" si="440"/>
        <v>0</v>
      </c>
      <c r="Z292" s="227">
        <f t="shared" si="440"/>
        <v>0</v>
      </c>
      <c r="AA292" s="227">
        <f t="shared" si="440"/>
        <v>0</v>
      </c>
      <c r="AB292" s="227">
        <f t="shared" si="440"/>
        <v>0</v>
      </c>
      <c r="AC292" s="227">
        <f t="shared" si="440"/>
        <v>0</v>
      </c>
      <c r="AD292" s="227">
        <f t="shared" si="440"/>
        <v>0</v>
      </c>
      <c r="AE292" s="227">
        <f t="shared" si="440"/>
        <v>0</v>
      </c>
      <c r="AF292" s="227">
        <f t="shared" si="440"/>
        <v>0</v>
      </c>
      <c r="AG292" s="227">
        <f t="shared" si="440"/>
        <v>0</v>
      </c>
      <c r="AH292" s="227">
        <f t="shared" si="440"/>
        <v>0</v>
      </c>
      <c r="AI292" s="227">
        <f t="shared" si="440"/>
        <v>0</v>
      </c>
      <c r="AJ292" s="227">
        <f t="shared" si="440"/>
        <v>0</v>
      </c>
      <c r="AK292" s="227">
        <f t="shared" si="440"/>
        <v>0</v>
      </c>
      <c r="AL292" s="227">
        <f t="shared" si="440"/>
        <v>0</v>
      </c>
      <c r="AM292" s="227">
        <f t="shared" si="440"/>
        <v>0</v>
      </c>
      <c r="AN292" s="227">
        <f t="shared" si="440"/>
        <v>0</v>
      </c>
      <c r="AO292" s="227">
        <f t="shared" si="440"/>
        <v>0</v>
      </c>
      <c r="AP292" s="227">
        <f t="shared" si="440"/>
        <v>0</v>
      </c>
      <c r="AQ292" s="227">
        <f t="shared" si="440"/>
        <v>0</v>
      </c>
      <c r="AR292" s="227">
        <f t="shared" si="440"/>
        <v>0</v>
      </c>
      <c r="AS292" s="227">
        <f t="shared" si="440"/>
        <v>0</v>
      </c>
      <c r="AT292" s="227">
        <f t="shared" si="440"/>
        <v>0</v>
      </c>
      <c r="AU292" s="227">
        <f t="shared" si="440"/>
        <v>0</v>
      </c>
      <c r="AV292" s="227">
        <f t="shared" si="440"/>
        <v>0</v>
      </c>
      <c r="AW292" s="227">
        <f t="shared" si="440"/>
        <v>0</v>
      </c>
      <c r="AX292" s="227">
        <f t="shared" si="440"/>
        <v>0</v>
      </c>
      <c r="AY292" s="227">
        <f t="shared" si="440"/>
        <v>0</v>
      </c>
      <c r="AZ292" s="227">
        <f t="shared" si="440"/>
        <v>0</v>
      </c>
      <c r="BA292" s="227">
        <f t="shared" si="440"/>
        <v>0</v>
      </c>
      <c r="BB292" s="227">
        <f t="shared" si="440"/>
        <v>0</v>
      </c>
      <c r="BC292" s="227">
        <f t="shared" si="440"/>
        <v>0</v>
      </c>
      <c r="BD292" s="227">
        <f t="shared" si="440"/>
        <v>0</v>
      </c>
      <c r="BE292" s="227">
        <f t="shared" si="440"/>
        <v>0</v>
      </c>
      <c r="BF292" s="227">
        <f t="shared" si="440"/>
        <v>0</v>
      </c>
      <c r="BG292" s="227">
        <f t="shared" si="440"/>
        <v>0</v>
      </c>
      <c r="BH292" s="227">
        <f t="shared" si="440"/>
        <v>0</v>
      </c>
      <c r="BI292" s="227">
        <f t="shared" si="440"/>
        <v>0</v>
      </c>
      <c r="BJ292" s="227">
        <f t="shared" si="440"/>
        <v>0</v>
      </c>
      <c r="BK292" s="96">
        <f t="shared" si="440"/>
        <v>0</v>
      </c>
    </row>
  </sheetData>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0001"/>
  <sheetViews>
    <sheetView workbookViewId="0">
      <selection activeCell="C46" sqref="C46"/>
    </sheetView>
  </sheetViews>
  <sheetFormatPr defaultRowHeight="11.25"/>
  <cols>
    <col min="1" max="9" width="36.83203125" customWidth="1"/>
  </cols>
  <sheetData>
    <row r="1" spans="1:16">
      <c r="A1" s="24" t="s">
        <v>26</v>
      </c>
    </row>
    <row r="2" spans="1:16">
      <c r="P2">
        <f ca="1">_xll.CB.RecalcCounterFN()</f>
        <v>201</v>
      </c>
    </row>
    <row r="3" spans="1:16">
      <c r="A3" t="s">
        <v>27</v>
      </c>
      <c r="B3" t="s">
        <v>28</v>
      </c>
      <c r="C3">
        <v>0</v>
      </c>
    </row>
    <row r="4" spans="1:16">
      <c r="A4" t="s">
        <v>29</v>
      </c>
    </row>
    <row r="5" spans="1:16">
      <c r="A5" t="s">
        <v>30</v>
      </c>
    </row>
    <row r="7" spans="1:16">
      <c r="A7" s="24" t="s">
        <v>31</v>
      </c>
      <c r="B7" t="s">
        <v>32</v>
      </c>
    </row>
    <row r="8" spans="1:16">
      <c r="B8">
        <v>9</v>
      </c>
    </row>
    <row r="10" spans="1:16">
      <c r="A10" t="s">
        <v>33</v>
      </c>
    </row>
    <row r="11" spans="1:16">
      <c r="A11">
        <f>+A20</f>
        <v>37</v>
      </c>
      <c r="B11" s="31">
        <f t="shared" ref="B11:D11" si="0">+B20</f>
        <v>31</v>
      </c>
      <c r="C11" s="31">
        <f t="shared" si="0"/>
        <v>31</v>
      </c>
      <c r="D11" s="31">
        <f t="shared" si="0"/>
        <v>31</v>
      </c>
      <c r="E11" t="e">
        <f>'Cash Flow'!#REF!</f>
        <v>#REF!</v>
      </c>
      <c r="F11" t="e">
        <f>'Well Prod'!#REF!</f>
        <v>#REF!</v>
      </c>
      <c r="G11" t="e">
        <f>'Well OPEX-Schedule'!#REF!</f>
        <v>#REF!</v>
      </c>
      <c r="H11" t="e">
        <f>Variables!#REF!</f>
        <v>#REF!</v>
      </c>
      <c r="I11" t="e">
        <f>'CB Trial Gas Rate'!#REF!</f>
        <v>#REF!</v>
      </c>
    </row>
    <row r="13" spans="1:16">
      <c r="A13" t="s">
        <v>34</v>
      </c>
    </row>
    <row r="14" spans="1:16">
      <c r="A14" t="s">
        <v>38</v>
      </c>
      <c r="B14" t="s">
        <v>41</v>
      </c>
      <c r="C14" t="s">
        <v>44</v>
      </c>
      <c r="D14" t="s">
        <v>48</v>
      </c>
      <c r="E14" s="30" t="s">
        <v>44</v>
      </c>
      <c r="F14" t="s">
        <v>68</v>
      </c>
      <c r="G14" t="s">
        <v>74</v>
      </c>
      <c r="H14" t="s">
        <v>83</v>
      </c>
      <c r="I14" t="s">
        <v>189</v>
      </c>
    </row>
    <row r="16" spans="1:16">
      <c r="A16" t="s">
        <v>35</v>
      </c>
    </row>
    <row r="19" spans="1:9">
      <c r="A19" t="s">
        <v>36</v>
      </c>
    </row>
    <row r="20" spans="1:9">
      <c r="A20">
        <v>37</v>
      </c>
      <c r="B20">
        <v>31</v>
      </c>
      <c r="C20">
        <v>31</v>
      </c>
      <c r="D20">
        <v>31</v>
      </c>
      <c r="E20">
        <v>31</v>
      </c>
      <c r="F20">
        <v>31</v>
      </c>
      <c r="G20">
        <v>31</v>
      </c>
      <c r="H20">
        <v>31</v>
      </c>
      <c r="I20">
        <v>34</v>
      </c>
    </row>
    <row r="25" spans="1:9">
      <c r="A25" s="24" t="s">
        <v>37</v>
      </c>
    </row>
    <row r="26" spans="1:9">
      <c r="A26" s="30" t="s">
        <v>39</v>
      </c>
      <c r="B26" s="30" t="s">
        <v>42</v>
      </c>
      <c r="C26" s="30" t="s">
        <v>42</v>
      </c>
      <c r="D26" s="30" t="s">
        <v>42</v>
      </c>
      <c r="E26" s="30" t="s">
        <v>42</v>
      </c>
      <c r="F26" s="30" t="s">
        <v>42</v>
      </c>
      <c r="G26" s="30" t="s">
        <v>42</v>
      </c>
      <c r="H26" s="30" t="s">
        <v>42</v>
      </c>
      <c r="I26" s="30" t="s">
        <v>53</v>
      </c>
    </row>
    <row r="27" spans="1:9">
      <c r="A27" t="s">
        <v>107</v>
      </c>
      <c r="B27" t="s">
        <v>56</v>
      </c>
      <c r="C27" t="s">
        <v>55</v>
      </c>
      <c r="D27" t="s">
        <v>52</v>
      </c>
      <c r="E27" t="s">
        <v>195</v>
      </c>
      <c r="F27" t="s">
        <v>193</v>
      </c>
      <c r="G27" t="s">
        <v>194</v>
      </c>
      <c r="H27" t="s">
        <v>196</v>
      </c>
      <c r="I27" t="s">
        <v>197</v>
      </c>
    </row>
    <row r="28" spans="1:9">
      <c r="A28" s="30" t="s">
        <v>40</v>
      </c>
      <c r="B28" s="30" t="s">
        <v>40</v>
      </c>
      <c r="C28" s="30" t="s">
        <v>40</v>
      </c>
      <c r="D28" s="30" t="s">
        <v>40</v>
      </c>
      <c r="E28" s="30" t="s">
        <v>40</v>
      </c>
      <c r="F28" s="30" t="s">
        <v>40</v>
      </c>
      <c r="G28" s="30" t="s">
        <v>40</v>
      </c>
      <c r="H28" s="30" t="s">
        <v>40</v>
      </c>
      <c r="I28" s="30" t="s">
        <v>40</v>
      </c>
    </row>
    <row r="29" spans="1:9">
      <c r="A29" s="30" t="s">
        <v>53</v>
      </c>
      <c r="B29" s="30" t="s">
        <v>39</v>
      </c>
      <c r="C29" s="30" t="s">
        <v>39</v>
      </c>
      <c r="D29" s="30" t="s">
        <v>39</v>
      </c>
      <c r="E29" s="30" t="s">
        <v>39</v>
      </c>
      <c r="F29" s="30" t="s">
        <v>39</v>
      </c>
      <c r="G29" s="30" t="s">
        <v>39</v>
      </c>
      <c r="H29" s="30" t="s">
        <v>39</v>
      </c>
      <c r="I29" s="30" t="s">
        <v>42</v>
      </c>
    </row>
    <row r="30" spans="1:9">
      <c r="A30" t="s">
        <v>198</v>
      </c>
      <c r="B30" t="s">
        <v>43</v>
      </c>
      <c r="C30" t="s">
        <v>45</v>
      </c>
      <c r="D30" t="s">
        <v>49</v>
      </c>
      <c r="E30" t="s">
        <v>136</v>
      </c>
      <c r="F30" t="s">
        <v>108</v>
      </c>
      <c r="G30" t="s">
        <v>109</v>
      </c>
      <c r="H30" t="s">
        <v>152</v>
      </c>
      <c r="I30" t="s">
        <v>202</v>
      </c>
    </row>
    <row r="31" spans="1:9">
      <c r="A31" s="30" t="s">
        <v>40</v>
      </c>
      <c r="B31" s="30" t="s">
        <v>40</v>
      </c>
      <c r="C31" s="30" t="s">
        <v>40</v>
      </c>
      <c r="D31" s="30" t="s">
        <v>40</v>
      </c>
      <c r="E31" s="30" t="s">
        <v>40</v>
      </c>
      <c r="F31" s="30" t="s">
        <v>40</v>
      </c>
      <c r="G31" s="30" t="s">
        <v>40</v>
      </c>
      <c r="H31" s="30" t="s">
        <v>40</v>
      </c>
      <c r="I31" s="30" t="s">
        <v>40</v>
      </c>
    </row>
    <row r="32" spans="1:9">
      <c r="A32" s="30" t="s">
        <v>54</v>
      </c>
      <c r="I32" s="30" t="s">
        <v>39</v>
      </c>
    </row>
    <row r="33" spans="1:9">
      <c r="A33" t="s">
        <v>110</v>
      </c>
      <c r="I33" t="s">
        <v>192</v>
      </c>
    </row>
    <row r="34" spans="1:9">
      <c r="A34" s="30" t="s">
        <v>51</v>
      </c>
      <c r="I34" s="30" t="s">
        <v>40</v>
      </c>
    </row>
    <row r="35" spans="1:9">
      <c r="A35" s="30" t="s">
        <v>199</v>
      </c>
    </row>
    <row r="36" spans="1:9">
      <c r="A36" t="s">
        <v>200</v>
      </c>
    </row>
    <row r="37" spans="1:9">
      <c r="A37" s="30" t="s">
        <v>201</v>
      </c>
    </row>
    <row r="10000" spans="1:1">
      <c r="A10000" t="s">
        <v>50</v>
      </c>
    </row>
    <row r="10001" spans="1:1">
      <c r="A10001" t="str">
        <f>"{0.MEAN}"</f>
        <v>{0.MEAN}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J148"/>
  <sheetViews>
    <sheetView showGridLines="0" workbookViewId="0">
      <selection activeCell="M4" sqref="M4:AQ7"/>
    </sheetView>
  </sheetViews>
  <sheetFormatPr defaultRowHeight="11.25"/>
  <cols>
    <col min="1" max="1" width="3.33203125" customWidth="1"/>
    <col min="2" max="2" width="16.6640625" style="158" customWidth="1"/>
    <col min="3" max="3" width="12.1640625" style="158" customWidth="1"/>
    <col min="5" max="6" width="9.33203125" style="31"/>
    <col min="8" max="8" width="16" customWidth="1"/>
    <col min="9" max="9" width="16.1640625" customWidth="1"/>
    <col min="10" max="10" width="17" customWidth="1"/>
  </cols>
  <sheetData>
    <row r="1" spans="2:43" s="31" customFormat="1">
      <c r="B1" s="241" t="s">
        <v>105</v>
      </c>
      <c r="C1" s="158">
        <v>0</v>
      </c>
      <c r="J1" s="31" t="s">
        <v>87</v>
      </c>
      <c r="K1" s="31">
        <f>+K2</f>
        <v>4</v>
      </c>
      <c r="L1" s="31">
        <f>+K1+L2</f>
        <v>8</v>
      </c>
      <c r="M1" s="31">
        <f t="shared" ref="M1:O1" si="0">+L1+M2</f>
        <v>12</v>
      </c>
      <c r="N1" s="31">
        <f t="shared" si="0"/>
        <v>16</v>
      </c>
      <c r="O1" s="31">
        <f t="shared" si="0"/>
        <v>20</v>
      </c>
      <c r="P1" s="31">
        <f t="shared" ref="P1" si="1">+O1+P2</f>
        <v>24</v>
      </c>
      <c r="Q1" s="31">
        <f t="shared" ref="Q1" si="2">+P1+Q2</f>
        <v>28</v>
      </c>
      <c r="R1" s="31">
        <f t="shared" ref="R1" si="3">+Q1+R2</f>
        <v>28</v>
      </c>
      <c r="S1" s="31">
        <f t="shared" ref="S1" si="4">+R1+S2</f>
        <v>28</v>
      </c>
      <c r="T1" s="31">
        <f t="shared" ref="T1" si="5">+S1+T2</f>
        <v>28</v>
      </c>
      <c r="U1" s="31">
        <f t="shared" ref="U1" si="6">+T1+U2</f>
        <v>28</v>
      </c>
      <c r="V1" s="31">
        <f t="shared" ref="V1" si="7">+U1+V2</f>
        <v>28</v>
      </c>
      <c r="W1" s="31">
        <f t="shared" ref="W1" si="8">+V1+W2</f>
        <v>28</v>
      </c>
      <c r="X1" s="31">
        <f t="shared" ref="X1" si="9">+W1+X2</f>
        <v>28</v>
      </c>
      <c r="Y1" s="31">
        <f t="shared" ref="Y1" si="10">+X1+Y2</f>
        <v>28</v>
      </c>
      <c r="Z1" s="31">
        <f t="shared" ref="Z1" si="11">+Y1+Z2</f>
        <v>28</v>
      </c>
      <c r="AA1" s="31">
        <f t="shared" ref="AA1" si="12">+Z1+AA2</f>
        <v>28</v>
      </c>
      <c r="AB1" s="31">
        <f t="shared" ref="AB1" si="13">+AA1+AB2</f>
        <v>28</v>
      </c>
      <c r="AC1" s="31">
        <f t="shared" ref="AC1" si="14">+AB1+AC2</f>
        <v>28</v>
      </c>
      <c r="AD1" s="31">
        <f t="shared" ref="AD1" si="15">+AC1+AD2</f>
        <v>28</v>
      </c>
      <c r="AE1" s="31">
        <f t="shared" ref="AE1" si="16">+AD1+AE2</f>
        <v>28</v>
      </c>
      <c r="AF1" s="31">
        <f t="shared" ref="AF1" si="17">+AE1+AF2</f>
        <v>28</v>
      </c>
      <c r="AG1" s="31">
        <f t="shared" ref="AG1" si="18">+AF1+AG2</f>
        <v>28</v>
      </c>
      <c r="AH1" s="31">
        <f t="shared" ref="AH1" si="19">+AG1+AH2</f>
        <v>28</v>
      </c>
      <c r="AI1" s="31">
        <f t="shared" ref="AI1" si="20">+AH1+AI2</f>
        <v>28</v>
      </c>
      <c r="AJ1" s="31">
        <f t="shared" ref="AJ1" si="21">+AI1+AJ2</f>
        <v>28</v>
      </c>
      <c r="AK1" s="31">
        <f t="shared" ref="AK1" si="22">+AJ1+AK2</f>
        <v>28</v>
      </c>
      <c r="AL1" s="31">
        <f t="shared" ref="AL1" si="23">+AK1+AL2</f>
        <v>28</v>
      </c>
      <c r="AM1" s="31">
        <f t="shared" ref="AM1" si="24">+AL1+AM2</f>
        <v>28</v>
      </c>
      <c r="AN1" s="31">
        <f t="shared" ref="AN1" si="25">+AM1+AN2</f>
        <v>28</v>
      </c>
      <c r="AO1" s="31">
        <f t="shared" ref="AO1" si="26">+AN1+AO2</f>
        <v>28</v>
      </c>
      <c r="AP1" s="31">
        <f t="shared" ref="AP1" si="27">+AO1+AP2</f>
        <v>28</v>
      </c>
      <c r="AQ1" s="31">
        <f t="shared" ref="AQ1" si="28">+AP1+AQ2</f>
        <v>28</v>
      </c>
    </row>
    <row r="2" spans="2:43">
      <c r="B2" s="179" t="s">
        <v>96</v>
      </c>
      <c r="C2" s="166" t="s">
        <v>97</v>
      </c>
      <c r="D2" s="4" t="s">
        <v>98</v>
      </c>
      <c r="E2" s="166" t="s">
        <v>69</v>
      </c>
      <c r="F2" s="167" t="s">
        <v>70</v>
      </c>
      <c r="J2" t="s">
        <v>80</v>
      </c>
      <c r="K2">
        <f>+'Well Prod'!J73</f>
        <v>4</v>
      </c>
      <c r="L2" s="31">
        <f>+'Well Prod'!K73</f>
        <v>4</v>
      </c>
      <c r="M2" s="31">
        <f>+'Well Prod'!L73</f>
        <v>4</v>
      </c>
      <c r="N2" s="31">
        <f>+'Well Prod'!M73</f>
        <v>4</v>
      </c>
      <c r="O2" s="31">
        <f>+'Well Prod'!N73</f>
        <v>4</v>
      </c>
      <c r="P2" s="31">
        <f>+'Well Prod'!O73</f>
        <v>4</v>
      </c>
      <c r="Q2" s="31">
        <f>+'Well Prod'!P73</f>
        <v>4</v>
      </c>
      <c r="R2" s="31">
        <f>+'Well Prod'!Q73</f>
        <v>0</v>
      </c>
      <c r="S2" s="31">
        <f>+'Well Prod'!R73</f>
        <v>0</v>
      </c>
      <c r="T2" s="31">
        <f>+'Well Prod'!S73</f>
        <v>0</v>
      </c>
      <c r="U2" s="31">
        <f>+'Well Prod'!T73</f>
        <v>0</v>
      </c>
      <c r="V2" s="31">
        <f>+'Well Prod'!U73</f>
        <v>0</v>
      </c>
      <c r="W2" s="31">
        <f>+'Well Prod'!V73</f>
        <v>0</v>
      </c>
      <c r="X2" s="31">
        <f>+'Well Prod'!W73</f>
        <v>0</v>
      </c>
      <c r="Y2" s="31">
        <f>+'Well Prod'!X73</f>
        <v>0</v>
      </c>
      <c r="Z2" s="31">
        <f>+'Well Prod'!Y73</f>
        <v>0</v>
      </c>
      <c r="AA2" s="31">
        <f>+'Well Prod'!Z73</f>
        <v>0</v>
      </c>
      <c r="AB2" s="31">
        <f>+'Well Prod'!AA73</f>
        <v>0</v>
      </c>
      <c r="AC2" s="31">
        <f>+'Well Prod'!AB73</f>
        <v>0</v>
      </c>
      <c r="AD2" s="31">
        <f>+'Well Prod'!AC73</f>
        <v>0</v>
      </c>
      <c r="AE2" s="31">
        <f>+'Well Prod'!AD73</f>
        <v>0</v>
      </c>
      <c r="AF2" s="31">
        <f>+'Well Prod'!AE73</f>
        <v>0</v>
      </c>
      <c r="AG2" s="31">
        <f>+'Well Prod'!AF73</f>
        <v>0</v>
      </c>
      <c r="AH2" s="31">
        <f>+'Well Prod'!AG73</f>
        <v>0</v>
      </c>
      <c r="AI2" s="31">
        <f>+'Well Prod'!AH73</f>
        <v>0</v>
      </c>
      <c r="AJ2" s="31">
        <f>+'Well Prod'!AI73</f>
        <v>0</v>
      </c>
      <c r="AK2" s="31">
        <f>+'Well Prod'!AJ73</f>
        <v>0</v>
      </c>
      <c r="AL2" s="31">
        <f>+'Well Prod'!AK73</f>
        <v>0</v>
      </c>
      <c r="AM2" s="31">
        <f>+'Well Prod'!AL73</f>
        <v>0</v>
      </c>
      <c r="AN2" s="31">
        <f>+'Well Prod'!AM73</f>
        <v>0</v>
      </c>
      <c r="AO2" s="31">
        <f>+'Well Prod'!AN73</f>
        <v>0</v>
      </c>
      <c r="AP2" s="31">
        <f>+'Well Prod'!AO73</f>
        <v>0</v>
      </c>
      <c r="AQ2" s="31">
        <f>+'Well Prod'!AP73</f>
        <v>0</v>
      </c>
    </row>
    <row r="3" spans="2:43">
      <c r="B3" s="180" t="s">
        <v>75</v>
      </c>
      <c r="C3" s="184">
        <v>12</v>
      </c>
      <c r="D3" s="144" t="s">
        <v>77</v>
      </c>
      <c r="E3" s="163">
        <v>15</v>
      </c>
      <c r="F3" s="168">
        <v>2</v>
      </c>
      <c r="H3" s="67"/>
      <c r="I3" s="64"/>
      <c r="J3" s="36"/>
      <c r="K3" s="55">
        <v>0</v>
      </c>
      <c r="L3" s="56">
        <v>0</v>
      </c>
      <c r="M3" s="56">
        <v>1</v>
      </c>
      <c r="N3" s="56">
        <f>+M3+1</f>
        <v>2</v>
      </c>
      <c r="O3" s="56">
        <f t="shared" ref="O3:AQ3" si="29">+N3+1</f>
        <v>3</v>
      </c>
      <c r="P3" s="56">
        <f t="shared" si="29"/>
        <v>4</v>
      </c>
      <c r="Q3" s="56">
        <f t="shared" si="29"/>
        <v>5</v>
      </c>
      <c r="R3" s="56">
        <f t="shared" si="29"/>
        <v>6</v>
      </c>
      <c r="S3" s="56">
        <f t="shared" si="29"/>
        <v>7</v>
      </c>
      <c r="T3" s="56">
        <f t="shared" si="29"/>
        <v>8</v>
      </c>
      <c r="U3" s="56">
        <f t="shared" si="29"/>
        <v>9</v>
      </c>
      <c r="V3" s="56">
        <f t="shared" si="29"/>
        <v>10</v>
      </c>
      <c r="W3" s="56">
        <f t="shared" si="29"/>
        <v>11</v>
      </c>
      <c r="X3" s="56">
        <f t="shared" si="29"/>
        <v>12</v>
      </c>
      <c r="Y3" s="56">
        <f t="shared" si="29"/>
        <v>13</v>
      </c>
      <c r="Z3" s="56">
        <f t="shared" si="29"/>
        <v>14</v>
      </c>
      <c r="AA3" s="56">
        <f t="shared" si="29"/>
        <v>15</v>
      </c>
      <c r="AB3" s="56">
        <f t="shared" si="29"/>
        <v>16</v>
      </c>
      <c r="AC3" s="56">
        <f t="shared" si="29"/>
        <v>17</v>
      </c>
      <c r="AD3" s="56">
        <f t="shared" si="29"/>
        <v>18</v>
      </c>
      <c r="AE3" s="56">
        <f t="shared" si="29"/>
        <v>19</v>
      </c>
      <c r="AF3" s="56">
        <f t="shared" si="29"/>
        <v>20</v>
      </c>
      <c r="AG3" s="56">
        <f t="shared" si="29"/>
        <v>21</v>
      </c>
      <c r="AH3" s="56">
        <f t="shared" si="29"/>
        <v>22</v>
      </c>
      <c r="AI3" s="56">
        <f t="shared" si="29"/>
        <v>23</v>
      </c>
      <c r="AJ3" s="56">
        <f t="shared" si="29"/>
        <v>24</v>
      </c>
      <c r="AK3" s="56">
        <f t="shared" si="29"/>
        <v>25</v>
      </c>
      <c r="AL3" s="56">
        <f t="shared" si="29"/>
        <v>26</v>
      </c>
      <c r="AM3" s="56">
        <f t="shared" si="29"/>
        <v>27</v>
      </c>
      <c r="AN3" s="56">
        <f t="shared" si="29"/>
        <v>28</v>
      </c>
      <c r="AO3" s="56">
        <f t="shared" si="29"/>
        <v>29</v>
      </c>
      <c r="AP3" s="56">
        <f t="shared" si="29"/>
        <v>30</v>
      </c>
      <c r="AQ3" s="56">
        <f t="shared" si="29"/>
        <v>31</v>
      </c>
    </row>
    <row r="4" spans="2:43">
      <c r="B4" s="181" t="s">
        <v>76</v>
      </c>
      <c r="C4" s="185">
        <v>2</v>
      </c>
      <c r="D4" s="164" t="s">
        <v>77</v>
      </c>
      <c r="E4" s="165">
        <v>2</v>
      </c>
      <c r="F4" s="169">
        <v>0.5</v>
      </c>
      <c r="H4" s="68"/>
      <c r="I4" s="65"/>
      <c r="J4" s="66"/>
      <c r="K4" s="57">
        <f>+L4-K5</f>
        <v>44927</v>
      </c>
      <c r="L4" s="58">
        <f>+M4-L5</f>
        <v>45292</v>
      </c>
      <c r="M4" s="59">
        <f>+'Well Prod'!C2</f>
        <v>45658</v>
      </c>
      <c r="N4" s="58">
        <f t="shared" ref="N4:AQ4" si="30">M$5+M$4</f>
        <v>46023</v>
      </c>
      <c r="O4" s="58">
        <f t="shared" si="30"/>
        <v>46388</v>
      </c>
      <c r="P4" s="59">
        <f t="shared" si="30"/>
        <v>46753</v>
      </c>
      <c r="Q4" s="59">
        <f t="shared" si="30"/>
        <v>47119</v>
      </c>
      <c r="R4" s="58">
        <f t="shared" si="30"/>
        <v>47484</v>
      </c>
      <c r="S4" s="59">
        <f t="shared" si="30"/>
        <v>47849</v>
      </c>
      <c r="T4" s="59">
        <f t="shared" si="30"/>
        <v>48214</v>
      </c>
      <c r="U4" s="58">
        <f t="shared" si="30"/>
        <v>48580</v>
      </c>
      <c r="V4" s="59">
        <f t="shared" si="30"/>
        <v>48945</v>
      </c>
      <c r="W4" s="58">
        <f t="shared" si="30"/>
        <v>49310</v>
      </c>
      <c r="X4" s="59">
        <f t="shared" si="30"/>
        <v>49675</v>
      </c>
      <c r="Y4" s="58">
        <f t="shared" si="30"/>
        <v>50041</v>
      </c>
      <c r="Z4" s="59">
        <f t="shared" si="30"/>
        <v>50406</v>
      </c>
      <c r="AA4" s="58">
        <f t="shared" si="30"/>
        <v>50771</v>
      </c>
      <c r="AB4" s="59">
        <f t="shared" si="30"/>
        <v>51136</v>
      </c>
      <c r="AC4" s="58">
        <f t="shared" si="30"/>
        <v>51502</v>
      </c>
      <c r="AD4" s="59">
        <f t="shared" si="30"/>
        <v>51867</v>
      </c>
      <c r="AE4" s="58">
        <f t="shared" si="30"/>
        <v>52232</v>
      </c>
      <c r="AF4" s="59">
        <f t="shared" si="30"/>
        <v>52597</v>
      </c>
      <c r="AG4" s="58">
        <f t="shared" si="30"/>
        <v>52963</v>
      </c>
      <c r="AH4" s="59">
        <f t="shared" si="30"/>
        <v>53328</v>
      </c>
      <c r="AI4" s="58">
        <f t="shared" si="30"/>
        <v>53693</v>
      </c>
      <c r="AJ4" s="59">
        <f t="shared" si="30"/>
        <v>54058</v>
      </c>
      <c r="AK4" s="58">
        <f t="shared" si="30"/>
        <v>54424</v>
      </c>
      <c r="AL4" s="59">
        <f t="shared" si="30"/>
        <v>54789</v>
      </c>
      <c r="AM4" s="58">
        <f t="shared" si="30"/>
        <v>55154</v>
      </c>
      <c r="AN4" s="59">
        <f t="shared" si="30"/>
        <v>55519</v>
      </c>
      <c r="AO4" s="58">
        <f t="shared" si="30"/>
        <v>55885</v>
      </c>
      <c r="AP4" s="59">
        <f t="shared" si="30"/>
        <v>56250</v>
      </c>
      <c r="AQ4" s="58">
        <f t="shared" si="30"/>
        <v>56615</v>
      </c>
    </row>
    <row r="5" spans="2:43" ht="15.75">
      <c r="B5" s="182" t="s">
        <v>78</v>
      </c>
      <c r="C5" s="186">
        <v>2</v>
      </c>
      <c r="D5" s="171" t="s">
        <v>77</v>
      </c>
      <c r="E5" s="170">
        <v>2</v>
      </c>
      <c r="F5" s="172">
        <v>0.5</v>
      </c>
      <c r="H5" s="173" t="s">
        <v>60</v>
      </c>
      <c r="I5" s="62" t="s">
        <v>59</v>
      </c>
      <c r="J5" s="63"/>
      <c r="K5" s="60">
        <f xml:space="preserve"> DATE(YEAR(L$4),1,1) - DATE(YEAR(L$4)-1,1,1)</f>
        <v>365</v>
      </c>
      <c r="L5" s="159">
        <f xml:space="preserve"> DATE(YEAR(M$4),1,1) - DATE(YEAR(M$4)-1,1,1)</f>
        <v>366</v>
      </c>
      <c r="M5" s="61">
        <f xml:space="preserve"> DATE(YEAR(M$4)+1,1,1) - DATE(YEAR(M$4),1,1)</f>
        <v>365</v>
      </c>
      <c r="N5" s="61">
        <f t="shared" ref="N5:AQ5" si="31" xml:space="preserve"> DATE(YEAR(N$4)+1,1,1) - DATE(YEAR(N$4),1,1)</f>
        <v>365</v>
      </c>
      <c r="O5" s="61">
        <f xml:space="preserve"> DATE(YEAR(O$4)+1,1,1) - DATE(YEAR(O$4),1,1)</f>
        <v>365</v>
      </c>
      <c r="P5" s="61">
        <f t="shared" si="31"/>
        <v>366</v>
      </c>
      <c r="Q5" s="61">
        <f t="shared" si="31"/>
        <v>365</v>
      </c>
      <c r="R5" s="61">
        <f t="shared" si="31"/>
        <v>365</v>
      </c>
      <c r="S5" s="61">
        <f t="shared" si="31"/>
        <v>365</v>
      </c>
      <c r="T5" s="61">
        <f t="shared" si="31"/>
        <v>366</v>
      </c>
      <c r="U5" s="61">
        <f t="shared" si="31"/>
        <v>365</v>
      </c>
      <c r="V5" s="61">
        <f t="shared" si="31"/>
        <v>365</v>
      </c>
      <c r="W5" s="61">
        <f t="shared" si="31"/>
        <v>365</v>
      </c>
      <c r="X5" s="61">
        <f t="shared" si="31"/>
        <v>366</v>
      </c>
      <c r="Y5" s="61">
        <f t="shared" si="31"/>
        <v>365</v>
      </c>
      <c r="Z5" s="61">
        <f t="shared" si="31"/>
        <v>365</v>
      </c>
      <c r="AA5" s="61">
        <f t="shared" si="31"/>
        <v>365</v>
      </c>
      <c r="AB5" s="61">
        <f t="shared" si="31"/>
        <v>366</v>
      </c>
      <c r="AC5" s="61">
        <f t="shared" si="31"/>
        <v>365</v>
      </c>
      <c r="AD5" s="61">
        <f t="shared" si="31"/>
        <v>365</v>
      </c>
      <c r="AE5" s="61">
        <f t="shared" si="31"/>
        <v>365</v>
      </c>
      <c r="AF5" s="61">
        <f t="shared" si="31"/>
        <v>366</v>
      </c>
      <c r="AG5" s="61">
        <f t="shared" si="31"/>
        <v>365</v>
      </c>
      <c r="AH5" s="61">
        <f t="shared" si="31"/>
        <v>365</v>
      </c>
      <c r="AI5" s="61">
        <f t="shared" si="31"/>
        <v>365</v>
      </c>
      <c r="AJ5" s="61">
        <f t="shared" si="31"/>
        <v>366</v>
      </c>
      <c r="AK5" s="61">
        <f t="shared" si="31"/>
        <v>365</v>
      </c>
      <c r="AL5" s="61">
        <f t="shared" si="31"/>
        <v>365</v>
      </c>
      <c r="AM5" s="61">
        <f t="shared" si="31"/>
        <v>365</v>
      </c>
      <c r="AN5" s="61">
        <f t="shared" si="31"/>
        <v>366</v>
      </c>
      <c r="AO5" s="61">
        <f t="shared" si="31"/>
        <v>365</v>
      </c>
      <c r="AP5" s="61">
        <f t="shared" si="31"/>
        <v>365</v>
      </c>
      <c r="AQ5" s="61">
        <f t="shared" si="31"/>
        <v>365</v>
      </c>
    </row>
    <row r="6" spans="2:43">
      <c r="B6" s="183"/>
      <c r="E6" s="158" t="s">
        <v>94</v>
      </c>
      <c r="F6" s="158" t="s">
        <v>95</v>
      </c>
      <c r="H6" s="174">
        <f>SUMPRODUCT(K6:BT6,$K$5:$BT$5)/1000000</f>
        <v>19.107727564507627</v>
      </c>
      <c r="I6" s="53" t="s">
        <v>58</v>
      </c>
      <c r="J6" s="54" t="s">
        <v>61</v>
      </c>
      <c r="K6" s="74">
        <f>K$8*1000/5.8+K$9+K$10+K$11</f>
        <v>0</v>
      </c>
      <c r="L6" s="75">
        <f t="shared" ref="L6:AQ6" si="32">L$8*1000/5.8+L$9+L$10+L$11</f>
        <v>0</v>
      </c>
      <c r="M6" s="75">
        <f t="shared" si="32"/>
        <v>4598.1546880628066</v>
      </c>
      <c r="N6" s="75">
        <f t="shared" si="32"/>
        <v>3655.2974387725976</v>
      </c>
      <c r="O6" s="75">
        <f t="shared" si="32"/>
        <v>3870.727974866355</v>
      </c>
      <c r="P6" s="75">
        <f t="shared" si="32"/>
        <v>4159.0960687265506</v>
      </c>
      <c r="Q6" s="75">
        <f t="shared" si="32"/>
        <v>4453.9984015795035</v>
      </c>
      <c r="R6" s="75">
        <f t="shared" si="32"/>
        <v>3209.1236002817154</v>
      </c>
      <c r="S6" s="75">
        <f t="shared" si="32"/>
        <v>2778.8337354114374</v>
      </c>
      <c r="T6" s="75">
        <f t="shared" si="32"/>
        <v>2501.6198778322032</v>
      </c>
      <c r="U6" s="75">
        <f t="shared" si="32"/>
        <v>2298.8341056284744</v>
      </c>
      <c r="V6" s="75">
        <f t="shared" si="32"/>
        <v>2140.8880755270652</v>
      </c>
      <c r="W6" s="75">
        <f t="shared" si="32"/>
        <v>2012.7383577442517</v>
      </c>
      <c r="X6" s="75">
        <f t="shared" si="32"/>
        <v>1905.8281113663716</v>
      </c>
      <c r="Y6" s="75">
        <f t="shared" si="32"/>
        <v>1814.6397536405429</v>
      </c>
      <c r="Z6" s="75">
        <f t="shared" si="32"/>
        <v>1735.6790898877387</v>
      </c>
      <c r="AA6" s="75">
        <f t="shared" si="32"/>
        <v>1666.3648373782726</v>
      </c>
      <c r="AB6" s="75">
        <f t="shared" si="32"/>
        <v>1604.8751350924106</v>
      </c>
      <c r="AC6" s="75">
        <f t="shared" si="32"/>
        <v>1549.7608815076803</v>
      </c>
      <c r="AD6" s="75">
        <f t="shared" si="32"/>
        <v>1500.0389854771588</v>
      </c>
      <c r="AE6" s="75">
        <f t="shared" si="32"/>
        <v>1454.8572554907951</v>
      </c>
      <c r="AF6" s="75">
        <f t="shared" si="32"/>
        <v>1413.5741841455747</v>
      </c>
      <c r="AG6" s="75">
        <f t="shared" si="32"/>
        <v>808.347074166943</v>
      </c>
      <c r="AH6" s="75">
        <f t="shared" si="32"/>
        <v>597.58188797656237</v>
      </c>
      <c r="AI6" s="75">
        <f t="shared" si="32"/>
        <v>392.92731459903206</v>
      </c>
      <c r="AJ6" s="75">
        <f t="shared" si="32"/>
        <v>193.88080955277718</v>
      </c>
      <c r="AK6" s="75">
        <f t="shared" si="32"/>
        <v>0</v>
      </c>
      <c r="AL6" s="75">
        <f t="shared" si="32"/>
        <v>0</v>
      </c>
      <c r="AM6" s="75">
        <f t="shared" si="32"/>
        <v>0</v>
      </c>
      <c r="AN6" s="75">
        <f t="shared" si="32"/>
        <v>0</v>
      </c>
      <c r="AO6" s="75">
        <f t="shared" si="32"/>
        <v>0</v>
      </c>
      <c r="AP6" s="75">
        <f t="shared" si="32"/>
        <v>0</v>
      </c>
      <c r="AQ6" s="75">
        <f t="shared" si="32"/>
        <v>0</v>
      </c>
    </row>
    <row r="7" spans="2:43">
      <c r="B7" s="183" t="s">
        <v>80</v>
      </c>
      <c r="C7" s="160">
        <v>4</v>
      </c>
      <c r="E7" s="158">
        <v>4</v>
      </c>
      <c r="F7" s="158">
        <v>10</v>
      </c>
      <c r="H7" s="175">
        <f>SUMPRODUCT(K7:BT7,$K$5:$BT$5)/1000</f>
        <v>96.035372507923938</v>
      </c>
      <c r="I7" s="43" t="s">
        <v>14</v>
      </c>
      <c r="J7" s="44" t="s">
        <v>84</v>
      </c>
      <c r="K7" s="37"/>
      <c r="L7" s="38"/>
      <c r="M7" s="38">
        <f>+'Well Prod'!L192</f>
        <v>23.110309524059165</v>
      </c>
      <c r="N7" s="38">
        <f>+'Well Prod'!M192</f>
        <v>18.371512257262623</v>
      </c>
      <c r="O7" s="38">
        <f>+'Well Prod'!N192</f>
        <v>19.45426538494355</v>
      </c>
      <c r="P7" s="38">
        <f>+'Well Prod'!O192</f>
        <v>20.903602425142108</v>
      </c>
      <c r="Q7" s="38">
        <f>+'Well Prod'!P192</f>
        <v>22.385780527869255</v>
      </c>
      <c r="R7" s="38">
        <f>+'Well Prod'!Q192</f>
        <v>16.129044091537217</v>
      </c>
      <c r="S7" s="38">
        <f>+'Well Prod'!R192</f>
        <v>13.966408722171868</v>
      </c>
      <c r="T7" s="38">
        <f>+'Well Prod'!S192</f>
        <v>12.573132834858562</v>
      </c>
      <c r="U7" s="38">
        <f>+'Well Prod'!T192</f>
        <v>11.553932246659576</v>
      </c>
      <c r="V7" s="38">
        <f>+'Well Prod'!U192</f>
        <v>10.760096046843135</v>
      </c>
      <c r="W7" s="38">
        <f>+'Well Prod'!V192</f>
        <v>10.116016009459845</v>
      </c>
      <c r="X7" s="38">
        <f>+'Well Prod'!W192</f>
        <v>9.5786854817373968</v>
      </c>
      <c r="Y7" s="38">
        <f>+'Well Prod'!X192</f>
        <v>9.120373111884879</v>
      </c>
      <c r="Z7" s="38">
        <f>+'Well Prod'!Y192</f>
        <v>8.7235170895570935</v>
      </c>
      <c r="AA7" s="38">
        <f>+'Well Prod'!Z192</f>
        <v>8.3751438967018892</v>
      </c>
      <c r="AB7" s="38">
        <f>+'Well Prod'!AA192</f>
        <v>8.0660968661490315</v>
      </c>
      <c r="AC7" s="38">
        <f>+'Well Prod'!AB192</f>
        <v>7.7890928186694506</v>
      </c>
      <c r="AD7" s="38">
        <f>+'Well Prod'!AC192</f>
        <v>7.5391907415663111</v>
      </c>
      <c r="AE7" s="38">
        <f>+'Well Prod'!AD192</f>
        <v>7.3121075232639612</v>
      </c>
      <c r="AF7" s="38">
        <f>+'Well Prod'!AE192</f>
        <v>7.1046189497784518</v>
      </c>
      <c r="AG7" s="38">
        <f>+'Well Prod'!AF192</f>
        <v>4.0627495928667843</v>
      </c>
      <c r="AH7" s="38">
        <f>+'Well Prod'!AG192</f>
        <v>3.0034444976291694</v>
      </c>
      <c r="AI7" s="38">
        <f>+'Well Prod'!AH192</f>
        <v>1.9748513212083068</v>
      </c>
      <c r="AJ7" s="38">
        <f>+'Well Prod'!AI192</f>
        <v>0.9744442767817223</v>
      </c>
      <c r="AK7" s="38">
        <f>+'Well Prod'!AJ192</f>
        <v>0</v>
      </c>
      <c r="AL7" s="38">
        <f>+'Well Prod'!AK192</f>
        <v>0</v>
      </c>
      <c r="AM7" s="38">
        <f>+'Well Prod'!AL192</f>
        <v>0</v>
      </c>
      <c r="AN7" s="38">
        <f>+'Well Prod'!AM192</f>
        <v>0</v>
      </c>
      <c r="AO7" s="38">
        <f>+'Well Prod'!AN192</f>
        <v>0</v>
      </c>
      <c r="AP7" s="38">
        <f>+'Well Prod'!AO192</f>
        <v>0</v>
      </c>
      <c r="AQ7" s="38">
        <f>+'Well Prod'!AP192</f>
        <v>0</v>
      </c>
    </row>
    <row r="8" spans="2:43">
      <c r="B8" s="183" t="s">
        <v>106</v>
      </c>
      <c r="C8" s="178">
        <v>4</v>
      </c>
      <c r="H8" s="176">
        <f t="shared" ref="H8:H11" si="33">SUMPRODUCT(K8:BT8,$K$5:$BT$5)/1000</f>
        <v>94.114665057765478</v>
      </c>
      <c r="I8" s="45" t="s">
        <v>12</v>
      </c>
      <c r="J8" s="46" t="s">
        <v>84</v>
      </c>
      <c r="K8" s="39"/>
      <c r="L8" s="40"/>
      <c r="M8" s="40">
        <f>+M7*M13</f>
        <v>22.648103333577982</v>
      </c>
      <c r="N8" s="40">
        <f t="shared" ref="N8:AA8" si="34">+N7*N13</f>
        <v>18.004082012117369</v>
      </c>
      <c r="O8" s="40">
        <f t="shared" si="34"/>
        <v>19.06518007724468</v>
      </c>
      <c r="P8" s="40">
        <f t="shared" si="34"/>
        <v>20.485530376639264</v>
      </c>
      <c r="Q8" s="40">
        <f t="shared" si="34"/>
        <v>21.93806491731187</v>
      </c>
      <c r="R8" s="40">
        <f t="shared" si="34"/>
        <v>15.806463209706473</v>
      </c>
      <c r="S8" s="40">
        <f t="shared" si="34"/>
        <v>13.687080547728431</v>
      </c>
      <c r="T8" s="40">
        <f t="shared" si="34"/>
        <v>12.321670178161391</v>
      </c>
      <c r="U8" s="40">
        <f t="shared" si="34"/>
        <v>11.322853601726385</v>
      </c>
      <c r="V8" s="40">
        <f t="shared" si="34"/>
        <v>10.544894125906271</v>
      </c>
      <c r="W8" s="40">
        <f t="shared" si="34"/>
        <v>9.9136956892706483</v>
      </c>
      <c r="X8" s="40">
        <f t="shared" si="34"/>
        <v>9.3871117721026494</v>
      </c>
      <c r="Y8" s="40">
        <f t="shared" si="34"/>
        <v>8.9379656496471807</v>
      </c>
      <c r="Z8" s="40">
        <f t="shared" si="34"/>
        <v>8.5490467477659511</v>
      </c>
      <c r="AA8" s="40">
        <f t="shared" si="34"/>
        <v>8.2076410187678519</v>
      </c>
      <c r="AB8" s="40">
        <f t="shared" ref="AB8" si="35">+AB7*AB13</f>
        <v>7.9047749288260505</v>
      </c>
      <c r="AC8" s="40">
        <f t="shared" ref="AC8" si="36">+AC7*AC13</f>
        <v>7.6333109622960613</v>
      </c>
      <c r="AD8" s="40">
        <f t="shared" ref="AD8" si="37">+AD7*AD13</f>
        <v>7.3884069267349846</v>
      </c>
      <c r="AE8" s="40">
        <f t="shared" ref="AE8" si="38">+AE7*AE13</f>
        <v>7.1658653727986819</v>
      </c>
      <c r="AF8" s="40">
        <f t="shared" ref="AF8" si="39">+AF7*AF13</f>
        <v>6.9625265707828827</v>
      </c>
      <c r="AG8" s="40">
        <f t="shared" ref="AG8" si="40">+AG7*AG13</f>
        <v>3.9814946010094485</v>
      </c>
      <c r="AH8" s="40">
        <f t="shared" ref="AH8" si="41">+AH7*AH13</f>
        <v>2.943375607676586</v>
      </c>
      <c r="AI8" s="40">
        <f t="shared" ref="AI8" si="42">+AI7*AI13</f>
        <v>1.9353542947841407</v>
      </c>
      <c r="AJ8" s="40">
        <f t="shared" ref="AJ8" si="43">+AJ7*AJ13</f>
        <v>0.95495539124608786</v>
      </c>
      <c r="AK8" s="40">
        <f t="shared" ref="AK8" si="44">+AK7*AK13</f>
        <v>0</v>
      </c>
      <c r="AL8" s="40">
        <f t="shared" ref="AL8" si="45">+AL7*AL13</f>
        <v>0</v>
      </c>
      <c r="AM8" s="40">
        <f t="shared" ref="AM8" si="46">+AM7*AM13</f>
        <v>0</v>
      </c>
      <c r="AN8" s="40">
        <f t="shared" ref="AN8" si="47">+AN7*AN13</f>
        <v>0</v>
      </c>
      <c r="AO8" s="40">
        <f t="shared" ref="AO8" si="48">+AO7*AO13</f>
        <v>0</v>
      </c>
      <c r="AP8" s="40">
        <f t="shared" ref="AP8" si="49">+AP7*AP13</f>
        <v>0</v>
      </c>
      <c r="AQ8" s="40">
        <f t="shared" ref="AQ8" si="50">+AQ7*AQ13</f>
        <v>0</v>
      </c>
    </row>
    <row r="9" spans="2:43">
      <c r="H9" s="176">
        <f t="shared" si="33"/>
        <v>2400.8843126980987</v>
      </c>
      <c r="I9" s="47" t="s">
        <v>15</v>
      </c>
      <c r="J9" s="48" t="s">
        <v>63</v>
      </c>
      <c r="K9" s="37"/>
      <c r="L9" s="38"/>
      <c r="M9" s="38">
        <f t="shared" ref="M9:AA9" si="51">+M7*M14</f>
        <v>577.75773810147916</v>
      </c>
      <c r="N9" s="38">
        <f t="shared" si="51"/>
        <v>459.28780643156557</v>
      </c>
      <c r="O9" s="38">
        <f t="shared" si="51"/>
        <v>486.35663462358877</v>
      </c>
      <c r="P9" s="38">
        <f t="shared" si="51"/>
        <v>522.59006062855269</v>
      </c>
      <c r="Q9" s="38">
        <f t="shared" si="51"/>
        <v>559.6445131967314</v>
      </c>
      <c r="R9" s="38">
        <f t="shared" si="51"/>
        <v>403.22610228843041</v>
      </c>
      <c r="S9" s="38">
        <f t="shared" si="51"/>
        <v>349.16021805429671</v>
      </c>
      <c r="T9" s="38">
        <f t="shared" si="51"/>
        <v>314.32832087146403</v>
      </c>
      <c r="U9" s="38">
        <f t="shared" si="51"/>
        <v>288.84830616648941</v>
      </c>
      <c r="V9" s="38">
        <f t="shared" si="51"/>
        <v>269.00240117107836</v>
      </c>
      <c r="W9" s="38">
        <f t="shared" si="51"/>
        <v>252.90040023649613</v>
      </c>
      <c r="X9" s="38">
        <f t="shared" si="51"/>
        <v>239.46713704343492</v>
      </c>
      <c r="Y9" s="38">
        <f t="shared" si="51"/>
        <v>228.00932779712198</v>
      </c>
      <c r="Z9" s="38">
        <f t="shared" si="51"/>
        <v>218.08792723892734</v>
      </c>
      <c r="AA9" s="38">
        <f t="shared" si="51"/>
        <v>209.37859741754724</v>
      </c>
      <c r="AB9" s="38">
        <f t="shared" ref="AB9:AQ9" si="52">+AB7*AB14</f>
        <v>201.65242165372578</v>
      </c>
      <c r="AC9" s="38">
        <f t="shared" si="52"/>
        <v>194.72732046673627</v>
      </c>
      <c r="AD9" s="38">
        <f t="shared" si="52"/>
        <v>188.47976853915779</v>
      </c>
      <c r="AE9" s="38">
        <f t="shared" si="52"/>
        <v>182.80268808159903</v>
      </c>
      <c r="AF9" s="38">
        <f t="shared" si="52"/>
        <v>177.6154737444613</v>
      </c>
      <c r="AG9" s="38">
        <f t="shared" si="52"/>
        <v>101.56873982166961</v>
      </c>
      <c r="AH9" s="38">
        <f t="shared" si="52"/>
        <v>75.086112440729238</v>
      </c>
      <c r="AI9" s="38">
        <f t="shared" si="52"/>
        <v>49.371283030207671</v>
      </c>
      <c r="AJ9" s="38">
        <f t="shared" si="52"/>
        <v>24.361106919543058</v>
      </c>
      <c r="AK9" s="38">
        <f t="shared" si="52"/>
        <v>0</v>
      </c>
      <c r="AL9" s="38">
        <f t="shared" si="52"/>
        <v>0</v>
      </c>
      <c r="AM9" s="38">
        <f t="shared" si="52"/>
        <v>0</v>
      </c>
      <c r="AN9" s="38">
        <f t="shared" si="52"/>
        <v>0</v>
      </c>
      <c r="AO9" s="38">
        <f t="shared" si="52"/>
        <v>0</v>
      </c>
      <c r="AP9" s="38">
        <f t="shared" si="52"/>
        <v>0</v>
      </c>
      <c r="AQ9" s="38">
        <f t="shared" si="52"/>
        <v>0</v>
      </c>
    </row>
    <row r="10" spans="2:43">
      <c r="B10" s="183" t="s">
        <v>125</v>
      </c>
      <c r="C10" s="160">
        <v>7</v>
      </c>
      <c r="E10" s="31">
        <v>4</v>
      </c>
      <c r="F10" s="31">
        <v>10</v>
      </c>
      <c r="H10" s="176">
        <f t="shared" si="33"/>
        <v>480.17686253961966</v>
      </c>
      <c r="I10" s="49" t="s">
        <v>13</v>
      </c>
      <c r="J10" s="50" t="s">
        <v>63</v>
      </c>
      <c r="K10" s="37"/>
      <c r="L10" s="38"/>
      <c r="M10" s="38">
        <f t="shared" ref="M10:AA10" si="53">+M7*M15</f>
        <v>115.55154762029582</v>
      </c>
      <c r="N10" s="38">
        <f t="shared" si="53"/>
        <v>91.857561286313114</v>
      </c>
      <c r="O10" s="38">
        <f t="shared" si="53"/>
        <v>97.271326924717755</v>
      </c>
      <c r="P10" s="38">
        <f t="shared" si="53"/>
        <v>104.51801212571054</v>
      </c>
      <c r="Q10" s="38">
        <f t="shared" si="53"/>
        <v>111.92890263934628</v>
      </c>
      <c r="R10" s="38">
        <f t="shared" si="53"/>
        <v>80.645220457686094</v>
      </c>
      <c r="S10" s="38">
        <f t="shared" si="53"/>
        <v>69.832043610859344</v>
      </c>
      <c r="T10" s="38">
        <f t="shared" si="53"/>
        <v>62.86566417429281</v>
      </c>
      <c r="U10" s="38">
        <f t="shared" si="53"/>
        <v>57.769661233297882</v>
      </c>
      <c r="V10" s="38">
        <f t="shared" si="53"/>
        <v>53.800480234215669</v>
      </c>
      <c r="W10" s="38">
        <f t="shared" si="53"/>
        <v>50.580080047299219</v>
      </c>
      <c r="X10" s="38">
        <f t="shared" si="53"/>
        <v>47.893427408686982</v>
      </c>
      <c r="Y10" s="38">
        <f t="shared" si="53"/>
        <v>45.601865559424397</v>
      </c>
      <c r="Z10" s="38">
        <f t="shared" si="53"/>
        <v>43.617585447785466</v>
      </c>
      <c r="AA10" s="38">
        <f t="shared" si="53"/>
        <v>41.875719483509442</v>
      </c>
      <c r="AB10" s="38">
        <f t="shared" ref="AB10:AQ10" si="54">+AB7*AB15</f>
        <v>40.330484330745158</v>
      </c>
      <c r="AC10" s="38">
        <f t="shared" si="54"/>
        <v>38.945464093347255</v>
      </c>
      <c r="AD10" s="38">
        <f t="shared" si="54"/>
        <v>37.695953707831556</v>
      </c>
      <c r="AE10" s="38">
        <f t="shared" si="54"/>
        <v>36.560537616319806</v>
      </c>
      <c r="AF10" s="38">
        <f t="shared" si="54"/>
        <v>35.523094748892262</v>
      </c>
      <c r="AG10" s="38">
        <f t="shared" si="54"/>
        <v>20.31374796433392</v>
      </c>
      <c r="AH10" s="38">
        <f t="shared" si="54"/>
        <v>15.017222488145848</v>
      </c>
      <c r="AI10" s="38">
        <f t="shared" si="54"/>
        <v>9.8742566060415342</v>
      </c>
      <c r="AJ10" s="38">
        <f t="shared" si="54"/>
        <v>4.8722213839086113</v>
      </c>
      <c r="AK10" s="38">
        <f t="shared" si="54"/>
        <v>0</v>
      </c>
      <c r="AL10" s="38">
        <f t="shared" si="54"/>
        <v>0</v>
      </c>
      <c r="AM10" s="38">
        <f t="shared" si="54"/>
        <v>0</v>
      </c>
      <c r="AN10" s="38">
        <f t="shared" si="54"/>
        <v>0</v>
      </c>
      <c r="AO10" s="38">
        <f t="shared" si="54"/>
        <v>0</v>
      </c>
      <c r="AP10" s="38">
        <f t="shared" si="54"/>
        <v>0</v>
      </c>
      <c r="AQ10" s="38">
        <f t="shared" si="54"/>
        <v>0</v>
      </c>
    </row>
    <row r="11" spans="2:43">
      <c r="H11" s="176">
        <f t="shared" si="33"/>
        <v>0</v>
      </c>
      <c r="I11" s="49" t="s">
        <v>3</v>
      </c>
      <c r="J11" s="50" t="s">
        <v>63</v>
      </c>
      <c r="K11" s="37"/>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row>
    <row r="12" spans="2:43">
      <c r="H12" s="177"/>
      <c r="I12" s="51"/>
      <c r="J12" s="52"/>
      <c r="K12" s="37"/>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row>
    <row r="13" spans="2:43">
      <c r="H13" s="15"/>
      <c r="I13" s="14" t="s">
        <v>4</v>
      </c>
      <c r="J13" s="17" t="s">
        <v>100</v>
      </c>
      <c r="K13" s="69"/>
      <c r="L13" s="70"/>
      <c r="M13" s="70">
        <v>0.98</v>
      </c>
      <c r="N13" s="70">
        <v>0.98</v>
      </c>
      <c r="O13" s="70">
        <v>0.98</v>
      </c>
      <c r="P13" s="70">
        <v>0.98</v>
      </c>
      <c r="Q13" s="70">
        <v>0.98</v>
      </c>
      <c r="R13" s="70">
        <v>0.98</v>
      </c>
      <c r="S13" s="70">
        <v>0.98</v>
      </c>
      <c r="T13" s="70">
        <v>0.98</v>
      </c>
      <c r="U13" s="70">
        <v>0.98</v>
      </c>
      <c r="V13" s="70">
        <v>0.98</v>
      </c>
      <c r="W13" s="70">
        <v>0.98</v>
      </c>
      <c r="X13" s="70">
        <v>0.98</v>
      </c>
      <c r="Y13" s="70">
        <v>0.98</v>
      </c>
      <c r="Z13" s="70">
        <v>0.98</v>
      </c>
      <c r="AA13" s="70">
        <v>0.98</v>
      </c>
      <c r="AB13" s="70">
        <v>0.98</v>
      </c>
      <c r="AC13" s="70">
        <v>0.98</v>
      </c>
      <c r="AD13" s="70">
        <v>0.98</v>
      </c>
      <c r="AE13" s="70">
        <v>0.98</v>
      </c>
      <c r="AF13" s="70">
        <v>0.98</v>
      </c>
      <c r="AG13" s="70">
        <v>0.98</v>
      </c>
      <c r="AH13" s="70">
        <v>0.98</v>
      </c>
      <c r="AI13" s="70">
        <v>0.98</v>
      </c>
      <c r="AJ13" s="70">
        <v>0.98</v>
      </c>
      <c r="AK13" s="70">
        <v>0.98</v>
      </c>
      <c r="AL13" s="70">
        <v>0.98</v>
      </c>
      <c r="AM13" s="70">
        <v>0.98</v>
      </c>
      <c r="AN13" s="70">
        <v>0.98</v>
      </c>
      <c r="AO13" s="70">
        <v>0.98</v>
      </c>
      <c r="AP13" s="70">
        <v>0.98</v>
      </c>
      <c r="AQ13" s="70">
        <v>0.98</v>
      </c>
    </row>
    <row r="14" spans="2:43">
      <c r="H14" s="15"/>
      <c r="I14" s="16" t="s">
        <v>5</v>
      </c>
      <c r="J14" s="17" t="s">
        <v>101</v>
      </c>
      <c r="K14" s="37"/>
      <c r="L14" s="38"/>
      <c r="M14" s="38">
        <v>25</v>
      </c>
      <c r="N14" s="38">
        <v>25</v>
      </c>
      <c r="O14" s="38">
        <v>25</v>
      </c>
      <c r="P14" s="38">
        <v>25</v>
      </c>
      <c r="Q14" s="38">
        <v>25</v>
      </c>
      <c r="R14" s="38">
        <v>25</v>
      </c>
      <c r="S14" s="38">
        <v>25</v>
      </c>
      <c r="T14" s="38">
        <v>25</v>
      </c>
      <c r="U14" s="38">
        <v>25</v>
      </c>
      <c r="V14" s="38">
        <v>25</v>
      </c>
      <c r="W14" s="38">
        <v>25</v>
      </c>
      <c r="X14" s="38">
        <v>25</v>
      </c>
      <c r="Y14" s="38">
        <v>25</v>
      </c>
      <c r="Z14" s="38">
        <v>25</v>
      </c>
      <c r="AA14" s="38">
        <v>25</v>
      </c>
      <c r="AB14" s="38">
        <v>25</v>
      </c>
      <c r="AC14" s="38">
        <v>25</v>
      </c>
      <c r="AD14" s="38">
        <v>25</v>
      </c>
      <c r="AE14" s="38">
        <v>25</v>
      </c>
      <c r="AF14" s="38">
        <v>25</v>
      </c>
      <c r="AG14" s="38">
        <v>25</v>
      </c>
      <c r="AH14" s="38">
        <v>25</v>
      </c>
      <c r="AI14" s="38">
        <v>25</v>
      </c>
      <c r="AJ14" s="38">
        <v>25</v>
      </c>
      <c r="AK14" s="38">
        <v>25</v>
      </c>
      <c r="AL14" s="38">
        <v>25</v>
      </c>
      <c r="AM14" s="38">
        <v>25</v>
      </c>
      <c r="AN14" s="38">
        <v>25</v>
      </c>
      <c r="AO14" s="38">
        <v>25</v>
      </c>
      <c r="AP14" s="38">
        <v>25</v>
      </c>
      <c r="AQ14" s="38">
        <v>25</v>
      </c>
    </row>
    <row r="15" spans="2:43">
      <c r="H15" s="15"/>
      <c r="I15" s="16" t="s">
        <v>6</v>
      </c>
      <c r="J15" s="17" t="s">
        <v>101</v>
      </c>
      <c r="K15" s="37"/>
      <c r="L15" s="38"/>
      <c r="M15" s="38">
        <v>5</v>
      </c>
      <c r="N15" s="38">
        <v>5</v>
      </c>
      <c r="O15" s="38">
        <v>5</v>
      </c>
      <c r="P15" s="38">
        <v>5</v>
      </c>
      <c r="Q15" s="38">
        <v>5</v>
      </c>
      <c r="R15" s="38">
        <v>5</v>
      </c>
      <c r="S15" s="38">
        <v>5</v>
      </c>
      <c r="T15" s="38">
        <v>5</v>
      </c>
      <c r="U15" s="38">
        <v>5</v>
      </c>
      <c r="V15" s="38">
        <v>5</v>
      </c>
      <c r="W15" s="38">
        <v>5</v>
      </c>
      <c r="X15" s="38">
        <v>5</v>
      </c>
      <c r="Y15" s="38">
        <v>5</v>
      </c>
      <c r="Z15" s="38">
        <v>5</v>
      </c>
      <c r="AA15" s="38">
        <v>5</v>
      </c>
      <c r="AB15" s="38">
        <v>5</v>
      </c>
      <c r="AC15" s="38">
        <v>5</v>
      </c>
      <c r="AD15" s="38">
        <v>5</v>
      </c>
      <c r="AE15" s="38">
        <v>5</v>
      </c>
      <c r="AF15" s="38">
        <v>5</v>
      </c>
      <c r="AG15" s="38">
        <v>5</v>
      </c>
      <c r="AH15" s="38">
        <v>5</v>
      </c>
      <c r="AI15" s="38">
        <v>5</v>
      </c>
      <c r="AJ15" s="38">
        <v>5</v>
      </c>
      <c r="AK15" s="38">
        <v>5</v>
      </c>
      <c r="AL15" s="38">
        <v>5</v>
      </c>
      <c r="AM15" s="38">
        <v>5</v>
      </c>
      <c r="AN15" s="38">
        <v>5</v>
      </c>
      <c r="AO15" s="38">
        <v>5</v>
      </c>
      <c r="AP15" s="38">
        <v>5</v>
      </c>
      <c r="AQ15" s="38">
        <v>5</v>
      </c>
    </row>
    <row r="16" spans="2:43">
      <c r="H16" s="15"/>
      <c r="I16" s="14" t="s">
        <v>7</v>
      </c>
      <c r="J16" s="17" t="s">
        <v>101</v>
      </c>
      <c r="K16" s="41"/>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row>
    <row r="18" spans="2:62">
      <c r="H18" s="92" t="s">
        <v>79</v>
      </c>
      <c r="I18" s="36"/>
      <c r="J18" s="106">
        <f>+SUM(K18:BJ18)</f>
        <v>56</v>
      </c>
      <c r="K18" s="97">
        <f>$C$5*'Well OPEX-Schedule'!K$2</f>
        <v>8</v>
      </c>
      <c r="L18" s="98">
        <f>$C$5*'Well OPEX-Schedule'!L$2</f>
        <v>8</v>
      </c>
      <c r="M18" s="98">
        <f>$C$5*'Well OPEX-Schedule'!M$2</f>
        <v>8</v>
      </c>
      <c r="N18" s="98">
        <f>$C$5*'Well OPEX-Schedule'!N$2</f>
        <v>8</v>
      </c>
      <c r="O18" s="98">
        <f>$C$5*'Well OPEX-Schedule'!O$2</f>
        <v>8</v>
      </c>
      <c r="P18" s="98">
        <f>$C$5*'Well OPEX-Schedule'!P$2</f>
        <v>8</v>
      </c>
      <c r="Q18" s="98">
        <f>$C$5*'Well OPEX-Schedule'!Q$2</f>
        <v>8</v>
      </c>
      <c r="R18" s="98">
        <f>$C$5*'Well OPEX-Schedule'!R$2</f>
        <v>0</v>
      </c>
      <c r="S18" s="98">
        <f>$C$5*'Well OPEX-Schedule'!S$2</f>
        <v>0</v>
      </c>
      <c r="T18" s="98">
        <f>$C$5*'Well OPEX-Schedule'!T$2</f>
        <v>0</v>
      </c>
      <c r="U18" s="98">
        <f>$C$5*'Well OPEX-Schedule'!U$2</f>
        <v>0</v>
      </c>
      <c r="V18" s="98">
        <f>$C$5*'Well OPEX-Schedule'!V$2</f>
        <v>0</v>
      </c>
      <c r="W18" s="98">
        <f>$C$5*'Well OPEX-Schedule'!W$2</f>
        <v>0</v>
      </c>
      <c r="X18" s="98">
        <f>$C$5*'Well OPEX-Schedule'!X$2</f>
        <v>0</v>
      </c>
      <c r="Y18" s="98">
        <f>$C$5*'Well OPEX-Schedule'!Y$2</f>
        <v>0</v>
      </c>
      <c r="Z18" s="98">
        <f>$C$5*'Well OPEX-Schedule'!Z$2</f>
        <v>0</v>
      </c>
      <c r="AA18" s="98">
        <f>$C$5*'Well OPEX-Schedule'!AA$2</f>
        <v>0</v>
      </c>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c r="BD18" s="98"/>
      <c r="BE18" s="98"/>
      <c r="BF18" s="98"/>
      <c r="BG18" s="98"/>
      <c r="BH18" s="98"/>
      <c r="BI18" s="98"/>
      <c r="BJ18" s="99"/>
    </row>
    <row r="19" spans="2:62">
      <c r="B19" s="242" t="s">
        <v>73</v>
      </c>
      <c r="C19" s="167" t="s">
        <v>99</v>
      </c>
      <c r="H19" s="93" t="s">
        <v>102</v>
      </c>
      <c r="I19" s="94"/>
      <c r="J19" s="106">
        <f t="shared" ref="J19:J24" si="55">+SUM(K19:BJ19)</f>
        <v>336</v>
      </c>
      <c r="K19" s="100">
        <f>$C$3*'Well OPEX-Schedule'!K$2</f>
        <v>48</v>
      </c>
      <c r="L19" s="101">
        <f>$C$3*'Well OPEX-Schedule'!L$2</f>
        <v>48</v>
      </c>
      <c r="M19" s="101">
        <f>$C$3*'Well OPEX-Schedule'!M$2</f>
        <v>48</v>
      </c>
      <c r="N19" s="101">
        <f>$C$3*'Well OPEX-Schedule'!N$2</f>
        <v>48</v>
      </c>
      <c r="O19" s="101">
        <f>$C$3*'Well OPEX-Schedule'!O$2</f>
        <v>48</v>
      </c>
      <c r="P19" s="101">
        <f>$C$3*'Well OPEX-Schedule'!P$2</f>
        <v>48</v>
      </c>
      <c r="Q19" s="101">
        <f>$C$3*'Well OPEX-Schedule'!Q$2</f>
        <v>48</v>
      </c>
      <c r="R19" s="101">
        <f>$C$3*'Well OPEX-Schedule'!R$2</f>
        <v>0</v>
      </c>
      <c r="S19" s="101">
        <f>$C$3*'Well OPEX-Schedule'!S$2</f>
        <v>0</v>
      </c>
      <c r="T19" s="101">
        <f>$C$3*'Well OPEX-Schedule'!T$2</f>
        <v>0</v>
      </c>
      <c r="U19" s="101">
        <f>$C$3*'Well OPEX-Schedule'!U$2</f>
        <v>0</v>
      </c>
      <c r="V19" s="101">
        <f>$C$3*'Well OPEX-Schedule'!V$2</f>
        <v>0</v>
      </c>
      <c r="W19" s="101">
        <f>$C$3*'Well OPEX-Schedule'!W$2</f>
        <v>0</v>
      </c>
      <c r="X19" s="101">
        <f>$C$3*'Well OPEX-Schedule'!X$2</f>
        <v>0</v>
      </c>
      <c r="Y19" s="101">
        <f>$C$3*'Well OPEX-Schedule'!Y$2</f>
        <v>0</v>
      </c>
      <c r="Z19" s="101">
        <f>$C$3*'Well OPEX-Schedule'!Z$2</f>
        <v>0</v>
      </c>
      <c r="AA19" s="101">
        <f>$C$3*'Well OPEX-Schedule'!AA$2</f>
        <v>0</v>
      </c>
      <c r="AB19" s="101"/>
      <c r="AC19" s="101"/>
      <c r="AD19" s="101"/>
      <c r="AE19" s="101"/>
      <c r="AF19" s="101"/>
      <c r="AG19" s="101"/>
      <c r="AH19" s="101"/>
      <c r="AI19" s="101"/>
      <c r="AJ19" s="101"/>
      <c r="AK19" s="101"/>
      <c r="AL19" s="101"/>
      <c r="AM19" s="101"/>
      <c r="AN19" s="101"/>
      <c r="AO19" s="101"/>
      <c r="AP19" s="101"/>
      <c r="AQ19" s="101"/>
      <c r="AR19" s="101"/>
      <c r="AS19" s="101"/>
      <c r="AT19" s="101"/>
      <c r="AU19" s="101"/>
      <c r="AV19" s="101"/>
      <c r="AW19" s="101"/>
      <c r="AX19" s="101"/>
      <c r="AY19" s="101"/>
      <c r="AZ19" s="101"/>
      <c r="BA19" s="101"/>
      <c r="BB19" s="101"/>
      <c r="BC19" s="101"/>
      <c r="BD19" s="101"/>
      <c r="BE19" s="101"/>
      <c r="BF19" s="101"/>
      <c r="BG19" s="101"/>
      <c r="BH19" s="101"/>
      <c r="BI19" s="101"/>
      <c r="BJ19" s="102"/>
    </row>
    <row r="20" spans="2:62">
      <c r="B20" s="158">
        <v>1</v>
      </c>
      <c r="C20" s="158">
        <f>IF(B20&lt;=$C$10,IF($C$1=1,$C$8,$C$7),0)</f>
        <v>4</v>
      </c>
      <c r="H20" s="93" t="s">
        <v>76</v>
      </c>
      <c r="I20" s="33"/>
      <c r="J20" s="106">
        <f t="shared" si="55"/>
        <v>56</v>
      </c>
      <c r="K20" s="100">
        <f>$C$4*'Well OPEX-Schedule'!K$2</f>
        <v>8</v>
      </c>
      <c r="L20" s="101">
        <f>$C$4*'Well OPEX-Schedule'!L$2</f>
        <v>8</v>
      </c>
      <c r="M20" s="101">
        <f>$C$4*'Well OPEX-Schedule'!M$2</f>
        <v>8</v>
      </c>
      <c r="N20" s="101">
        <f>$C$4*'Well OPEX-Schedule'!N$2</f>
        <v>8</v>
      </c>
      <c r="O20" s="101">
        <f>$C$4*'Well OPEX-Schedule'!O$2</f>
        <v>8</v>
      </c>
      <c r="P20" s="101">
        <f>$C$4*'Well OPEX-Schedule'!P$2</f>
        <v>8</v>
      </c>
      <c r="Q20" s="101">
        <f>$C$4*'Well OPEX-Schedule'!Q$2</f>
        <v>8</v>
      </c>
      <c r="R20" s="101">
        <f>$C$4*'Well OPEX-Schedule'!R$2</f>
        <v>0</v>
      </c>
      <c r="S20" s="101">
        <f>$C$4*'Well OPEX-Schedule'!S$2</f>
        <v>0</v>
      </c>
      <c r="T20" s="101">
        <f>$C$4*'Well OPEX-Schedule'!T$2</f>
        <v>0</v>
      </c>
      <c r="U20" s="101">
        <f>$C$4*'Well OPEX-Schedule'!U$2</f>
        <v>0</v>
      </c>
      <c r="V20" s="101">
        <f>$C$4*'Well OPEX-Schedule'!V$2</f>
        <v>0</v>
      </c>
      <c r="W20" s="101">
        <f>$C$4*'Well OPEX-Schedule'!W$2</f>
        <v>0</v>
      </c>
      <c r="X20" s="101">
        <f>$C$4*'Well OPEX-Schedule'!X$2</f>
        <v>0</v>
      </c>
      <c r="Y20" s="101">
        <f>$C$4*'Well OPEX-Schedule'!Y$2</f>
        <v>0</v>
      </c>
      <c r="Z20" s="101">
        <f>$C$4*'Well OPEX-Schedule'!Z$2</f>
        <v>0</v>
      </c>
      <c r="AA20" s="101">
        <f>$C$4*'Well OPEX-Schedule'!AA$2</f>
        <v>0</v>
      </c>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2"/>
    </row>
    <row r="21" spans="2:62">
      <c r="B21" s="158">
        <v>2</v>
      </c>
      <c r="C21" s="158">
        <f t="shared" ref="C21:C39" si="56">IF(B21&lt;=$C$10,IF($C$1=1,$C$8,$C$7),0)</f>
        <v>4</v>
      </c>
      <c r="H21" s="93" t="s">
        <v>103</v>
      </c>
      <c r="I21" s="33"/>
      <c r="J21" s="106">
        <f t="shared" si="55"/>
        <v>0</v>
      </c>
      <c r="K21" s="100"/>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c r="BA21" s="101"/>
      <c r="BB21" s="101"/>
      <c r="BC21" s="101"/>
      <c r="BD21" s="101"/>
      <c r="BE21" s="101"/>
      <c r="BF21" s="101"/>
      <c r="BG21" s="101"/>
      <c r="BH21" s="101"/>
      <c r="BI21" s="101"/>
      <c r="BJ21" s="102"/>
    </row>
    <row r="22" spans="2:62">
      <c r="B22" s="158">
        <v>3</v>
      </c>
      <c r="C22" s="158">
        <f t="shared" si="56"/>
        <v>4</v>
      </c>
      <c r="H22" s="93" t="s">
        <v>104</v>
      </c>
      <c r="I22" s="33"/>
      <c r="J22" s="106">
        <f t="shared" si="55"/>
        <v>15</v>
      </c>
      <c r="K22" s="100">
        <v>15</v>
      </c>
      <c r="L22" s="101"/>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c r="AJ22" s="101"/>
      <c r="AK22" s="101"/>
      <c r="AL22" s="101"/>
      <c r="AM22" s="101"/>
      <c r="AN22" s="101"/>
      <c r="AO22" s="101"/>
      <c r="AP22" s="101"/>
      <c r="AQ22" s="101"/>
      <c r="AR22" s="101"/>
      <c r="AS22" s="101"/>
      <c r="AT22" s="101"/>
      <c r="AU22" s="101"/>
      <c r="AV22" s="101"/>
      <c r="AW22" s="101"/>
      <c r="AX22" s="101"/>
      <c r="AY22" s="101"/>
      <c r="AZ22" s="101"/>
      <c r="BA22" s="101"/>
      <c r="BB22" s="101"/>
      <c r="BC22" s="101"/>
      <c r="BD22" s="101"/>
      <c r="BE22" s="101"/>
      <c r="BF22" s="101"/>
      <c r="BG22" s="101"/>
      <c r="BH22" s="101"/>
      <c r="BI22" s="101"/>
      <c r="BJ22" s="102"/>
    </row>
    <row r="23" spans="2:62">
      <c r="B23" s="158">
        <v>4</v>
      </c>
      <c r="C23" s="158">
        <f t="shared" si="56"/>
        <v>4</v>
      </c>
      <c r="H23" s="93" t="s">
        <v>8</v>
      </c>
      <c r="I23" s="33"/>
      <c r="J23" s="106">
        <f t="shared" si="55"/>
        <v>0</v>
      </c>
      <c r="K23" s="100"/>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c r="BA23" s="101"/>
      <c r="BB23" s="101"/>
      <c r="BC23" s="101"/>
      <c r="BD23" s="101"/>
      <c r="BE23" s="101"/>
      <c r="BF23" s="101"/>
      <c r="BG23" s="101"/>
      <c r="BH23" s="101"/>
      <c r="BI23" s="101"/>
      <c r="BJ23" s="102"/>
    </row>
    <row r="24" spans="2:62">
      <c r="B24" s="158">
        <v>5</v>
      </c>
      <c r="C24" s="158">
        <f t="shared" si="56"/>
        <v>4</v>
      </c>
      <c r="H24" s="95"/>
      <c r="I24" s="96"/>
      <c r="J24" s="106">
        <f t="shared" si="55"/>
        <v>0</v>
      </c>
      <c r="K24" s="103"/>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5"/>
    </row>
    <row r="25" spans="2:62">
      <c r="B25" s="158">
        <v>6</v>
      </c>
      <c r="C25" s="158">
        <f t="shared" si="56"/>
        <v>4</v>
      </c>
      <c r="H25" s="20" t="s">
        <v>47</v>
      </c>
      <c r="I25" s="21"/>
      <c r="J25" s="243">
        <f>+SUM(J18:J24)</f>
        <v>463</v>
      </c>
      <c r="K25" s="22">
        <f t="shared" ref="K25:BJ25" si="57">+SUM(K18:K24)</f>
        <v>79</v>
      </c>
      <c r="L25" s="22">
        <f t="shared" si="57"/>
        <v>64</v>
      </c>
      <c r="M25" s="22">
        <f t="shared" si="57"/>
        <v>64</v>
      </c>
      <c r="N25" s="22">
        <f t="shared" si="57"/>
        <v>64</v>
      </c>
      <c r="O25" s="22">
        <f t="shared" si="57"/>
        <v>64</v>
      </c>
      <c r="P25" s="22">
        <f t="shared" si="57"/>
        <v>64</v>
      </c>
      <c r="Q25" s="22">
        <f t="shared" si="57"/>
        <v>64</v>
      </c>
      <c r="R25" s="22">
        <f t="shared" si="57"/>
        <v>0</v>
      </c>
      <c r="S25" s="22">
        <f t="shared" si="57"/>
        <v>0</v>
      </c>
      <c r="T25" s="22">
        <f t="shared" si="57"/>
        <v>0</v>
      </c>
      <c r="U25" s="22">
        <f t="shared" si="57"/>
        <v>0</v>
      </c>
      <c r="V25" s="22">
        <f t="shared" si="57"/>
        <v>0</v>
      </c>
      <c r="W25" s="22">
        <f t="shared" si="57"/>
        <v>0</v>
      </c>
      <c r="X25" s="22">
        <f t="shared" si="57"/>
        <v>0</v>
      </c>
      <c r="Y25" s="22">
        <f t="shared" si="57"/>
        <v>0</v>
      </c>
      <c r="Z25" s="22">
        <f t="shared" si="57"/>
        <v>0</v>
      </c>
      <c r="AA25" s="22">
        <f t="shared" si="57"/>
        <v>0</v>
      </c>
      <c r="AB25" s="22">
        <f t="shared" si="57"/>
        <v>0</v>
      </c>
      <c r="AC25" s="22">
        <f t="shared" si="57"/>
        <v>0</v>
      </c>
      <c r="AD25" s="22">
        <f t="shared" si="57"/>
        <v>0</v>
      </c>
      <c r="AE25" s="22">
        <f t="shared" si="57"/>
        <v>0</v>
      </c>
      <c r="AF25" s="22">
        <f t="shared" si="57"/>
        <v>0</v>
      </c>
      <c r="AG25" s="22">
        <f t="shared" si="57"/>
        <v>0</v>
      </c>
      <c r="AH25" s="22">
        <f t="shared" si="57"/>
        <v>0</v>
      </c>
      <c r="AI25" s="22">
        <f t="shared" si="57"/>
        <v>0</v>
      </c>
      <c r="AJ25" s="22">
        <f t="shared" si="57"/>
        <v>0</v>
      </c>
      <c r="AK25" s="22">
        <f t="shared" si="57"/>
        <v>0</v>
      </c>
      <c r="AL25" s="22">
        <f t="shared" si="57"/>
        <v>0</v>
      </c>
      <c r="AM25" s="22">
        <f t="shared" si="57"/>
        <v>0</v>
      </c>
      <c r="AN25" s="22">
        <f t="shared" si="57"/>
        <v>0</v>
      </c>
      <c r="AO25" s="22">
        <f t="shared" si="57"/>
        <v>0</v>
      </c>
      <c r="AP25" s="22">
        <f t="shared" si="57"/>
        <v>0</v>
      </c>
      <c r="AQ25" s="22">
        <f t="shared" si="57"/>
        <v>0</v>
      </c>
      <c r="AR25" s="22">
        <f t="shared" si="57"/>
        <v>0</v>
      </c>
      <c r="AS25" s="22">
        <f t="shared" si="57"/>
        <v>0</v>
      </c>
      <c r="AT25" s="22">
        <f t="shared" si="57"/>
        <v>0</v>
      </c>
      <c r="AU25" s="22">
        <f t="shared" si="57"/>
        <v>0</v>
      </c>
      <c r="AV25" s="22">
        <f t="shared" si="57"/>
        <v>0</v>
      </c>
      <c r="AW25" s="22">
        <f t="shared" si="57"/>
        <v>0</v>
      </c>
      <c r="AX25" s="22">
        <f t="shared" si="57"/>
        <v>0</v>
      </c>
      <c r="AY25" s="22">
        <f t="shared" si="57"/>
        <v>0</v>
      </c>
      <c r="AZ25" s="22">
        <f t="shared" si="57"/>
        <v>0</v>
      </c>
      <c r="BA25" s="22">
        <f t="shared" si="57"/>
        <v>0</v>
      </c>
      <c r="BB25" s="22">
        <f t="shared" si="57"/>
        <v>0</v>
      </c>
      <c r="BC25" s="22">
        <f t="shared" si="57"/>
        <v>0</v>
      </c>
      <c r="BD25" s="22">
        <f t="shared" si="57"/>
        <v>0</v>
      </c>
      <c r="BE25" s="22">
        <f t="shared" si="57"/>
        <v>0</v>
      </c>
      <c r="BF25" s="22">
        <f t="shared" si="57"/>
        <v>0</v>
      </c>
      <c r="BG25" s="22">
        <f t="shared" si="57"/>
        <v>0</v>
      </c>
      <c r="BH25" s="22">
        <f t="shared" si="57"/>
        <v>0</v>
      </c>
      <c r="BI25" s="22">
        <f t="shared" si="57"/>
        <v>0</v>
      </c>
      <c r="BJ25" s="22">
        <f t="shared" si="57"/>
        <v>0</v>
      </c>
    </row>
    <row r="26" spans="2:62">
      <c r="B26" s="158">
        <v>7</v>
      </c>
      <c r="C26" s="158">
        <f t="shared" si="56"/>
        <v>4</v>
      </c>
    </row>
    <row r="27" spans="2:62">
      <c r="B27" s="158">
        <v>8</v>
      </c>
      <c r="C27" s="158">
        <f t="shared" si="56"/>
        <v>0</v>
      </c>
    </row>
    <row r="28" spans="2:62">
      <c r="B28" s="158">
        <v>9</v>
      </c>
      <c r="C28" s="158">
        <f t="shared" si="56"/>
        <v>0</v>
      </c>
    </row>
    <row r="29" spans="2:62">
      <c r="B29" s="158">
        <v>10</v>
      </c>
      <c r="C29" s="158">
        <f t="shared" si="56"/>
        <v>0</v>
      </c>
      <c r="H29" s="246"/>
      <c r="I29" s="162"/>
    </row>
    <row r="30" spans="2:62">
      <c r="B30" s="158">
        <v>11</v>
      </c>
      <c r="C30" s="158">
        <f t="shared" si="56"/>
        <v>0</v>
      </c>
    </row>
    <row r="31" spans="2:62">
      <c r="B31" s="158">
        <v>12</v>
      </c>
      <c r="C31" s="158">
        <f t="shared" si="56"/>
        <v>0</v>
      </c>
    </row>
    <row r="32" spans="2:62">
      <c r="B32" s="158">
        <v>13</v>
      </c>
      <c r="C32" s="158">
        <f t="shared" si="56"/>
        <v>0</v>
      </c>
    </row>
    <row r="33" spans="2:46">
      <c r="B33" s="158">
        <v>14</v>
      </c>
      <c r="C33" s="158">
        <f t="shared" si="56"/>
        <v>0</v>
      </c>
    </row>
    <row r="34" spans="2:46">
      <c r="B34" s="158">
        <v>15</v>
      </c>
      <c r="C34" s="158">
        <f t="shared" si="56"/>
        <v>0</v>
      </c>
    </row>
    <row r="35" spans="2:46">
      <c r="B35" s="158">
        <v>16</v>
      </c>
      <c r="C35" s="158">
        <f t="shared" si="56"/>
        <v>0</v>
      </c>
    </row>
    <row r="36" spans="2:46">
      <c r="B36" s="158">
        <v>17</v>
      </c>
      <c r="C36" s="158">
        <f t="shared" si="56"/>
        <v>0</v>
      </c>
    </row>
    <row r="37" spans="2:46">
      <c r="B37" s="158">
        <v>18</v>
      </c>
      <c r="C37" s="158">
        <f t="shared" si="56"/>
        <v>0</v>
      </c>
    </row>
    <row r="38" spans="2:46">
      <c r="B38" s="158">
        <v>19</v>
      </c>
      <c r="C38" s="158">
        <f t="shared" si="56"/>
        <v>0</v>
      </c>
    </row>
    <row r="39" spans="2:46">
      <c r="B39" s="158">
        <v>20</v>
      </c>
      <c r="C39" s="158">
        <f t="shared" si="56"/>
        <v>0</v>
      </c>
      <c r="H39" s="158"/>
    </row>
    <row r="40" spans="2:46">
      <c r="N40" s="31"/>
      <c r="O40" s="31"/>
      <c r="P40" s="31"/>
      <c r="Q40" s="31"/>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row>
    <row r="41" spans="2:46">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row>
    <row r="42" spans="2:46">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row>
    <row r="43" spans="2:46">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31"/>
      <c r="AL43" s="31"/>
      <c r="AM43" s="31"/>
      <c r="AN43" s="31"/>
      <c r="AO43" s="31"/>
      <c r="AP43" s="31"/>
      <c r="AQ43" s="31"/>
      <c r="AR43" s="31"/>
      <c r="AS43" s="31"/>
      <c r="AT43" s="31"/>
    </row>
    <row r="44" spans="2:46">
      <c r="H44" s="31"/>
      <c r="M44" s="31"/>
      <c r="N44" s="31"/>
      <c r="O44" s="31"/>
      <c r="P44" s="31"/>
      <c r="Q44" s="31"/>
      <c r="R44" s="31"/>
      <c r="S44" s="31"/>
      <c r="T44" s="31"/>
      <c r="U44" s="31"/>
      <c r="V44" s="31"/>
      <c r="W44" s="31"/>
      <c r="X44" s="31"/>
      <c r="Y44" s="31"/>
      <c r="Z44" s="31"/>
      <c r="AA44" s="31"/>
      <c r="AB44" s="31"/>
      <c r="AC44" s="31"/>
      <c r="AD44" s="31"/>
      <c r="AE44" s="31"/>
      <c r="AF44" s="31"/>
      <c r="AG44" s="31"/>
      <c r="AH44" s="31"/>
      <c r="AI44" s="31"/>
      <c r="AJ44" s="31"/>
      <c r="AK44" s="31"/>
      <c r="AL44" s="31"/>
      <c r="AM44" s="31"/>
      <c r="AN44" s="31"/>
      <c r="AO44" s="31"/>
      <c r="AP44" s="31"/>
      <c r="AQ44" s="31"/>
      <c r="AR44" s="31"/>
      <c r="AS44" s="31"/>
      <c r="AT44" s="31"/>
    </row>
    <row r="45" spans="2:46">
      <c r="H45" s="31"/>
      <c r="M45" s="31"/>
      <c r="N45" s="31"/>
      <c r="O45" s="31"/>
      <c r="P45" s="31"/>
      <c r="Q45" s="31"/>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row>
    <row r="46" spans="2:46">
      <c r="H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row>
    <row r="47" spans="2:46">
      <c r="H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row>
    <row r="48" spans="2:46">
      <c r="H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1"/>
    </row>
    <row r="49" spans="8:46">
      <c r="H49" s="31"/>
      <c r="M49" s="31"/>
      <c r="N49" s="31"/>
      <c r="O49" s="31"/>
      <c r="P49" s="31"/>
      <c r="Q49" s="31"/>
      <c r="R49" s="31"/>
      <c r="S49" s="31"/>
      <c r="T49" s="31"/>
      <c r="U49" s="31"/>
      <c r="V49" s="31"/>
      <c r="W49" s="31"/>
      <c r="X49" s="31"/>
      <c r="Y49" s="31"/>
      <c r="Z49" s="31"/>
      <c r="AA49" s="31"/>
      <c r="AB49" s="31"/>
      <c r="AC49" s="31"/>
      <c r="AD49" s="31"/>
      <c r="AE49" s="31"/>
      <c r="AF49" s="31"/>
      <c r="AG49" s="31"/>
      <c r="AH49" s="31"/>
      <c r="AI49" s="31"/>
      <c r="AJ49" s="31"/>
      <c r="AK49" s="31"/>
      <c r="AL49" s="31"/>
      <c r="AM49" s="31"/>
      <c r="AN49" s="31"/>
      <c r="AO49" s="31"/>
      <c r="AP49" s="31"/>
      <c r="AQ49" s="31"/>
      <c r="AR49" s="31"/>
      <c r="AS49" s="31"/>
      <c r="AT49" s="31"/>
    </row>
    <row r="50" spans="8:46">
      <c r="H50" s="31"/>
      <c r="M50" s="31"/>
      <c r="N50" s="31"/>
      <c r="O50" s="31"/>
      <c r="P50" s="31"/>
      <c r="Q50" s="31"/>
      <c r="R50" s="31"/>
      <c r="S50" s="31"/>
      <c r="T50" s="31"/>
      <c r="U50" s="31"/>
      <c r="V50" s="31"/>
      <c r="W50" s="31"/>
      <c r="X50" s="31"/>
      <c r="Y50" s="31"/>
      <c r="Z50" s="31"/>
      <c r="AA50" s="31"/>
      <c r="AB50" s="31"/>
      <c r="AC50" s="31"/>
      <c r="AD50" s="31"/>
      <c r="AE50" s="31"/>
      <c r="AF50" s="31"/>
      <c r="AG50" s="31"/>
      <c r="AH50" s="31"/>
      <c r="AI50" s="31"/>
      <c r="AJ50" s="31"/>
      <c r="AK50" s="31"/>
      <c r="AL50" s="31"/>
      <c r="AM50" s="31"/>
      <c r="AN50" s="31"/>
      <c r="AO50" s="31"/>
      <c r="AP50" s="31"/>
      <c r="AQ50" s="31"/>
      <c r="AR50" s="31"/>
      <c r="AS50" s="31"/>
      <c r="AT50" s="31"/>
    </row>
    <row r="51" spans="8:46">
      <c r="H51" s="31"/>
      <c r="M51" s="31"/>
      <c r="N51" s="31"/>
      <c r="O51" s="31"/>
      <c r="P51" s="31"/>
      <c r="Q51" s="31"/>
      <c r="R51" s="31"/>
      <c r="S51" s="31"/>
      <c r="T51" s="31"/>
      <c r="U51" s="31"/>
      <c r="V51" s="31"/>
      <c r="W51" s="31"/>
      <c r="X51" s="31"/>
      <c r="Y51" s="31"/>
      <c r="Z51" s="31"/>
      <c r="AA51" s="31"/>
      <c r="AB51" s="31"/>
      <c r="AC51" s="31"/>
      <c r="AD51" s="31"/>
      <c r="AE51" s="31"/>
      <c r="AF51" s="31"/>
      <c r="AG51" s="31"/>
      <c r="AH51" s="31"/>
      <c r="AI51" s="31"/>
      <c r="AJ51" s="31"/>
      <c r="AK51" s="31"/>
      <c r="AL51" s="31"/>
      <c r="AM51" s="31"/>
      <c r="AN51" s="31"/>
      <c r="AO51" s="31"/>
      <c r="AP51" s="31"/>
      <c r="AQ51" s="31"/>
      <c r="AR51" s="31"/>
      <c r="AS51" s="31"/>
      <c r="AT51" s="31"/>
    </row>
    <row r="52" spans="8:46">
      <c r="H52" s="31"/>
      <c r="M52" s="31"/>
      <c r="N52" s="31"/>
      <c r="O52" s="31"/>
      <c r="P52" s="31"/>
      <c r="Q52" s="31"/>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31"/>
      <c r="AQ52" s="31"/>
      <c r="AR52" s="31"/>
      <c r="AS52" s="31"/>
      <c r="AT52" s="31"/>
    </row>
    <row r="53" spans="8:46">
      <c r="H53" s="31"/>
      <c r="M53" s="31"/>
      <c r="N53" s="31"/>
      <c r="O53" s="31"/>
      <c r="P53" s="31"/>
      <c r="Q53" s="31"/>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row>
    <row r="54" spans="8:46">
      <c r="H54" s="31"/>
      <c r="M54" s="31"/>
      <c r="N54" s="31"/>
      <c r="O54" s="31"/>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row>
    <row r="55" spans="8:46">
      <c r="H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row>
    <row r="56" spans="8:46">
      <c r="H56" s="31"/>
      <c r="M56" s="31"/>
      <c r="N56" s="31"/>
      <c r="O56" s="31"/>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31"/>
      <c r="AQ56" s="31"/>
      <c r="AR56" s="31"/>
      <c r="AS56" s="31"/>
      <c r="AT56" s="31"/>
    </row>
    <row r="57" spans="8:46">
      <c r="H57" s="31"/>
      <c r="M57" s="31"/>
      <c r="N57" s="31"/>
      <c r="O57" s="31"/>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31"/>
      <c r="AQ57" s="31"/>
      <c r="AR57" s="31"/>
      <c r="AS57" s="31"/>
      <c r="AT57" s="31"/>
    </row>
    <row r="58" spans="8:46">
      <c r="H58" s="31"/>
      <c r="M58" s="31"/>
      <c r="N58" s="31"/>
      <c r="O58" s="31"/>
      <c r="P58" s="31"/>
      <c r="Q58" s="31"/>
      <c r="R58" s="31"/>
      <c r="S58" s="31"/>
      <c r="T58" s="31"/>
      <c r="U58" s="31"/>
      <c r="V58" s="31"/>
      <c r="W58" s="31"/>
      <c r="X58" s="31"/>
      <c r="Y58" s="31"/>
      <c r="Z58" s="31"/>
      <c r="AA58" s="31"/>
      <c r="AB58" s="31"/>
      <c r="AC58" s="31"/>
      <c r="AD58" s="31"/>
      <c r="AE58" s="31"/>
      <c r="AF58" s="31"/>
      <c r="AG58" s="31"/>
      <c r="AH58" s="31"/>
      <c r="AI58" s="31"/>
      <c r="AJ58" s="31"/>
      <c r="AK58" s="31"/>
      <c r="AL58" s="31"/>
      <c r="AM58" s="31"/>
      <c r="AN58" s="31"/>
      <c r="AO58" s="31"/>
      <c r="AP58" s="31"/>
      <c r="AQ58" s="31"/>
      <c r="AR58" s="31"/>
      <c r="AS58" s="31"/>
      <c r="AT58" s="31"/>
    </row>
    <row r="59" spans="8:46">
      <c r="H59" s="31"/>
      <c r="M59" s="31"/>
      <c r="N59" s="31"/>
      <c r="O59" s="31"/>
      <c r="P59" s="31"/>
      <c r="Q59" s="31"/>
      <c r="R59" s="31"/>
      <c r="S59" s="31"/>
      <c r="T59" s="31"/>
      <c r="U59" s="31"/>
      <c r="V59" s="31"/>
      <c r="W59" s="31"/>
      <c r="X59" s="31"/>
      <c r="Y59" s="31"/>
      <c r="Z59" s="31"/>
      <c r="AA59" s="31"/>
      <c r="AB59" s="31"/>
      <c r="AC59" s="31"/>
      <c r="AD59" s="31"/>
      <c r="AE59" s="31"/>
      <c r="AF59" s="31"/>
      <c r="AG59" s="31"/>
      <c r="AH59" s="31"/>
      <c r="AI59" s="31"/>
      <c r="AJ59" s="31"/>
      <c r="AK59" s="31"/>
      <c r="AL59" s="31"/>
      <c r="AM59" s="31"/>
      <c r="AN59" s="31"/>
      <c r="AO59" s="31"/>
      <c r="AP59" s="31"/>
      <c r="AQ59" s="31"/>
      <c r="AR59" s="31"/>
      <c r="AS59" s="31"/>
      <c r="AT59" s="31"/>
    </row>
    <row r="60" spans="8:46">
      <c r="H60" s="31"/>
      <c r="M60" s="31"/>
      <c r="N60" s="31"/>
      <c r="O60" s="31"/>
      <c r="P60" s="31"/>
      <c r="Q60" s="31"/>
      <c r="R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row>
    <row r="61" spans="8:46">
      <c r="H61" s="31"/>
      <c r="M61" s="31"/>
      <c r="N61" s="31"/>
      <c r="O61" s="31"/>
      <c r="P61" s="31"/>
      <c r="Q61" s="31"/>
      <c r="R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row>
    <row r="62" spans="8:46">
      <c r="H62" s="31"/>
      <c r="M62" s="31"/>
      <c r="N62" s="31"/>
      <c r="O62" s="31"/>
      <c r="P62" s="31"/>
      <c r="Q62" s="31"/>
      <c r="R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row>
    <row r="63" spans="8:46">
      <c r="H63" s="31"/>
      <c r="M63" s="31"/>
      <c r="N63" s="31"/>
      <c r="O63" s="31"/>
      <c r="P63" s="31"/>
      <c r="Q63" s="31"/>
      <c r="R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row>
    <row r="64" spans="8:46">
      <c r="H64" s="31"/>
      <c r="M64" s="31"/>
      <c r="N64" s="31"/>
      <c r="O64" s="31"/>
      <c r="P64" s="31"/>
      <c r="Q64" s="31"/>
      <c r="R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row>
    <row r="65" spans="2:46">
      <c r="H65" s="31"/>
      <c r="M65" s="31"/>
      <c r="N65" s="31"/>
      <c r="O65" s="31"/>
      <c r="P65" s="31"/>
      <c r="Q65" s="31"/>
      <c r="R65" s="31"/>
      <c r="S65" s="31"/>
      <c r="T65" s="31"/>
      <c r="U65" s="31"/>
      <c r="V65" s="31"/>
      <c r="W65" s="31"/>
      <c r="X65" s="31"/>
      <c r="Y65" s="31"/>
      <c r="Z65" s="31"/>
      <c r="AA65" s="31"/>
      <c r="AB65" s="31"/>
      <c r="AC65" s="31"/>
      <c r="AD65" s="31"/>
      <c r="AE65" s="31"/>
      <c r="AF65" s="31"/>
      <c r="AG65" s="31"/>
      <c r="AH65" s="31"/>
      <c r="AI65" s="31"/>
      <c r="AJ65" s="31"/>
      <c r="AK65" s="31"/>
      <c r="AL65" s="31"/>
      <c r="AM65" s="31"/>
      <c r="AN65" s="31"/>
      <c r="AO65" s="31"/>
      <c r="AP65" s="31"/>
      <c r="AQ65" s="31"/>
      <c r="AR65" s="31"/>
      <c r="AS65" s="31"/>
      <c r="AT65" s="31"/>
    </row>
    <row r="66" spans="2:46">
      <c r="H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31"/>
      <c r="AM66" s="31"/>
      <c r="AN66" s="31"/>
      <c r="AO66" s="31"/>
      <c r="AP66" s="31"/>
      <c r="AQ66" s="31"/>
      <c r="AR66" s="31"/>
      <c r="AS66" s="31"/>
      <c r="AT66" s="31"/>
    </row>
    <row r="67" spans="2:46" s="31" customFormat="1">
      <c r="B67" s="158"/>
      <c r="C67" s="158"/>
    </row>
    <row r="68" spans="2:46" s="31" customFormat="1">
      <c r="B68" s="158"/>
      <c r="C68" s="158"/>
    </row>
    <row r="69" spans="2:46" s="31" customFormat="1">
      <c r="B69" s="158"/>
      <c r="C69" s="158"/>
    </row>
    <row r="70" spans="2:46" s="31" customFormat="1">
      <c r="B70" s="158"/>
      <c r="C70" s="158"/>
    </row>
    <row r="71" spans="2:46" s="31" customFormat="1">
      <c r="B71" s="158"/>
      <c r="C71" s="158"/>
    </row>
    <row r="72" spans="2:46" s="31" customFormat="1">
      <c r="B72" s="158"/>
      <c r="C72" s="158"/>
    </row>
    <row r="73" spans="2:46" s="31" customFormat="1">
      <c r="B73" s="158"/>
      <c r="C73" s="158"/>
    </row>
    <row r="74" spans="2:46" s="31" customFormat="1">
      <c r="B74" s="158"/>
      <c r="C74" s="158"/>
    </row>
    <row r="75" spans="2:46" s="31" customFormat="1">
      <c r="B75" s="158"/>
      <c r="C75" s="158"/>
    </row>
    <row r="76" spans="2:46" s="31" customFormat="1">
      <c r="B76" s="158"/>
      <c r="C76" s="158"/>
    </row>
    <row r="77" spans="2:46" s="31" customFormat="1">
      <c r="B77" s="158"/>
      <c r="C77" s="158"/>
    </row>
    <row r="78" spans="2:46" s="31" customFormat="1">
      <c r="B78" s="158"/>
      <c r="C78" s="158"/>
    </row>
    <row r="79" spans="2:46" s="31" customFormat="1">
      <c r="B79" s="158"/>
      <c r="C79" s="158"/>
    </row>
    <row r="80" spans="2:46" s="31" customFormat="1">
      <c r="B80" s="158"/>
      <c r="C80" s="158"/>
    </row>
    <row r="81" spans="2:46" s="31" customFormat="1">
      <c r="B81" s="158"/>
      <c r="C81" s="158"/>
    </row>
    <row r="82" spans="2:46" s="31" customFormat="1">
      <c r="B82" s="158"/>
      <c r="C82" s="158"/>
    </row>
    <row r="83" spans="2:46" s="31" customFormat="1">
      <c r="B83" s="158"/>
      <c r="C83" s="158"/>
    </row>
    <row r="84" spans="2:46" s="31" customFormat="1">
      <c r="B84" s="158"/>
      <c r="C84" s="158"/>
    </row>
    <row r="85" spans="2:46" s="31" customFormat="1">
      <c r="B85" s="158"/>
      <c r="C85" s="158"/>
    </row>
    <row r="86" spans="2:46" s="31" customFormat="1">
      <c r="B86" s="158"/>
      <c r="C86" s="158"/>
    </row>
    <row r="87" spans="2:46" s="31" customFormat="1">
      <c r="B87" s="158"/>
      <c r="C87" s="158"/>
    </row>
    <row r="88" spans="2:46" s="31" customFormat="1">
      <c r="B88" s="158"/>
      <c r="C88" s="158"/>
    </row>
    <row r="89" spans="2:46" s="31" customFormat="1">
      <c r="B89" s="158"/>
      <c r="C89" s="158"/>
    </row>
    <row r="90" spans="2:46" s="31" customFormat="1">
      <c r="B90" s="158"/>
      <c r="C90" s="158"/>
    </row>
    <row r="91" spans="2:46" s="31" customFormat="1">
      <c r="B91" s="158"/>
      <c r="C91" s="158"/>
    </row>
    <row r="92" spans="2:46" s="31" customFormat="1">
      <c r="B92" s="158"/>
      <c r="C92" s="158"/>
    </row>
    <row r="93" spans="2:46" s="31" customFormat="1">
      <c r="B93" s="158"/>
      <c r="C93" s="158"/>
    </row>
    <row r="94" spans="2:46" s="31" customFormat="1">
      <c r="B94" s="158"/>
      <c r="C94" s="158"/>
    </row>
    <row r="95" spans="2:46">
      <c r="AC95" s="31"/>
      <c r="AD95" s="31"/>
      <c r="AE95" s="31"/>
      <c r="AF95" s="31"/>
      <c r="AG95" s="31"/>
      <c r="AH95" s="31"/>
      <c r="AI95" s="31"/>
      <c r="AJ95" s="31"/>
      <c r="AK95" s="31"/>
      <c r="AL95" s="31"/>
      <c r="AM95" s="31"/>
      <c r="AN95" s="31"/>
      <c r="AO95" s="31"/>
      <c r="AP95" s="31"/>
      <c r="AQ95" s="31"/>
      <c r="AR95" s="31"/>
      <c r="AS95" s="31"/>
      <c r="AT95" s="31"/>
    </row>
    <row r="96" spans="2:46">
      <c r="AC96" s="31"/>
      <c r="AD96" s="31"/>
      <c r="AE96" s="31"/>
      <c r="AF96" s="31"/>
      <c r="AG96" s="31"/>
      <c r="AH96" s="31"/>
      <c r="AI96" s="31"/>
      <c r="AJ96" s="31"/>
      <c r="AK96" s="31"/>
      <c r="AL96" s="31"/>
      <c r="AM96" s="31"/>
      <c r="AN96" s="31"/>
      <c r="AO96" s="31"/>
      <c r="AP96" s="31"/>
      <c r="AQ96" s="31"/>
      <c r="AR96" s="31"/>
      <c r="AS96" s="31"/>
      <c r="AT96" s="31"/>
    </row>
    <row r="97" spans="8:46">
      <c r="H97" s="158"/>
      <c r="I97" s="31"/>
      <c r="J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row>
    <row r="98" spans="8:46">
      <c r="H98" s="31"/>
      <c r="I98" s="31"/>
      <c r="J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1"/>
      <c r="AO98" s="31"/>
      <c r="AP98" s="31"/>
      <c r="AQ98" s="31"/>
      <c r="AR98" s="31"/>
      <c r="AS98" s="31"/>
      <c r="AT98" s="31"/>
    </row>
    <row r="99" spans="8:46">
      <c r="H99" s="31"/>
      <c r="I99" s="31"/>
      <c r="J99" s="31"/>
      <c r="M99" s="31"/>
      <c r="N99" s="31"/>
      <c r="O99" s="31"/>
      <c r="P99" s="31"/>
      <c r="Q99" s="31"/>
      <c r="R99" s="31"/>
      <c r="S99" s="31"/>
      <c r="T99" s="31"/>
      <c r="U99" s="31"/>
      <c r="V99" s="31"/>
      <c r="W99" s="31"/>
      <c r="X99" s="31"/>
      <c r="Y99" s="31"/>
      <c r="Z99" s="31"/>
      <c r="AA99" s="31"/>
      <c r="AB99" s="31"/>
      <c r="AC99" s="31"/>
      <c r="AD99" s="31"/>
      <c r="AE99" s="31"/>
      <c r="AF99" s="31"/>
      <c r="AG99" s="31"/>
      <c r="AH99" s="31"/>
      <c r="AI99" s="31"/>
      <c r="AJ99" s="31"/>
      <c r="AK99" s="31"/>
      <c r="AL99" s="31"/>
      <c r="AM99" s="31"/>
      <c r="AN99" s="31"/>
      <c r="AO99" s="31"/>
      <c r="AP99" s="31"/>
      <c r="AQ99" s="31"/>
      <c r="AR99" s="31"/>
      <c r="AS99" s="31"/>
      <c r="AT99" s="31"/>
    </row>
    <row r="100" spans="8:46">
      <c r="H100" s="31"/>
      <c r="I100" s="31"/>
      <c r="J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row>
    <row r="101" spans="8:46">
      <c r="H101" s="31"/>
      <c r="I101" s="31"/>
      <c r="J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c r="AI101" s="31"/>
      <c r="AJ101" s="31"/>
      <c r="AK101" s="31"/>
      <c r="AL101" s="31"/>
      <c r="AM101" s="31"/>
      <c r="AN101" s="31"/>
      <c r="AO101" s="31"/>
      <c r="AP101" s="31"/>
      <c r="AQ101" s="31"/>
      <c r="AR101" s="31"/>
      <c r="AS101" s="31"/>
      <c r="AT101" s="31"/>
    </row>
    <row r="102" spans="8:46">
      <c r="H102" s="31"/>
      <c r="I102" s="31"/>
      <c r="J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c r="AI102" s="31"/>
      <c r="AJ102" s="31"/>
      <c r="AK102" s="31"/>
      <c r="AL102" s="31"/>
      <c r="AM102" s="31"/>
      <c r="AN102" s="31"/>
      <c r="AO102" s="31"/>
      <c r="AP102" s="31"/>
      <c r="AQ102" s="31"/>
      <c r="AR102" s="31"/>
      <c r="AS102" s="31"/>
      <c r="AT102" s="31"/>
    </row>
    <row r="103" spans="8:46">
      <c r="H103" s="31"/>
      <c r="I103" s="31"/>
      <c r="J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c r="AI103" s="31"/>
      <c r="AJ103" s="31"/>
      <c r="AK103" s="31"/>
      <c r="AL103" s="31"/>
      <c r="AM103" s="31"/>
      <c r="AN103" s="31"/>
      <c r="AO103" s="31"/>
      <c r="AP103" s="31"/>
      <c r="AQ103" s="31"/>
      <c r="AR103" s="31"/>
      <c r="AS103" s="31"/>
      <c r="AT103" s="31"/>
    </row>
    <row r="104" spans="8:46">
      <c r="H104" s="31"/>
      <c r="I104" s="31"/>
      <c r="J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c r="AI104" s="31"/>
      <c r="AJ104" s="31"/>
      <c r="AK104" s="31"/>
      <c r="AL104" s="31"/>
      <c r="AM104" s="31"/>
      <c r="AN104" s="31"/>
      <c r="AO104" s="31"/>
      <c r="AP104" s="31"/>
      <c r="AQ104" s="31"/>
      <c r="AR104" s="31"/>
      <c r="AS104" s="31"/>
      <c r="AT104" s="31"/>
    </row>
    <row r="105" spans="8:46">
      <c r="H105" s="31"/>
      <c r="I105" s="31"/>
      <c r="J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31"/>
      <c r="AS105" s="31"/>
      <c r="AT105" s="31"/>
    </row>
    <row r="106" spans="8:46">
      <c r="H106" s="31"/>
      <c r="I106" s="31"/>
      <c r="J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c r="AI106" s="31"/>
      <c r="AJ106" s="31"/>
      <c r="AK106" s="31"/>
      <c r="AL106" s="31"/>
      <c r="AM106" s="31"/>
      <c r="AN106" s="31"/>
      <c r="AO106" s="31"/>
      <c r="AP106" s="31"/>
      <c r="AQ106" s="31"/>
      <c r="AR106" s="31"/>
      <c r="AS106" s="31"/>
      <c r="AT106" s="31"/>
    </row>
    <row r="107" spans="8:46">
      <c r="H107" s="31"/>
      <c r="I107" s="31"/>
      <c r="J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c r="AI107" s="31"/>
      <c r="AJ107" s="31"/>
      <c r="AK107" s="31"/>
      <c r="AL107" s="31"/>
      <c r="AM107" s="31"/>
      <c r="AN107" s="31"/>
      <c r="AO107" s="31"/>
      <c r="AP107" s="31"/>
      <c r="AQ107" s="31"/>
      <c r="AR107" s="31"/>
      <c r="AS107" s="31"/>
      <c r="AT107" s="31"/>
    </row>
    <row r="108" spans="8:46">
      <c r="H108" s="31"/>
      <c r="I108" s="31"/>
      <c r="J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c r="AI108" s="31"/>
      <c r="AJ108" s="31"/>
      <c r="AK108" s="31"/>
      <c r="AL108" s="31"/>
      <c r="AM108" s="31"/>
      <c r="AN108" s="31"/>
      <c r="AO108" s="31"/>
      <c r="AP108" s="31"/>
      <c r="AQ108" s="31"/>
      <c r="AR108" s="31"/>
      <c r="AS108" s="31"/>
      <c r="AT108" s="31"/>
    </row>
    <row r="109" spans="8:46">
      <c r="H109" s="31"/>
      <c r="I109" s="31"/>
      <c r="J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c r="AI109" s="31"/>
      <c r="AJ109" s="31"/>
      <c r="AK109" s="31"/>
      <c r="AL109" s="31"/>
      <c r="AM109" s="31"/>
      <c r="AN109" s="31"/>
      <c r="AO109" s="31"/>
      <c r="AP109" s="31"/>
      <c r="AQ109" s="31"/>
      <c r="AR109" s="31"/>
      <c r="AS109" s="31"/>
      <c r="AT109" s="31"/>
    </row>
    <row r="110" spans="8:46">
      <c r="H110" s="31"/>
      <c r="I110" s="31"/>
      <c r="J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c r="AI110" s="31"/>
      <c r="AJ110" s="31"/>
      <c r="AK110" s="31"/>
      <c r="AL110" s="31"/>
      <c r="AM110" s="31"/>
      <c r="AN110" s="31"/>
      <c r="AO110" s="31"/>
      <c r="AP110" s="31"/>
      <c r="AQ110" s="31"/>
      <c r="AR110" s="31"/>
      <c r="AS110" s="31"/>
      <c r="AT110" s="31"/>
    </row>
    <row r="111" spans="8:46">
      <c r="H111" s="31"/>
      <c r="I111" s="31"/>
      <c r="J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c r="AI111" s="31"/>
      <c r="AJ111" s="31"/>
      <c r="AK111" s="31"/>
      <c r="AL111" s="31"/>
      <c r="AM111" s="31"/>
      <c r="AN111" s="31"/>
      <c r="AO111" s="31"/>
      <c r="AP111" s="31"/>
      <c r="AQ111" s="31"/>
      <c r="AR111" s="31"/>
      <c r="AS111" s="31"/>
      <c r="AT111" s="31"/>
    </row>
    <row r="112" spans="8:46">
      <c r="H112" s="31"/>
      <c r="I112" s="31"/>
      <c r="J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c r="AI112" s="31"/>
      <c r="AJ112" s="31"/>
      <c r="AK112" s="31"/>
      <c r="AL112" s="31"/>
      <c r="AM112" s="31"/>
      <c r="AN112" s="31"/>
      <c r="AO112" s="31"/>
      <c r="AP112" s="31"/>
      <c r="AQ112" s="31"/>
      <c r="AR112" s="31"/>
      <c r="AS112" s="31"/>
      <c r="AT112" s="31"/>
    </row>
    <row r="113" spans="8:46">
      <c r="H113" s="31"/>
      <c r="I113" s="31"/>
      <c r="J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c r="AI113" s="31"/>
      <c r="AJ113" s="31"/>
      <c r="AK113" s="31"/>
      <c r="AL113" s="31"/>
      <c r="AM113" s="31"/>
      <c r="AN113" s="31"/>
      <c r="AO113" s="31"/>
      <c r="AP113" s="31"/>
      <c r="AQ113" s="31"/>
      <c r="AR113" s="31"/>
      <c r="AS113" s="31"/>
      <c r="AT113" s="31"/>
    </row>
    <row r="114" spans="8:46">
      <c r="H114" s="31"/>
      <c r="I114" s="31"/>
      <c r="J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c r="AI114" s="31"/>
      <c r="AJ114" s="31"/>
      <c r="AK114" s="31"/>
      <c r="AL114" s="31"/>
      <c r="AM114" s="31"/>
      <c r="AN114" s="31"/>
      <c r="AO114" s="31"/>
      <c r="AP114" s="31"/>
      <c r="AQ114" s="31"/>
      <c r="AR114" s="31"/>
      <c r="AS114" s="31"/>
      <c r="AT114" s="31"/>
    </row>
    <row r="115" spans="8:46">
      <c r="H115" s="31"/>
      <c r="I115" s="31"/>
      <c r="J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c r="AI115" s="31"/>
      <c r="AJ115" s="31"/>
      <c r="AK115" s="31"/>
      <c r="AL115" s="31"/>
      <c r="AM115" s="31"/>
      <c r="AN115" s="31"/>
      <c r="AO115" s="31"/>
      <c r="AP115" s="31"/>
      <c r="AQ115" s="31"/>
      <c r="AR115" s="31"/>
      <c r="AS115" s="31"/>
      <c r="AT115" s="31"/>
    </row>
    <row r="116" spans="8:46">
      <c r="H116" s="31"/>
      <c r="I116" s="31"/>
      <c r="J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31"/>
      <c r="AS116" s="31"/>
      <c r="AT116" s="31"/>
    </row>
    <row r="117" spans="8:46">
      <c r="H117" s="31"/>
      <c r="I117" s="31"/>
      <c r="J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c r="AI117" s="31"/>
      <c r="AJ117" s="31"/>
      <c r="AK117" s="31"/>
      <c r="AL117" s="31"/>
      <c r="AM117" s="31"/>
      <c r="AN117" s="31"/>
      <c r="AO117" s="31"/>
      <c r="AP117" s="31"/>
      <c r="AQ117" s="31"/>
      <c r="AR117" s="31"/>
      <c r="AS117" s="31"/>
      <c r="AT117" s="31"/>
    </row>
    <row r="118" spans="8:46">
      <c r="H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c r="AI118" s="31"/>
      <c r="AJ118" s="31"/>
      <c r="AK118" s="31"/>
      <c r="AL118" s="31"/>
      <c r="AM118" s="31"/>
      <c r="AN118" s="31"/>
      <c r="AO118" s="31"/>
      <c r="AP118" s="31"/>
      <c r="AQ118" s="31"/>
      <c r="AR118" s="31"/>
      <c r="AS118" s="31"/>
      <c r="AT118" s="31"/>
    </row>
    <row r="119" spans="8:46">
      <c r="H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c r="AI119" s="31"/>
      <c r="AJ119" s="31"/>
      <c r="AK119" s="31"/>
      <c r="AL119" s="31"/>
      <c r="AM119" s="31"/>
      <c r="AN119" s="31"/>
      <c r="AO119" s="31"/>
      <c r="AP119" s="31"/>
      <c r="AQ119" s="31"/>
      <c r="AR119" s="31"/>
      <c r="AS119" s="31"/>
      <c r="AT119" s="31"/>
    </row>
    <row r="120" spans="8:46">
      <c r="H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c r="AI120" s="31"/>
      <c r="AJ120" s="31"/>
      <c r="AK120" s="31"/>
      <c r="AL120" s="31"/>
      <c r="AM120" s="31"/>
      <c r="AN120" s="31"/>
      <c r="AO120" s="31"/>
      <c r="AP120" s="31"/>
      <c r="AQ120" s="31"/>
      <c r="AR120" s="31"/>
      <c r="AS120" s="31"/>
      <c r="AT120" s="31"/>
    </row>
    <row r="121" spans="8:46">
      <c r="H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c r="AI121" s="31"/>
      <c r="AJ121" s="31"/>
      <c r="AK121" s="31"/>
      <c r="AL121" s="31"/>
      <c r="AM121" s="31"/>
      <c r="AN121" s="31"/>
      <c r="AO121" s="31"/>
      <c r="AP121" s="31"/>
      <c r="AQ121" s="31"/>
      <c r="AR121" s="31"/>
      <c r="AS121" s="31"/>
      <c r="AT121" s="31"/>
    </row>
    <row r="122" spans="8:46">
      <c r="H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c r="AI122" s="31"/>
      <c r="AJ122" s="31"/>
      <c r="AK122" s="31"/>
      <c r="AL122" s="31"/>
      <c r="AM122" s="31"/>
      <c r="AN122" s="31"/>
      <c r="AO122" s="31"/>
      <c r="AP122" s="31"/>
      <c r="AQ122" s="31"/>
      <c r="AR122" s="31"/>
      <c r="AS122" s="31"/>
      <c r="AT122" s="31"/>
    </row>
    <row r="123" spans="8:46">
      <c r="H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c r="AI123" s="31"/>
      <c r="AJ123" s="31"/>
      <c r="AK123" s="31"/>
      <c r="AL123" s="31"/>
      <c r="AM123" s="31"/>
      <c r="AN123" s="31"/>
      <c r="AO123" s="31"/>
      <c r="AP123" s="31"/>
      <c r="AQ123" s="31"/>
      <c r="AR123" s="31"/>
      <c r="AS123" s="31"/>
      <c r="AT123" s="31"/>
    </row>
    <row r="124" spans="8:46">
      <c r="H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c r="AI124" s="31"/>
      <c r="AJ124" s="31"/>
      <c r="AK124" s="31"/>
      <c r="AL124" s="31"/>
      <c r="AM124" s="31"/>
      <c r="AN124" s="31"/>
      <c r="AO124" s="31"/>
      <c r="AP124" s="31"/>
      <c r="AQ124" s="31"/>
      <c r="AR124" s="31"/>
      <c r="AS124" s="31"/>
      <c r="AT124" s="31"/>
    </row>
    <row r="125" spans="8:46">
      <c r="H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c r="AI125" s="31"/>
      <c r="AJ125" s="31"/>
      <c r="AK125" s="31"/>
      <c r="AL125" s="31"/>
      <c r="AM125" s="31"/>
      <c r="AN125" s="31"/>
      <c r="AO125" s="31"/>
      <c r="AP125" s="31"/>
      <c r="AQ125" s="31"/>
      <c r="AR125" s="31"/>
      <c r="AS125" s="31"/>
      <c r="AT125" s="31"/>
    </row>
    <row r="126" spans="8:46">
      <c r="H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c r="AI126" s="31"/>
      <c r="AJ126" s="31"/>
      <c r="AK126" s="31"/>
      <c r="AL126" s="31"/>
      <c r="AM126" s="31"/>
      <c r="AN126" s="31"/>
      <c r="AO126" s="31"/>
      <c r="AP126" s="31"/>
      <c r="AQ126" s="31"/>
      <c r="AR126" s="31"/>
      <c r="AS126" s="31"/>
      <c r="AT126" s="31"/>
    </row>
    <row r="127" spans="8:46">
      <c r="H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c r="AI127" s="31"/>
      <c r="AJ127" s="31"/>
      <c r="AK127" s="31"/>
      <c r="AL127" s="31"/>
      <c r="AM127" s="31"/>
      <c r="AN127" s="31"/>
      <c r="AO127" s="31"/>
      <c r="AP127" s="31"/>
      <c r="AQ127" s="31"/>
      <c r="AR127" s="31"/>
      <c r="AS127" s="31"/>
      <c r="AT127" s="31"/>
    </row>
    <row r="128" spans="8:46">
      <c r="H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c r="AI128" s="31"/>
      <c r="AJ128" s="31"/>
      <c r="AK128" s="31"/>
      <c r="AL128" s="31"/>
      <c r="AM128" s="31"/>
      <c r="AN128" s="31"/>
      <c r="AO128" s="31"/>
      <c r="AP128" s="31"/>
      <c r="AQ128" s="31"/>
      <c r="AR128" s="31"/>
      <c r="AS128" s="31"/>
      <c r="AT128" s="31"/>
    </row>
    <row r="129" spans="8:46">
      <c r="H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c r="AI129" s="31"/>
      <c r="AJ129" s="31"/>
      <c r="AK129" s="31"/>
      <c r="AL129" s="31"/>
      <c r="AM129" s="31"/>
      <c r="AN129" s="31"/>
      <c r="AO129" s="31"/>
      <c r="AP129" s="31"/>
      <c r="AQ129" s="31"/>
      <c r="AR129" s="31"/>
      <c r="AS129" s="31"/>
      <c r="AT129" s="31"/>
    </row>
    <row r="130" spans="8:46">
      <c r="H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c r="AI130" s="31"/>
      <c r="AJ130" s="31"/>
      <c r="AK130" s="31"/>
      <c r="AL130" s="31"/>
      <c r="AM130" s="31"/>
      <c r="AN130" s="31"/>
      <c r="AO130" s="31"/>
      <c r="AP130" s="31"/>
      <c r="AQ130" s="31"/>
      <c r="AR130" s="31"/>
      <c r="AS130" s="31"/>
      <c r="AT130" s="31"/>
    </row>
    <row r="131" spans="8:46">
      <c r="H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c r="AI131" s="31"/>
      <c r="AJ131" s="31"/>
      <c r="AK131" s="31"/>
      <c r="AL131" s="31"/>
      <c r="AM131" s="31"/>
      <c r="AN131" s="31"/>
      <c r="AO131" s="31"/>
      <c r="AP131" s="31"/>
      <c r="AQ131" s="31"/>
      <c r="AR131" s="31"/>
      <c r="AS131" s="31"/>
      <c r="AT131" s="31"/>
    </row>
    <row r="132" spans="8:46">
      <c r="H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c r="AI132" s="31"/>
      <c r="AJ132" s="31"/>
      <c r="AK132" s="31"/>
      <c r="AL132" s="31"/>
      <c r="AM132" s="31"/>
      <c r="AN132" s="31"/>
      <c r="AO132" s="31"/>
      <c r="AP132" s="31"/>
      <c r="AQ132" s="31"/>
      <c r="AR132" s="31"/>
      <c r="AS132" s="31"/>
      <c r="AT132" s="31"/>
    </row>
    <row r="133" spans="8:46">
      <c r="H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c r="AI133" s="31"/>
      <c r="AJ133" s="31"/>
      <c r="AK133" s="31"/>
      <c r="AL133" s="31"/>
      <c r="AM133" s="31"/>
      <c r="AN133" s="31"/>
      <c r="AO133" s="31"/>
      <c r="AP133" s="31"/>
      <c r="AQ133" s="31"/>
      <c r="AR133" s="31"/>
      <c r="AS133" s="31"/>
      <c r="AT133" s="31"/>
    </row>
    <row r="134" spans="8:46">
      <c r="H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c r="AI134" s="31"/>
      <c r="AJ134" s="31"/>
      <c r="AK134" s="31"/>
      <c r="AL134" s="31"/>
      <c r="AM134" s="31"/>
      <c r="AN134" s="31"/>
      <c r="AO134" s="31"/>
      <c r="AP134" s="31"/>
      <c r="AQ134" s="31"/>
      <c r="AR134" s="31"/>
      <c r="AS134" s="31"/>
      <c r="AT134" s="31"/>
    </row>
    <row r="135" spans="8:46">
      <c r="H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c r="AI135" s="31"/>
      <c r="AJ135" s="31"/>
      <c r="AK135" s="31"/>
      <c r="AL135" s="31"/>
      <c r="AM135" s="31"/>
      <c r="AN135" s="31"/>
      <c r="AO135" s="31"/>
      <c r="AP135" s="31"/>
      <c r="AQ135" s="31"/>
      <c r="AR135" s="31"/>
      <c r="AS135" s="31"/>
      <c r="AT135" s="31"/>
    </row>
    <row r="136" spans="8:46">
      <c r="H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c r="AI136" s="31"/>
      <c r="AJ136" s="31"/>
      <c r="AK136" s="31"/>
      <c r="AL136" s="31"/>
      <c r="AM136" s="31"/>
      <c r="AN136" s="31"/>
      <c r="AO136" s="31"/>
      <c r="AP136" s="31"/>
      <c r="AQ136" s="31"/>
      <c r="AR136" s="31"/>
      <c r="AS136" s="31"/>
      <c r="AT136" s="31"/>
    </row>
    <row r="137" spans="8:46">
      <c r="H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c r="AI137" s="31"/>
      <c r="AJ137" s="31"/>
      <c r="AK137" s="31"/>
      <c r="AL137" s="31"/>
      <c r="AM137" s="31"/>
      <c r="AN137" s="31"/>
      <c r="AO137" s="31"/>
      <c r="AP137" s="31"/>
      <c r="AQ137" s="31"/>
      <c r="AR137" s="31"/>
      <c r="AS137" s="31"/>
      <c r="AT137" s="31"/>
    </row>
    <row r="138" spans="8:46">
      <c r="H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c r="AI138" s="31"/>
      <c r="AJ138" s="31"/>
      <c r="AK138" s="31"/>
      <c r="AL138" s="31"/>
      <c r="AM138" s="31"/>
      <c r="AN138" s="31"/>
      <c r="AO138" s="31"/>
      <c r="AP138" s="31"/>
      <c r="AQ138" s="31"/>
      <c r="AR138" s="31"/>
      <c r="AS138" s="31"/>
      <c r="AT138" s="31"/>
    </row>
    <row r="139" spans="8:46">
      <c r="H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c r="AI139" s="31"/>
      <c r="AJ139" s="31"/>
      <c r="AK139" s="31"/>
      <c r="AL139" s="31"/>
      <c r="AM139" s="31"/>
      <c r="AN139" s="31"/>
      <c r="AO139" s="31"/>
      <c r="AP139" s="31"/>
      <c r="AQ139" s="31"/>
      <c r="AR139" s="31"/>
      <c r="AS139" s="31"/>
      <c r="AT139" s="31"/>
    </row>
    <row r="140" spans="8:46">
      <c r="H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c r="AI140" s="31"/>
      <c r="AJ140" s="31"/>
      <c r="AK140" s="31"/>
      <c r="AL140" s="31"/>
      <c r="AM140" s="31"/>
      <c r="AN140" s="31"/>
      <c r="AO140" s="31"/>
      <c r="AP140" s="31"/>
      <c r="AQ140" s="31"/>
      <c r="AR140" s="31"/>
      <c r="AS140" s="31"/>
      <c r="AT140" s="31"/>
    </row>
    <row r="141" spans="8:46">
      <c r="H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31"/>
      <c r="AS141" s="31"/>
      <c r="AT141" s="31"/>
    </row>
    <row r="142" spans="8:46">
      <c r="H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c r="AI142" s="31"/>
      <c r="AJ142" s="31"/>
      <c r="AK142" s="31"/>
      <c r="AL142" s="31"/>
      <c r="AM142" s="31"/>
      <c r="AN142" s="31"/>
      <c r="AO142" s="31"/>
      <c r="AP142" s="31"/>
      <c r="AQ142" s="31"/>
      <c r="AR142" s="31"/>
      <c r="AS142" s="31"/>
      <c r="AT142" s="31"/>
    </row>
    <row r="143" spans="8:46">
      <c r="H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c r="AI143" s="31"/>
      <c r="AJ143" s="31"/>
      <c r="AK143" s="31"/>
      <c r="AL143" s="31"/>
      <c r="AM143" s="31"/>
      <c r="AN143" s="31"/>
      <c r="AO143" s="31"/>
      <c r="AP143" s="31"/>
      <c r="AQ143" s="31"/>
      <c r="AR143" s="31"/>
      <c r="AS143" s="31"/>
      <c r="AT143" s="31"/>
    </row>
    <row r="144" spans="8:46">
      <c r="H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c r="AI144" s="31"/>
      <c r="AJ144" s="31"/>
      <c r="AK144" s="31"/>
      <c r="AL144" s="31"/>
      <c r="AM144" s="31"/>
      <c r="AN144" s="31"/>
      <c r="AO144" s="31"/>
      <c r="AP144" s="31"/>
      <c r="AQ144" s="31"/>
      <c r="AR144" s="31"/>
      <c r="AS144" s="31"/>
      <c r="AT144" s="31"/>
    </row>
    <row r="145" spans="8:46">
      <c r="H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c r="AI145" s="31"/>
      <c r="AJ145" s="31"/>
      <c r="AK145" s="31"/>
      <c r="AL145" s="31"/>
      <c r="AM145" s="31"/>
      <c r="AN145" s="31"/>
      <c r="AO145" s="31"/>
      <c r="AP145" s="31"/>
      <c r="AQ145" s="31"/>
      <c r="AR145" s="31"/>
      <c r="AS145" s="31"/>
      <c r="AT145" s="31"/>
    </row>
    <row r="146" spans="8:46">
      <c r="H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c r="AI146" s="31"/>
      <c r="AJ146" s="31"/>
      <c r="AK146" s="31"/>
      <c r="AL146" s="31"/>
      <c r="AM146" s="31"/>
      <c r="AN146" s="31"/>
      <c r="AO146" s="31"/>
      <c r="AP146" s="31"/>
      <c r="AQ146" s="31"/>
      <c r="AR146" s="31"/>
      <c r="AS146" s="31"/>
      <c r="AT146" s="31"/>
    </row>
    <row r="147" spans="8:46">
      <c r="H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c r="AI147" s="31"/>
      <c r="AJ147" s="31"/>
      <c r="AK147" s="31"/>
      <c r="AL147" s="31"/>
      <c r="AM147" s="31"/>
      <c r="AN147" s="31"/>
      <c r="AO147" s="31"/>
      <c r="AP147" s="31"/>
      <c r="AQ147" s="31"/>
      <c r="AR147" s="31"/>
      <c r="AS147" s="31"/>
      <c r="AT147" s="31"/>
    </row>
    <row r="148" spans="8:46">
      <c r="M148" s="31"/>
    </row>
  </sheetData>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M53"/>
  <sheetViews>
    <sheetView showGridLines="0" workbookViewId="0">
      <selection activeCell="D48" sqref="D48"/>
    </sheetView>
  </sheetViews>
  <sheetFormatPr defaultRowHeight="11.25"/>
  <cols>
    <col min="1" max="1" width="1.83203125" style="31" customWidth="1"/>
    <col min="2" max="2" width="16.1640625" customWidth="1"/>
    <col min="3" max="3" width="11.33203125" style="31" customWidth="1"/>
    <col min="4" max="5" width="13" customWidth="1"/>
    <col min="6" max="6" width="12.6640625" bestFit="1" customWidth="1"/>
    <col min="11" max="11" width="10.6640625" bestFit="1" customWidth="1"/>
  </cols>
  <sheetData>
    <row r="1" spans="2:299" s="31" customFormat="1"/>
    <row r="2" spans="2:299" s="31" customFormat="1">
      <c r="B2" s="115"/>
      <c r="C2" s="120"/>
      <c r="D2" s="78"/>
      <c r="E2" s="79"/>
      <c r="F2" s="57">
        <f>+'Well OPEX-Schedule'!K4</f>
        <v>44927</v>
      </c>
      <c r="G2" s="58">
        <f>+'Well OPEX-Schedule'!L4</f>
        <v>45292</v>
      </c>
      <c r="H2" s="59">
        <f>+'Well OPEX-Schedule'!M4</f>
        <v>45658</v>
      </c>
      <c r="I2" s="58">
        <f>+'Well OPEX-Schedule'!N4</f>
        <v>46023</v>
      </c>
      <c r="J2" s="58">
        <f>+'Well OPEX-Schedule'!O4</f>
        <v>46388</v>
      </c>
      <c r="K2" s="59">
        <f>+'Well OPEX-Schedule'!P4</f>
        <v>46753</v>
      </c>
      <c r="L2" s="59">
        <f>+'Well OPEX-Schedule'!Q4</f>
        <v>47119</v>
      </c>
      <c r="M2" s="58">
        <f>+'Well OPEX-Schedule'!R4</f>
        <v>47484</v>
      </c>
      <c r="N2" s="59">
        <f>+'Well OPEX-Schedule'!S4</f>
        <v>47849</v>
      </c>
      <c r="O2" s="59">
        <f>+'Well OPEX-Schedule'!T4</f>
        <v>48214</v>
      </c>
      <c r="P2" s="58">
        <f>+'Well OPEX-Schedule'!U4</f>
        <v>48580</v>
      </c>
      <c r="Q2" s="59">
        <f>+'Well OPEX-Schedule'!V4</f>
        <v>48945</v>
      </c>
      <c r="R2" s="58">
        <f>+'Well OPEX-Schedule'!W4</f>
        <v>49310</v>
      </c>
      <c r="S2" s="59">
        <f>+'Well OPEX-Schedule'!X4</f>
        <v>49675</v>
      </c>
      <c r="T2" s="58">
        <f>+'Well OPEX-Schedule'!Y4</f>
        <v>50041</v>
      </c>
      <c r="U2" s="59">
        <f>+'Well OPEX-Schedule'!Z4</f>
        <v>50406</v>
      </c>
      <c r="V2" s="58">
        <f>+'Well OPEX-Schedule'!AA4</f>
        <v>50771</v>
      </c>
      <c r="W2" s="59">
        <f>+'Well OPEX-Schedule'!AB4</f>
        <v>51136</v>
      </c>
      <c r="X2" s="58">
        <f>+'Well OPEX-Schedule'!AC4</f>
        <v>51502</v>
      </c>
      <c r="Y2" s="59">
        <f>+'Well OPEX-Schedule'!AD4</f>
        <v>51867</v>
      </c>
      <c r="Z2" s="58">
        <f>+'Well OPEX-Schedule'!AE4</f>
        <v>52232</v>
      </c>
      <c r="AA2" s="59">
        <f>+'Well OPEX-Schedule'!AF4</f>
        <v>52597</v>
      </c>
      <c r="AB2" s="58">
        <f>+'Well OPEX-Schedule'!AG4</f>
        <v>52963</v>
      </c>
      <c r="AC2" s="59">
        <f>+'Well OPEX-Schedule'!AH4</f>
        <v>53328</v>
      </c>
      <c r="AD2" s="58">
        <f>+'Well OPEX-Schedule'!AI4</f>
        <v>53693</v>
      </c>
      <c r="AE2" s="59">
        <f>+'Well OPEX-Schedule'!AJ4</f>
        <v>54058</v>
      </c>
      <c r="AF2" s="58">
        <f>+'Well OPEX-Schedule'!AK4</f>
        <v>54424</v>
      </c>
      <c r="AG2" s="59">
        <f>+'Well OPEX-Schedule'!AL4</f>
        <v>54789</v>
      </c>
      <c r="AH2" s="58">
        <f>+'Well OPEX-Schedule'!AM4</f>
        <v>55154</v>
      </c>
      <c r="AI2" s="59">
        <f>+'Well OPEX-Schedule'!AN4</f>
        <v>55519</v>
      </c>
      <c r="AJ2" s="58">
        <f>+'Well OPEX-Schedule'!AO4</f>
        <v>55885</v>
      </c>
      <c r="AK2" s="59">
        <f>+'Well OPEX-Schedule'!AP4</f>
        <v>56250</v>
      </c>
      <c r="AL2" s="58">
        <f>+'Well OPEX-Schedule'!AQ4</f>
        <v>56615</v>
      </c>
      <c r="AM2" s="59"/>
      <c r="AN2" s="58"/>
      <c r="AO2" s="59"/>
      <c r="AP2" s="58"/>
      <c r="AQ2" s="59"/>
      <c r="AR2" s="58"/>
      <c r="AS2" s="59"/>
      <c r="AT2" s="58"/>
      <c r="AU2" s="59"/>
      <c r="AV2" s="58"/>
      <c r="AW2" s="59"/>
      <c r="AX2" s="58"/>
      <c r="AY2" s="59"/>
      <c r="AZ2" s="58"/>
      <c r="BA2" s="59"/>
      <c r="BB2" s="58"/>
      <c r="BC2" s="59"/>
      <c r="BD2" s="58"/>
      <c r="BE2" s="107"/>
    </row>
    <row r="3" spans="2:299" s="31" customFormat="1" ht="15.75">
      <c r="B3" s="135" t="s">
        <v>139</v>
      </c>
      <c r="C3" s="136"/>
      <c r="D3" s="62" t="s">
        <v>138</v>
      </c>
      <c r="E3" s="80"/>
      <c r="F3" s="247">
        <f xml:space="preserve"> DATE(YEAR(F$2)+1,1,1) - DATE(YEAR(F$2),1,1)</f>
        <v>365</v>
      </c>
      <c r="G3" s="108">
        <f t="shared" ref="G3:AL3" si="0" xml:space="preserve"> DATE(YEAR(G$2)+1,1,1) - DATE(YEAR(G$2),1,1)</f>
        <v>366</v>
      </c>
      <c r="H3" s="108">
        <f t="shared" si="0"/>
        <v>365</v>
      </c>
      <c r="I3" s="108">
        <f t="shared" si="0"/>
        <v>365</v>
      </c>
      <c r="J3" s="108">
        <f t="shared" si="0"/>
        <v>365</v>
      </c>
      <c r="K3" s="108">
        <f t="shared" si="0"/>
        <v>366</v>
      </c>
      <c r="L3" s="108">
        <f t="shared" si="0"/>
        <v>365</v>
      </c>
      <c r="M3" s="108">
        <f t="shared" si="0"/>
        <v>365</v>
      </c>
      <c r="N3" s="108">
        <f t="shared" si="0"/>
        <v>365</v>
      </c>
      <c r="O3" s="108">
        <f t="shared" si="0"/>
        <v>366</v>
      </c>
      <c r="P3" s="108">
        <f t="shared" si="0"/>
        <v>365</v>
      </c>
      <c r="Q3" s="108">
        <f t="shared" si="0"/>
        <v>365</v>
      </c>
      <c r="R3" s="108">
        <f t="shared" si="0"/>
        <v>365</v>
      </c>
      <c r="S3" s="108">
        <f t="shared" si="0"/>
        <v>366</v>
      </c>
      <c r="T3" s="108">
        <f t="shared" si="0"/>
        <v>365</v>
      </c>
      <c r="U3" s="108">
        <f t="shared" si="0"/>
        <v>365</v>
      </c>
      <c r="V3" s="108">
        <f t="shared" si="0"/>
        <v>365</v>
      </c>
      <c r="W3" s="108">
        <f t="shared" si="0"/>
        <v>366</v>
      </c>
      <c r="X3" s="108">
        <f t="shared" si="0"/>
        <v>365</v>
      </c>
      <c r="Y3" s="108">
        <f t="shared" si="0"/>
        <v>365</v>
      </c>
      <c r="Z3" s="108">
        <f t="shared" si="0"/>
        <v>365</v>
      </c>
      <c r="AA3" s="108">
        <f t="shared" si="0"/>
        <v>366</v>
      </c>
      <c r="AB3" s="108">
        <f t="shared" si="0"/>
        <v>365</v>
      </c>
      <c r="AC3" s="108">
        <f t="shared" si="0"/>
        <v>365</v>
      </c>
      <c r="AD3" s="108">
        <f t="shared" si="0"/>
        <v>365</v>
      </c>
      <c r="AE3" s="108">
        <f t="shared" si="0"/>
        <v>366</v>
      </c>
      <c r="AF3" s="108">
        <f t="shared" si="0"/>
        <v>365</v>
      </c>
      <c r="AG3" s="108">
        <f t="shared" si="0"/>
        <v>365</v>
      </c>
      <c r="AH3" s="108">
        <f t="shared" si="0"/>
        <v>365</v>
      </c>
      <c r="AI3" s="108">
        <f t="shared" si="0"/>
        <v>366</v>
      </c>
      <c r="AJ3" s="108">
        <f t="shared" si="0"/>
        <v>365</v>
      </c>
      <c r="AK3" s="108">
        <f t="shared" si="0"/>
        <v>365</v>
      </c>
      <c r="AL3" s="108">
        <f t="shared" si="0"/>
        <v>365</v>
      </c>
      <c r="AM3" s="108"/>
      <c r="AN3" s="108"/>
      <c r="AO3" s="108"/>
      <c r="AP3" s="108"/>
      <c r="AQ3" s="108"/>
      <c r="AR3" s="108"/>
      <c r="AS3" s="108"/>
      <c r="AT3" s="108"/>
      <c r="AU3" s="108"/>
      <c r="AV3" s="108"/>
      <c r="AW3" s="108"/>
      <c r="AX3" s="108"/>
      <c r="AY3" s="108"/>
      <c r="AZ3" s="108"/>
      <c r="BA3" s="108"/>
      <c r="BB3" s="108"/>
      <c r="BC3" s="108"/>
      <c r="BD3" s="108"/>
      <c r="BE3" s="109"/>
    </row>
    <row r="4" spans="2:299" s="31" customFormat="1">
      <c r="B4" s="121">
        <f>SUMPRODUCT(F4:BO4,$F$3:$BO$3)/1000000</f>
        <v>19.107727564507627</v>
      </c>
      <c r="C4" s="126" t="s">
        <v>64</v>
      </c>
      <c r="D4" s="110" t="s">
        <v>58</v>
      </c>
      <c r="E4" s="130" t="s">
        <v>61</v>
      </c>
      <c r="F4" s="111">
        <f t="shared" ref="F4:O4" si="1">F6*1000/5.8+F7+F8+F9</f>
        <v>0</v>
      </c>
      <c r="G4" s="112">
        <f t="shared" si="1"/>
        <v>0</v>
      </c>
      <c r="H4" s="112">
        <f>H6*1000/5.8+H7+H8+H9</f>
        <v>4598.1546880628066</v>
      </c>
      <c r="I4" s="112">
        <f t="shared" si="1"/>
        <v>3655.2974387725976</v>
      </c>
      <c r="J4" s="112">
        <f t="shared" si="1"/>
        <v>3870.727974866355</v>
      </c>
      <c r="K4" s="112">
        <f t="shared" si="1"/>
        <v>4159.0960687265506</v>
      </c>
      <c r="L4" s="112">
        <f t="shared" si="1"/>
        <v>4453.9984015795035</v>
      </c>
      <c r="M4" s="112">
        <f t="shared" si="1"/>
        <v>3209.1236002817154</v>
      </c>
      <c r="N4" s="112">
        <f t="shared" si="1"/>
        <v>2778.8337354114374</v>
      </c>
      <c r="O4" s="112">
        <f t="shared" si="1"/>
        <v>2501.6198778322032</v>
      </c>
      <c r="P4" s="112">
        <f>P6*1000/5.8+P7+P8+P9</f>
        <v>2298.8341056284744</v>
      </c>
      <c r="Q4" s="112">
        <f t="shared" ref="Q4:BE4" si="2">Q6*1000/5.8+Q7+Q8+Q9</f>
        <v>2140.8880755270652</v>
      </c>
      <c r="R4" s="112">
        <f t="shared" si="2"/>
        <v>2012.7383577442517</v>
      </c>
      <c r="S4" s="112">
        <f t="shared" si="2"/>
        <v>1905.8281113663716</v>
      </c>
      <c r="T4" s="112">
        <f t="shared" si="2"/>
        <v>1814.6397536405429</v>
      </c>
      <c r="U4" s="112">
        <f t="shared" si="2"/>
        <v>1735.6790898877387</v>
      </c>
      <c r="V4" s="112">
        <f t="shared" si="2"/>
        <v>1666.3648373782726</v>
      </c>
      <c r="W4" s="112">
        <f t="shared" si="2"/>
        <v>1604.8751350924106</v>
      </c>
      <c r="X4" s="112">
        <f t="shared" si="2"/>
        <v>1549.7608815076803</v>
      </c>
      <c r="Y4" s="112">
        <f t="shared" si="2"/>
        <v>1500.0389854771588</v>
      </c>
      <c r="Z4" s="112">
        <f t="shared" si="2"/>
        <v>1454.8572554907951</v>
      </c>
      <c r="AA4" s="112">
        <f t="shared" si="2"/>
        <v>1413.5741841455747</v>
      </c>
      <c r="AB4" s="112">
        <f t="shared" si="2"/>
        <v>808.347074166943</v>
      </c>
      <c r="AC4" s="112">
        <f t="shared" si="2"/>
        <v>597.58188797656237</v>
      </c>
      <c r="AD4" s="112">
        <f t="shared" si="2"/>
        <v>392.92731459903206</v>
      </c>
      <c r="AE4" s="112">
        <f t="shared" si="2"/>
        <v>193.88080955277718</v>
      </c>
      <c r="AF4" s="112">
        <f t="shared" si="2"/>
        <v>0</v>
      </c>
      <c r="AG4" s="112">
        <f t="shared" si="2"/>
        <v>0</v>
      </c>
      <c r="AH4" s="112">
        <f t="shared" si="2"/>
        <v>0</v>
      </c>
      <c r="AI4" s="112">
        <f t="shared" si="2"/>
        <v>0</v>
      </c>
      <c r="AJ4" s="112">
        <f t="shared" si="2"/>
        <v>0</v>
      </c>
      <c r="AK4" s="112">
        <f t="shared" si="2"/>
        <v>0</v>
      </c>
      <c r="AL4" s="112">
        <f t="shared" si="2"/>
        <v>0</v>
      </c>
      <c r="AM4" s="112">
        <f t="shared" si="2"/>
        <v>0</v>
      </c>
      <c r="AN4" s="112">
        <f t="shared" si="2"/>
        <v>0</v>
      </c>
      <c r="AO4" s="112">
        <f t="shared" si="2"/>
        <v>0</v>
      </c>
      <c r="AP4" s="112">
        <f t="shared" si="2"/>
        <v>0</v>
      </c>
      <c r="AQ4" s="112">
        <f t="shared" si="2"/>
        <v>0</v>
      </c>
      <c r="AR4" s="112">
        <f t="shared" si="2"/>
        <v>0</v>
      </c>
      <c r="AS4" s="112">
        <f t="shared" si="2"/>
        <v>0</v>
      </c>
      <c r="AT4" s="112">
        <f t="shared" si="2"/>
        <v>0</v>
      </c>
      <c r="AU4" s="112">
        <f t="shared" si="2"/>
        <v>0</v>
      </c>
      <c r="AV4" s="112">
        <f t="shared" si="2"/>
        <v>0</v>
      </c>
      <c r="AW4" s="112">
        <f t="shared" si="2"/>
        <v>0</v>
      </c>
      <c r="AX4" s="112">
        <f t="shared" si="2"/>
        <v>0</v>
      </c>
      <c r="AY4" s="112">
        <f t="shared" si="2"/>
        <v>0</v>
      </c>
      <c r="AZ4" s="112">
        <f t="shared" si="2"/>
        <v>0</v>
      </c>
      <c r="BA4" s="112">
        <f t="shared" si="2"/>
        <v>0</v>
      </c>
      <c r="BB4" s="112">
        <f t="shared" si="2"/>
        <v>0</v>
      </c>
      <c r="BC4" s="112">
        <f t="shared" si="2"/>
        <v>0</v>
      </c>
      <c r="BD4" s="112">
        <f t="shared" si="2"/>
        <v>0</v>
      </c>
      <c r="BE4" s="113">
        <f t="shared" si="2"/>
        <v>0</v>
      </c>
    </row>
    <row r="5" spans="2:299" s="31" customFormat="1">
      <c r="B5" s="122">
        <f>SUMPRODUCT(F5:BO5,$F$3:$BO$3)/1000</f>
        <v>96.035372507923938</v>
      </c>
      <c r="C5" s="127" t="s">
        <v>46</v>
      </c>
      <c r="D5" s="131" t="s">
        <v>14</v>
      </c>
      <c r="E5" s="81" t="s">
        <v>84</v>
      </c>
      <c r="F5" s="84">
        <f>+'Well OPEX-Schedule'!K7</f>
        <v>0</v>
      </c>
      <c r="G5" s="83">
        <f>+'Well OPEX-Schedule'!L7</f>
        <v>0</v>
      </c>
      <c r="H5" s="83">
        <f>+'Well OPEX-Schedule'!M7</f>
        <v>23.110309524059165</v>
      </c>
      <c r="I5" s="83">
        <f>+'Well OPEX-Schedule'!N7</f>
        <v>18.371512257262623</v>
      </c>
      <c r="J5" s="83">
        <f>+'Well OPEX-Schedule'!O7</f>
        <v>19.45426538494355</v>
      </c>
      <c r="K5" s="83">
        <f>+'Well OPEX-Schedule'!P7</f>
        <v>20.903602425142108</v>
      </c>
      <c r="L5" s="83">
        <f>+'Well OPEX-Schedule'!Q7</f>
        <v>22.385780527869255</v>
      </c>
      <c r="M5" s="83">
        <f>+'Well OPEX-Schedule'!R7</f>
        <v>16.129044091537217</v>
      </c>
      <c r="N5" s="83">
        <f>+'Well OPEX-Schedule'!S7</f>
        <v>13.966408722171868</v>
      </c>
      <c r="O5" s="83">
        <f>+'Well OPEX-Schedule'!T7</f>
        <v>12.573132834858562</v>
      </c>
      <c r="P5" s="83">
        <f>+'Well OPEX-Schedule'!U7</f>
        <v>11.553932246659576</v>
      </c>
      <c r="Q5" s="83">
        <f>+'Well OPEX-Schedule'!V7</f>
        <v>10.760096046843135</v>
      </c>
      <c r="R5" s="83">
        <f>+'Well OPEX-Schedule'!W7</f>
        <v>10.116016009459845</v>
      </c>
      <c r="S5" s="83">
        <f>+'Well OPEX-Schedule'!X7</f>
        <v>9.5786854817373968</v>
      </c>
      <c r="T5" s="83">
        <f>+'Well OPEX-Schedule'!Y7</f>
        <v>9.120373111884879</v>
      </c>
      <c r="U5" s="83">
        <f>+'Well OPEX-Schedule'!Z7</f>
        <v>8.7235170895570935</v>
      </c>
      <c r="V5" s="83">
        <f>+'Well OPEX-Schedule'!AA7</f>
        <v>8.3751438967018892</v>
      </c>
      <c r="W5" s="83">
        <f>+'Well OPEX-Schedule'!AB7</f>
        <v>8.0660968661490315</v>
      </c>
      <c r="X5" s="83">
        <f>+'Well OPEX-Schedule'!AC7</f>
        <v>7.7890928186694506</v>
      </c>
      <c r="Y5" s="83">
        <f>+'Well OPEX-Schedule'!AD7</f>
        <v>7.5391907415663111</v>
      </c>
      <c r="Z5" s="83">
        <f>+'Well OPEX-Schedule'!AE7</f>
        <v>7.3121075232639612</v>
      </c>
      <c r="AA5" s="83">
        <f>+'Well OPEX-Schedule'!AF7</f>
        <v>7.1046189497784518</v>
      </c>
      <c r="AB5" s="83">
        <f>+'Well OPEX-Schedule'!AG7</f>
        <v>4.0627495928667843</v>
      </c>
      <c r="AC5" s="83">
        <f>+'Well OPEX-Schedule'!AH7</f>
        <v>3.0034444976291694</v>
      </c>
      <c r="AD5" s="83">
        <f>+'Well OPEX-Schedule'!AI7</f>
        <v>1.9748513212083068</v>
      </c>
      <c r="AE5" s="83">
        <f>+'Well OPEX-Schedule'!AJ7</f>
        <v>0.9744442767817223</v>
      </c>
      <c r="AF5" s="83">
        <f>+'Well OPEX-Schedule'!AK7</f>
        <v>0</v>
      </c>
      <c r="AG5" s="83">
        <f>+'Well OPEX-Schedule'!AL7</f>
        <v>0</v>
      </c>
      <c r="AH5" s="83">
        <f>+'Well OPEX-Schedule'!AM7</f>
        <v>0</v>
      </c>
      <c r="AI5" s="83">
        <f>+'Well OPEX-Schedule'!AN7</f>
        <v>0</v>
      </c>
      <c r="AJ5" s="83">
        <f>+'Well OPEX-Schedule'!AO7</f>
        <v>0</v>
      </c>
      <c r="AK5" s="83">
        <f>+'Well OPEX-Schedule'!AP7</f>
        <v>0</v>
      </c>
      <c r="AL5" s="83">
        <f>+'Well OPEX-Schedule'!AQ7</f>
        <v>0</v>
      </c>
      <c r="AM5" s="83">
        <f>+'Well OPEX-Schedule'!AR7</f>
        <v>0</v>
      </c>
      <c r="AN5" s="83">
        <f>+'Well OPEX-Schedule'!AS7</f>
        <v>0</v>
      </c>
      <c r="AO5" s="83">
        <f>+'Well OPEX-Schedule'!AT7</f>
        <v>0</v>
      </c>
      <c r="AP5" s="83">
        <f>+'Well OPEX-Schedule'!AU7</f>
        <v>0</v>
      </c>
      <c r="AQ5" s="83">
        <f>+'Well OPEX-Schedule'!AV7</f>
        <v>0</v>
      </c>
      <c r="AR5" s="83">
        <f>+'Well OPEX-Schedule'!AW7</f>
        <v>0</v>
      </c>
      <c r="AS5" s="83">
        <f>+'Well OPEX-Schedule'!AX7</f>
        <v>0</v>
      </c>
      <c r="AT5" s="83">
        <f>+'Well OPEX-Schedule'!AY7</f>
        <v>0</v>
      </c>
      <c r="AU5" s="83">
        <f>+'Well OPEX-Schedule'!AZ7</f>
        <v>0</v>
      </c>
      <c r="AV5" s="83">
        <f>+'Well OPEX-Schedule'!BA7</f>
        <v>0</v>
      </c>
      <c r="AW5" s="83">
        <f>+'Well OPEX-Schedule'!BB7</f>
        <v>0</v>
      </c>
      <c r="AX5" s="83">
        <f>+'Well OPEX-Schedule'!BC7</f>
        <v>0</v>
      </c>
      <c r="AY5" s="83">
        <f>+'Well OPEX-Schedule'!BD7</f>
        <v>0</v>
      </c>
      <c r="AZ5" s="83">
        <f>+'Well OPEX-Schedule'!BE7</f>
        <v>0</v>
      </c>
      <c r="BA5" s="83">
        <f>+'Well OPEX-Schedule'!BF7</f>
        <v>0</v>
      </c>
      <c r="BB5" s="83">
        <f>+'Well OPEX-Schedule'!BG7</f>
        <v>0</v>
      </c>
      <c r="BC5" s="83">
        <f>+'Well OPEX-Schedule'!BH7</f>
        <v>0</v>
      </c>
      <c r="BD5" s="83">
        <f>+'Well OPEX-Schedule'!BI7</f>
        <v>0</v>
      </c>
      <c r="BE5" s="77">
        <f>+'Well OPEX-Schedule'!BJ7</f>
        <v>0</v>
      </c>
    </row>
    <row r="6" spans="2:299" s="31" customFormat="1">
      <c r="B6" s="123">
        <f t="shared" ref="B6:B9" si="3">SUMPRODUCT(F6:BO6,$F$3:$BO$3)/1000</f>
        <v>94.114665057765478</v>
      </c>
      <c r="C6" s="128" t="s">
        <v>46</v>
      </c>
      <c r="D6" s="114" t="s">
        <v>12</v>
      </c>
      <c r="E6" s="88" t="s">
        <v>84</v>
      </c>
      <c r="F6" s="89">
        <f>+'Well OPEX-Schedule'!K8</f>
        <v>0</v>
      </c>
      <c r="G6" s="90">
        <f>+'Well OPEX-Schedule'!L8</f>
        <v>0</v>
      </c>
      <c r="H6" s="90">
        <f>+'Well OPEX-Schedule'!M8</f>
        <v>22.648103333577982</v>
      </c>
      <c r="I6" s="90">
        <f>+'Well OPEX-Schedule'!N8</f>
        <v>18.004082012117369</v>
      </c>
      <c r="J6" s="90">
        <f>+'Well OPEX-Schedule'!O8</f>
        <v>19.06518007724468</v>
      </c>
      <c r="K6" s="90">
        <f>+'Well OPEX-Schedule'!P8</f>
        <v>20.485530376639264</v>
      </c>
      <c r="L6" s="90">
        <f>+'Well OPEX-Schedule'!Q8</f>
        <v>21.93806491731187</v>
      </c>
      <c r="M6" s="90">
        <f>+'Well OPEX-Schedule'!R8</f>
        <v>15.806463209706473</v>
      </c>
      <c r="N6" s="90">
        <f>+'Well OPEX-Schedule'!S8</f>
        <v>13.687080547728431</v>
      </c>
      <c r="O6" s="90">
        <f>+'Well OPEX-Schedule'!T8</f>
        <v>12.321670178161391</v>
      </c>
      <c r="P6" s="90">
        <f>+'Well OPEX-Schedule'!U8</f>
        <v>11.322853601726385</v>
      </c>
      <c r="Q6" s="90">
        <f>+'Well OPEX-Schedule'!V8</f>
        <v>10.544894125906271</v>
      </c>
      <c r="R6" s="90">
        <f>+'Well OPEX-Schedule'!W8</f>
        <v>9.9136956892706483</v>
      </c>
      <c r="S6" s="90">
        <f>+'Well OPEX-Schedule'!X8</f>
        <v>9.3871117721026494</v>
      </c>
      <c r="T6" s="90">
        <f>+'Well OPEX-Schedule'!Y8</f>
        <v>8.9379656496471807</v>
      </c>
      <c r="U6" s="90">
        <f>+'Well OPEX-Schedule'!Z8</f>
        <v>8.5490467477659511</v>
      </c>
      <c r="V6" s="90">
        <f>+'Well OPEX-Schedule'!AA8</f>
        <v>8.2076410187678519</v>
      </c>
      <c r="W6" s="90">
        <f>+'Well OPEX-Schedule'!AB8</f>
        <v>7.9047749288260505</v>
      </c>
      <c r="X6" s="90">
        <f>+'Well OPEX-Schedule'!AC8</f>
        <v>7.6333109622960613</v>
      </c>
      <c r="Y6" s="90">
        <f>+'Well OPEX-Schedule'!AD8</f>
        <v>7.3884069267349846</v>
      </c>
      <c r="Z6" s="90">
        <f>+'Well OPEX-Schedule'!AE8</f>
        <v>7.1658653727986819</v>
      </c>
      <c r="AA6" s="90">
        <f>+'Well OPEX-Schedule'!AF8</f>
        <v>6.9625265707828827</v>
      </c>
      <c r="AB6" s="90">
        <f>+'Well OPEX-Schedule'!AG8</f>
        <v>3.9814946010094485</v>
      </c>
      <c r="AC6" s="90">
        <f>+'Well OPEX-Schedule'!AH8</f>
        <v>2.943375607676586</v>
      </c>
      <c r="AD6" s="90">
        <f>+'Well OPEX-Schedule'!AI8</f>
        <v>1.9353542947841407</v>
      </c>
      <c r="AE6" s="90">
        <f>+'Well OPEX-Schedule'!AJ8</f>
        <v>0.95495539124608786</v>
      </c>
      <c r="AF6" s="90">
        <f>+'Well OPEX-Schedule'!AK8</f>
        <v>0</v>
      </c>
      <c r="AG6" s="90">
        <f>+'Well OPEX-Schedule'!AL8</f>
        <v>0</v>
      </c>
      <c r="AH6" s="90">
        <f>+'Well OPEX-Schedule'!AM8</f>
        <v>0</v>
      </c>
      <c r="AI6" s="90">
        <f>+'Well OPEX-Schedule'!AN8</f>
        <v>0</v>
      </c>
      <c r="AJ6" s="90">
        <f>+'Well OPEX-Schedule'!AO8</f>
        <v>0</v>
      </c>
      <c r="AK6" s="90">
        <f>+'Well OPEX-Schedule'!AP8</f>
        <v>0</v>
      </c>
      <c r="AL6" s="90">
        <f>+'Well OPEX-Schedule'!AQ8</f>
        <v>0</v>
      </c>
      <c r="AM6" s="90">
        <f>+'Well OPEX-Schedule'!AR8</f>
        <v>0</v>
      </c>
      <c r="AN6" s="90">
        <f>+'Well OPEX-Schedule'!AS8</f>
        <v>0</v>
      </c>
      <c r="AO6" s="90">
        <f>+'Well OPEX-Schedule'!AT8</f>
        <v>0</v>
      </c>
      <c r="AP6" s="90">
        <f>+'Well OPEX-Schedule'!AU8</f>
        <v>0</v>
      </c>
      <c r="AQ6" s="90">
        <f>+'Well OPEX-Schedule'!AV8</f>
        <v>0</v>
      </c>
      <c r="AR6" s="90">
        <f>+'Well OPEX-Schedule'!AW8</f>
        <v>0</v>
      </c>
      <c r="AS6" s="90">
        <f>+'Well OPEX-Schedule'!AX8</f>
        <v>0</v>
      </c>
      <c r="AT6" s="90">
        <f>+'Well OPEX-Schedule'!AY8</f>
        <v>0</v>
      </c>
      <c r="AU6" s="90">
        <f>+'Well OPEX-Schedule'!AZ8</f>
        <v>0</v>
      </c>
      <c r="AV6" s="90">
        <f>+'Well OPEX-Schedule'!BA8</f>
        <v>0</v>
      </c>
      <c r="AW6" s="90">
        <f>+'Well OPEX-Schedule'!BB8</f>
        <v>0</v>
      </c>
      <c r="AX6" s="90">
        <f>+'Well OPEX-Schedule'!BC8</f>
        <v>0</v>
      </c>
      <c r="AY6" s="90">
        <f>+'Well OPEX-Schedule'!BD8</f>
        <v>0</v>
      </c>
      <c r="AZ6" s="90">
        <f>+'Well OPEX-Schedule'!BE8</f>
        <v>0</v>
      </c>
      <c r="BA6" s="90">
        <f>+'Well OPEX-Schedule'!BF8</f>
        <v>0</v>
      </c>
      <c r="BB6" s="90">
        <f>+'Well OPEX-Schedule'!BG8</f>
        <v>0</v>
      </c>
      <c r="BC6" s="90">
        <f>+'Well OPEX-Schedule'!BH8</f>
        <v>0</v>
      </c>
      <c r="BD6" s="90">
        <f>+'Well OPEX-Schedule'!BI8</f>
        <v>0</v>
      </c>
      <c r="BE6" s="91">
        <f>+'Well OPEX-Schedule'!BJ8</f>
        <v>0</v>
      </c>
    </row>
    <row r="7" spans="2:299" s="31" customFormat="1">
      <c r="B7" s="124">
        <f t="shared" si="3"/>
        <v>2400.8843126980987</v>
      </c>
      <c r="C7" s="129" t="s">
        <v>65</v>
      </c>
      <c r="D7" s="132" t="s">
        <v>15</v>
      </c>
      <c r="E7" s="14" t="s">
        <v>63</v>
      </c>
      <c r="F7" s="84">
        <f>+'Well OPEX-Schedule'!K9</f>
        <v>0</v>
      </c>
      <c r="G7" s="83">
        <f>+'Well OPEX-Schedule'!L9</f>
        <v>0</v>
      </c>
      <c r="H7" s="83">
        <f>+'Well OPEX-Schedule'!M9</f>
        <v>577.75773810147916</v>
      </c>
      <c r="I7" s="83">
        <f>+'Well OPEX-Schedule'!N9</f>
        <v>459.28780643156557</v>
      </c>
      <c r="J7" s="83">
        <f>+'Well OPEX-Schedule'!O9</f>
        <v>486.35663462358877</v>
      </c>
      <c r="K7" s="83">
        <f>+'Well OPEX-Schedule'!P9</f>
        <v>522.59006062855269</v>
      </c>
      <c r="L7" s="83">
        <f>+'Well OPEX-Schedule'!Q9</f>
        <v>559.6445131967314</v>
      </c>
      <c r="M7" s="83">
        <f>+'Well OPEX-Schedule'!R9</f>
        <v>403.22610228843041</v>
      </c>
      <c r="N7" s="83">
        <f>+'Well OPEX-Schedule'!S9</f>
        <v>349.16021805429671</v>
      </c>
      <c r="O7" s="83">
        <f>+'Well OPEX-Schedule'!T9</f>
        <v>314.32832087146403</v>
      </c>
      <c r="P7" s="83">
        <f>+'Well OPEX-Schedule'!U9</f>
        <v>288.84830616648941</v>
      </c>
      <c r="Q7" s="83">
        <f>+'Well OPEX-Schedule'!V9</f>
        <v>269.00240117107836</v>
      </c>
      <c r="R7" s="83">
        <f>+'Well OPEX-Schedule'!W9</f>
        <v>252.90040023649613</v>
      </c>
      <c r="S7" s="83">
        <f>+'Well OPEX-Schedule'!X9</f>
        <v>239.46713704343492</v>
      </c>
      <c r="T7" s="83">
        <f>+'Well OPEX-Schedule'!Y9</f>
        <v>228.00932779712198</v>
      </c>
      <c r="U7" s="83">
        <f>+'Well OPEX-Schedule'!Z9</f>
        <v>218.08792723892734</v>
      </c>
      <c r="V7" s="83">
        <f>+'Well OPEX-Schedule'!AA9</f>
        <v>209.37859741754724</v>
      </c>
      <c r="W7" s="83">
        <f>+'Well OPEX-Schedule'!AB9</f>
        <v>201.65242165372578</v>
      </c>
      <c r="X7" s="83">
        <f>+'Well OPEX-Schedule'!AC9</f>
        <v>194.72732046673627</v>
      </c>
      <c r="Y7" s="83">
        <f>+'Well OPEX-Schedule'!AD9</f>
        <v>188.47976853915779</v>
      </c>
      <c r="Z7" s="83">
        <f>+'Well OPEX-Schedule'!AE9</f>
        <v>182.80268808159903</v>
      </c>
      <c r="AA7" s="83">
        <f>+'Well OPEX-Schedule'!AF9</f>
        <v>177.6154737444613</v>
      </c>
      <c r="AB7" s="83">
        <f>+'Well OPEX-Schedule'!AG9</f>
        <v>101.56873982166961</v>
      </c>
      <c r="AC7" s="83">
        <f>+'Well OPEX-Schedule'!AH9</f>
        <v>75.086112440729238</v>
      </c>
      <c r="AD7" s="83">
        <f>+'Well OPEX-Schedule'!AI9</f>
        <v>49.371283030207671</v>
      </c>
      <c r="AE7" s="83">
        <f>+'Well OPEX-Schedule'!AJ9</f>
        <v>24.361106919543058</v>
      </c>
      <c r="AF7" s="83">
        <f>+'Well OPEX-Schedule'!AK9</f>
        <v>0</v>
      </c>
      <c r="AG7" s="83">
        <f>+'Well OPEX-Schedule'!AL9</f>
        <v>0</v>
      </c>
      <c r="AH7" s="83">
        <f>+'Well OPEX-Schedule'!AM9</f>
        <v>0</v>
      </c>
      <c r="AI7" s="83">
        <f>+'Well OPEX-Schedule'!AN9</f>
        <v>0</v>
      </c>
      <c r="AJ7" s="83">
        <f>+'Well OPEX-Schedule'!AO9</f>
        <v>0</v>
      </c>
      <c r="AK7" s="83">
        <f>+'Well OPEX-Schedule'!AP9</f>
        <v>0</v>
      </c>
      <c r="AL7" s="83">
        <f>+'Well OPEX-Schedule'!AQ9</f>
        <v>0</v>
      </c>
      <c r="AM7" s="83">
        <f>+'Well OPEX-Schedule'!AR9</f>
        <v>0</v>
      </c>
      <c r="AN7" s="83">
        <f>+'Well OPEX-Schedule'!AS9</f>
        <v>0</v>
      </c>
      <c r="AO7" s="83">
        <f>+'Well OPEX-Schedule'!AT9</f>
        <v>0</v>
      </c>
      <c r="AP7" s="83">
        <f>+'Well OPEX-Schedule'!AU9</f>
        <v>0</v>
      </c>
      <c r="AQ7" s="83">
        <f>+'Well OPEX-Schedule'!AV9</f>
        <v>0</v>
      </c>
      <c r="AR7" s="83">
        <f>+'Well OPEX-Schedule'!AW9</f>
        <v>0</v>
      </c>
      <c r="AS7" s="83">
        <f>+'Well OPEX-Schedule'!AX9</f>
        <v>0</v>
      </c>
      <c r="AT7" s="83">
        <f>+'Well OPEX-Schedule'!AY9</f>
        <v>0</v>
      </c>
      <c r="AU7" s="83">
        <f>+'Well OPEX-Schedule'!AZ9</f>
        <v>0</v>
      </c>
      <c r="AV7" s="83">
        <f>+'Well OPEX-Schedule'!BA9</f>
        <v>0</v>
      </c>
      <c r="AW7" s="83">
        <f>+'Well OPEX-Schedule'!BB9</f>
        <v>0</v>
      </c>
      <c r="AX7" s="83">
        <f>+'Well OPEX-Schedule'!BC9</f>
        <v>0</v>
      </c>
      <c r="AY7" s="83">
        <f>+'Well OPEX-Schedule'!BD9</f>
        <v>0</v>
      </c>
      <c r="AZ7" s="83">
        <f>+'Well OPEX-Schedule'!BE9</f>
        <v>0</v>
      </c>
      <c r="BA7" s="83">
        <f>+'Well OPEX-Schedule'!BF9</f>
        <v>0</v>
      </c>
      <c r="BB7" s="83">
        <f>+'Well OPEX-Schedule'!BG9</f>
        <v>0</v>
      </c>
      <c r="BC7" s="83">
        <f>+'Well OPEX-Schedule'!BH9</f>
        <v>0</v>
      </c>
      <c r="BD7" s="83">
        <f>+'Well OPEX-Schedule'!BI9</f>
        <v>0</v>
      </c>
      <c r="BE7" s="77">
        <f>+'Well OPEX-Schedule'!BJ9</f>
        <v>0</v>
      </c>
    </row>
    <row r="8" spans="2:299" s="31" customFormat="1">
      <c r="B8" s="260">
        <f t="shared" si="3"/>
        <v>480.17686253961966</v>
      </c>
      <c r="C8" s="261" t="s">
        <v>65</v>
      </c>
      <c r="D8" s="133" t="s">
        <v>13</v>
      </c>
      <c r="E8" s="76" t="s">
        <v>63</v>
      </c>
      <c r="F8" s="84">
        <f>+'Well OPEX-Schedule'!K10</f>
        <v>0</v>
      </c>
      <c r="G8" s="83">
        <f>+'Well OPEX-Schedule'!L10</f>
        <v>0</v>
      </c>
      <c r="H8" s="83">
        <f>+'Well OPEX-Schedule'!M10</f>
        <v>115.55154762029582</v>
      </c>
      <c r="I8" s="83">
        <f>+'Well OPEX-Schedule'!N10</f>
        <v>91.857561286313114</v>
      </c>
      <c r="J8" s="83">
        <f>+'Well OPEX-Schedule'!O10</f>
        <v>97.271326924717755</v>
      </c>
      <c r="K8" s="83">
        <f>+'Well OPEX-Schedule'!P10</f>
        <v>104.51801212571054</v>
      </c>
      <c r="L8" s="83">
        <f>+'Well OPEX-Schedule'!Q10</f>
        <v>111.92890263934628</v>
      </c>
      <c r="M8" s="83">
        <f>+'Well OPEX-Schedule'!R10</f>
        <v>80.645220457686094</v>
      </c>
      <c r="N8" s="83">
        <f>+'Well OPEX-Schedule'!S10</f>
        <v>69.832043610859344</v>
      </c>
      <c r="O8" s="83">
        <f>+'Well OPEX-Schedule'!T10</f>
        <v>62.86566417429281</v>
      </c>
      <c r="P8" s="83">
        <f>+'Well OPEX-Schedule'!U10</f>
        <v>57.769661233297882</v>
      </c>
      <c r="Q8" s="83">
        <f>+'Well OPEX-Schedule'!V10</f>
        <v>53.800480234215669</v>
      </c>
      <c r="R8" s="83">
        <f>+'Well OPEX-Schedule'!W10</f>
        <v>50.580080047299219</v>
      </c>
      <c r="S8" s="83">
        <f>+'Well OPEX-Schedule'!X10</f>
        <v>47.893427408686982</v>
      </c>
      <c r="T8" s="83">
        <f>+'Well OPEX-Schedule'!Y10</f>
        <v>45.601865559424397</v>
      </c>
      <c r="U8" s="83">
        <f>+'Well OPEX-Schedule'!Z10</f>
        <v>43.617585447785466</v>
      </c>
      <c r="V8" s="83">
        <f>+'Well OPEX-Schedule'!AA10</f>
        <v>41.875719483509442</v>
      </c>
      <c r="W8" s="83">
        <f>+'Well OPEX-Schedule'!AB10</f>
        <v>40.330484330745158</v>
      </c>
      <c r="X8" s="83">
        <f>+'Well OPEX-Schedule'!AC10</f>
        <v>38.945464093347255</v>
      </c>
      <c r="Y8" s="83">
        <f>+'Well OPEX-Schedule'!AD10</f>
        <v>37.695953707831556</v>
      </c>
      <c r="Z8" s="83">
        <f>+'Well OPEX-Schedule'!AE10</f>
        <v>36.560537616319806</v>
      </c>
      <c r="AA8" s="83">
        <f>+'Well OPEX-Schedule'!AF10</f>
        <v>35.523094748892262</v>
      </c>
      <c r="AB8" s="83">
        <f>+'Well OPEX-Schedule'!AG10</f>
        <v>20.31374796433392</v>
      </c>
      <c r="AC8" s="83">
        <f>+'Well OPEX-Schedule'!AH10</f>
        <v>15.017222488145848</v>
      </c>
      <c r="AD8" s="83">
        <f>+'Well OPEX-Schedule'!AI10</f>
        <v>9.8742566060415342</v>
      </c>
      <c r="AE8" s="83">
        <f>+'Well OPEX-Schedule'!AJ10</f>
        <v>4.8722213839086113</v>
      </c>
      <c r="AF8" s="83">
        <f>+'Well OPEX-Schedule'!AK10</f>
        <v>0</v>
      </c>
      <c r="AG8" s="83">
        <f>+'Well OPEX-Schedule'!AL10</f>
        <v>0</v>
      </c>
      <c r="AH8" s="83">
        <f>+'Well OPEX-Schedule'!AM10</f>
        <v>0</v>
      </c>
      <c r="AI8" s="83">
        <f>+'Well OPEX-Schedule'!AN10</f>
        <v>0</v>
      </c>
      <c r="AJ8" s="83">
        <f>+'Well OPEX-Schedule'!AO10</f>
        <v>0</v>
      </c>
      <c r="AK8" s="83">
        <f>+'Well OPEX-Schedule'!AP10</f>
        <v>0</v>
      </c>
      <c r="AL8" s="83">
        <f>+'Well OPEX-Schedule'!AQ10</f>
        <v>0</v>
      </c>
      <c r="AM8" s="83">
        <f>+'Well OPEX-Schedule'!AR10</f>
        <v>0</v>
      </c>
      <c r="AN8" s="83">
        <f>+'Well OPEX-Schedule'!AS10</f>
        <v>0</v>
      </c>
      <c r="AO8" s="83">
        <f>+'Well OPEX-Schedule'!AT10</f>
        <v>0</v>
      </c>
      <c r="AP8" s="83">
        <f>+'Well OPEX-Schedule'!AU10</f>
        <v>0</v>
      </c>
      <c r="AQ8" s="83">
        <f>+'Well OPEX-Schedule'!AV10</f>
        <v>0</v>
      </c>
      <c r="AR8" s="83">
        <f>+'Well OPEX-Schedule'!AW10</f>
        <v>0</v>
      </c>
      <c r="AS8" s="83">
        <f>+'Well OPEX-Schedule'!AX10</f>
        <v>0</v>
      </c>
      <c r="AT8" s="83">
        <f>+'Well OPEX-Schedule'!AY10</f>
        <v>0</v>
      </c>
      <c r="AU8" s="83">
        <f>+'Well OPEX-Schedule'!AZ10</f>
        <v>0</v>
      </c>
      <c r="AV8" s="83">
        <f>+'Well OPEX-Schedule'!BA10</f>
        <v>0</v>
      </c>
      <c r="AW8" s="83">
        <f>+'Well OPEX-Schedule'!BB10</f>
        <v>0</v>
      </c>
      <c r="AX8" s="83">
        <f>+'Well OPEX-Schedule'!BC10</f>
        <v>0</v>
      </c>
      <c r="AY8" s="83">
        <f>+'Well OPEX-Schedule'!BD10</f>
        <v>0</v>
      </c>
      <c r="AZ8" s="83">
        <f>+'Well OPEX-Schedule'!BE10</f>
        <v>0</v>
      </c>
      <c r="BA8" s="83">
        <f>+'Well OPEX-Schedule'!BF10</f>
        <v>0</v>
      </c>
      <c r="BB8" s="83">
        <f>+'Well OPEX-Schedule'!BG10</f>
        <v>0</v>
      </c>
      <c r="BC8" s="83">
        <f>+'Well OPEX-Schedule'!BH10</f>
        <v>0</v>
      </c>
      <c r="BD8" s="83">
        <f>+'Well OPEX-Schedule'!BI10</f>
        <v>0</v>
      </c>
      <c r="BE8" s="77">
        <f>+'Well OPEX-Schedule'!BJ10</f>
        <v>0</v>
      </c>
    </row>
    <row r="9" spans="2:299" s="31" customFormat="1">
      <c r="B9" s="260">
        <f t="shared" si="3"/>
        <v>0</v>
      </c>
      <c r="C9" s="261"/>
      <c r="D9" s="133" t="s">
        <v>3</v>
      </c>
      <c r="E9" s="76" t="s">
        <v>63</v>
      </c>
      <c r="F9" s="84">
        <f>+'Well OPEX-Schedule'!K11</f>
        <v>0</v>
      </c>
      <c r="G9" s="83">
        <f>+'Well OPEX-Schedule'!L11</f>
        <v>0</v>
      </c>
      <c r="H9" s="83">
        <f>+'Well OPEX-Schedule'!M11</f>
        <v>0</v>
      </c>
      <c r="I9" s="83">
        <f>+'Well OPEX-Schedule'!N11</f>
        <v>0</v>
      </c>
      <c r="J9" s="83">
        <f>+'Well OPEX-Schedule'!O11</f>
        <v>0</v>
      </c>
      <c r="K9" s="83">
        <f>+'Well OPEX-Schedule'!P11</f>
        <v>0</v>
      </c>
      <c r="L9" s="83">
        <f>+'Well OPEX-Schedule'!Q11</f>
        <v>0</v>
      </c>
      <c r="M9" s="83">
        <f>+'Well OPEX-Schedule'!R11</f>
        <v>0</v>
      </c>
      <c r="N9" s="83">
        <f>+'Well OPEX-Schedule'!S11</f>
        <v>0</v>
      </c>
      <c r="O9" s="83">
        <f>+'Well OPEX-Schedule'!T11</f>
        <v>0</v>
      </c>
      <c r="P9" s="83">
        <f>+'Well OPEX-Schedule'!U11</f>
        <v>0</v>
      </c>
      <c r="Q9" s="83">
        <f>+'Well OPEX-Schedule'!V11</f>
        <v>0</v>
      </c>
      <c r="R9" s="83">
        <f>+'Well OPEX-Schedule'!W11</f>
        <v>0</v>
      </c>
      <c r="S9" s="83">
        <f>+'Well OPEX-Schedule'!X11</f>
        <v>0</v>
      </c>
      <c r="T9" s="83">
        <f>+'Well OPEX-Schedule'!Y11</f>
        <v>0</v>
      </c>
      <c r="U9" s="83">
        <f>+'Well OPEX-Schedule'!Z11</f>
        <v>0</v>
      </c>
      <c r="V9" s="83">
        <f>+'Well OPEX-Schedule'!AA11</f>
        <v>0</v>
      </c>
      <c r="W9" s="83">
        <f>+'Well OPEX-Schedule'!AB11</f>
        <v>0</v>
      </c>
      <c r="X9" s="83">
        <f>+'Well OPEX-Schedule'!AC11</f>
        <v>0</v>
      </c>
      <c r="Y9" s="83">
        <f>+'Well OPEX-Schedule'!AD11</f>
        <v>0</v>
      </c>
      <c r="Z9" s="83">
        <f>+'Well OPEX-Schedule'!AE11</f>
        <v>0</v>
      </c>
      <c r="AA9" s="83">
        <f>+'Well OPEX-Schedule'!AF11</f>
        <v>0</v>
      </c>
      <c r="AB9" s="83">
        <f>+'Well OPEX-Schedule'!AG11</f>
        <v>0</v>
      </c>
      <c r="AC9" s="83">
        <f>+'Well OPEX-Schedule'!AH11</f>
        <v>0</v>
      </c>
      <c r="AD9" s="83">
        <f>+'Well OPEX-Schedule'!AI11</f>
        <v>0</v>
      </c>
      <c r="AE9" s="83">
        <f>+'Well OPEX-Schedule'!AJ11</f>
        <v>0</v>
      </c>
      <c r="AF9" s="83">
        <f>+'Well OPEX-Schedule'!AK11</f>
        <v>0</v>
      </c>
      <c r="AG9" s="83">
        <f>+'Well OPEX-Schedule'!AL11</f>
        <v>0</v>
      </c>
      <c r="AH9" s="83">
        <f>+'Well OPEX-Schedule'!AM11</f>
        <v>0</v>
      </c>
      <c r="AI9" s="83">
        <f>+'Well OPEX-Schedule'!AN11</f>
        <v>0</v>
      </c>
      <c r="AJ9" s="83">
        <f>+'Well OPEX-Schedule'!AO11</f>
        <v>0</v>
      </c>
      <c r="AK9" s="83">
        <f>+'Well OPEX-Schedule'!AP11</f>
        <v>0</v>
      </c>
      <c r="AL9" s="83">
        <f>+'Well OPEX-Schedule'!AQ11</f>
        <v>0</v>
      </c>
      <c r="AM9" s="83">
        <f>+'Well OPEX-Schedule'!AR11</f>
        <v>0</v>
      </c>
      <c r="AN9" s="83">
        <f>+'Well OPEX-Schedule'!AS11</f>
        <v>0</v>
      </c>
      <c r="AO9" s="83">
        <f>+'Well OPEX-Schedule'!AT11</f>
        <v>0</v>
      </c>
      <c r="AP9" s="83">
        <f>+'Well OPEX-Schedule'!AU11</f>
        <v>0</v>
      </c>
      <c r="AQ9" s="83">
        <f>+'Well OPEX-Schedule'!AV11</f>
        <v>0</v>
      </c>
      <c r="AR9" s="83">
        <f>+'Well OPEX-Schedule'!AW11</f>
        <v>0</v>
      </c>
      <c r="AS9" s="83">
        <f>+'Well OPEX-Schedule'!AX11</f>
        <v>0</v>
      </c>
      <c r="AT9" s="83">
        <f>+'Well OPEX-Schedule'!AY11</f>
        <v>0</v>
      </c>
      <c r="AU9" s="83">
        <f>+'Well OPEX-Schedule'!AZ11</f>
        <v>0</v>
      </c>
      <c r="AV9" s="83">
        <f>+'Well OPEX-Schedule'!BA11</f>
        <v>0</v>
      </c>
      <c r="AW9" s="83">
        <f>+'Well OPEX-Schedule'!BB11</f>
        <v>0</v>
      </c>
      <c r="AX9" s="83">
        <f>+'Well OPEX-Schedule'!BC11</f>
        <v>0</v>
      </c>
      <c r="AY9" s="83">
        <f>+'Well OPEX-Schedule'!BD11</f>
        <v>0</v>
      </c>
      <c r="AZ9" s="83">
        <f>+'Well OPEX-Schedule'!BE11</f>
        <v>0</v>
      </c>
      <c r="BA9" s="83">
        <f>+'Well OPEX-Schedule'!BF11</f>
        <v>0</v>
      </c>
      <c r="BB9" s="83">
        <f>+'Well OPEX-Schedule'!BG11</f>
        <v>0</v>
      </c>
      <c r="BC9" s="83">
        <f>+'Well OPEX-Schedule'!BH11</f>
        <v>0</v>
      </c>
      <c r="BD9" s="83">
        <f>+'Well OPEX-Schedule'!BI11</f>
        <v>0</v>
      </c>
      <c r="BE9" s="77">
        <f>+'Well OPEX-Schedule'!BJ11</f>
        <v>0</v>
      </c>
    </row>
    <row r="10" spans="2:299" s="31" customFormat="1">
      <c r="B10" s="262"/>
      <c r="C10" s="263"/>
      <c r="D10" s="134"/>
      <c r="E10" s="82"/>
      <c r="F10" s="85"/>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AZ10" s="86"/>
      <c r="BA10" s="86"/>
      <c r="BB10" s="86"/>
      <c r="BC10" s="86"/>
      <c r="BD10" s="86"/>
      <c r="BE10" s="87"/>
    </row>
    <row r="11" spans="2:299" s="31" customFormat="1"/>
    <row r="12" spans="2:299" s="31" customFormat="1">
      <c r="B12" s="92" t="s">
        <v>79</v>
      </c>
      <c r="C12" s="116"/>
      <c r="D12" s="36"/>
      <c r="E12" s="106">
        <f>+SUM(F12:BE12)</f>
        <v>56</v>
      </c>
      <c r="F12" s="97">
        <f>+'Well OPEX-Schedule'!K18</f>
        <v>8</v>
      </c>
      <c r="G12" s="98">
        <f>+'Well OPEX-Schedule'!L18</f>
        <v>8</v>
      </c>
      <c r="H12" s="98">
        <f>+'Well OPEX-Schedule'!M18</f>
        <v>8</v>
      </c>
      <c r="I12" s="98">
        <f>+'Well OPEX-Schedule'!N18</f>
        <v>8</v>
      </c>
      <c r="J12" s="98">
        <f>+'Well OPEX-Schedule'!O18</f>
        <v>8</v>
      </c>
      <c r="K12" s="98">
        <f>+'Well OPEX-Schedule'!P18</f>
        <v>8</v>
      </c>
      <c r="L12" s="98">
        <f>+'Well OPEX-Schedule'!Q18</f>
        <v>8</v>
      </c>
      <c r="M12" s="98">
        <f>+'Well OPEX-Schedule'!R18</f>
        <v>0</v>
      </c>
      <c r="N12" s="98">
        <f>+'Well OPEX-Schedule'!S18</f>
        <v>0</v>
      </c>
      <c r="O12" s="98">
        <f>+'Well OPEX-Schedule'!T18</f>
        <v>0</v>
      </c>
      <c r="P12" s="98">
        <f>+'Well OPEX-Schedule'!U18</f>
        <v>0</v>
      </c>
      <c r="Q12" s="98">
        <f>+'Well OPEX-Schedule'!V18</f>
        <v>0</v>
      </c>
      <c r="R12" s="98">
        <f>+'Well OPEX-Schedule'!W18</f>
        <v>0</v>
      </c>
      <c r="S12" s="98">
        <f>+'Well OPEX-Schedule'!X18</f>
        <v>0</v>
      </c>
      <c r="T12" s="98">
        <f>+'Well OPEX-Schedule'!Y18</f>
        <v>0</v>
      </c>
      <c r="U12" s="98">
        <f>+'Well OPEX-Schedule'!Z18</f>
        <v>0</v>
      </c>
      <c r="V12" s="98">
        <f>+'Well OPEX-Schedule'!AA18</f>
        <v>0</v>
      </c>
      <c r="W12" s="98">
        <f>+'Well OPEX-Schedule'!AB18</f>
        <v>0</v>
      </c>
      <c r="X12" s="98">
        <f>+'Well OPEX-Schedule'!AC18</f>
        <v>0</v>
      </c>
      <c r="Y12" s="98">
        <f>+'Well OPEX-Schedule'!AD18</f>
        <v>0</v>
      </c>
      <c r="Z12" s="98">
        <f>+'Well OPEX-Schedule'!AE18</f>
        <v>0</v>
      </c>
      <c r="AA12" s="98">
        <f>+'Well OPEX-Schedule'!AF18</f>
        <v>0</v>
      </c>
      <c r="AB12" s="98">
        <f>+'Well OPEX-Schedule'!AG18</f>
        <v>0</v>
      </c>
      <c r="AC12" s="98">
        <f>+'Well OPEX-Schedule'!AH18</f>
        <v>0</v>
      </c>
      <c r="AD12" s="98">
        <f>+'Well OPEX-Schedule'!AI18</f>
        <v>0</v>
      </c>
      <c r="AE12" s="98">
        <f>+'Well OPEX-Schedule'!AJ18</f>
        <v>0</v>
      </c>
      <c r="AF12" s="98">
        <f>+'Well OPEX-Schedule'!AK18</f>
        <v>0</v>
      </c>
      <c r="AG12" s="98">
        <f>+'Well OPEX-Schedule'!AL18</f>
        <v>0</v>
      </c>
      <c r="AH12" s="98">
        <f>+'Well OPEX-Schedule'!AM18</f>
        <v>0</v>
      </c>
      <c r="AI12" s="98">
        <f>+'Well OPEX-Schedule'!AN18</f>
        <v>0</v>
      </c>
      <c r="AJ12" s="98">
        <f>+'Well OPEX-Schedule'!AO18</f>
        <v>0</v>
      </c>
      <c r="AK12" s="98">
        <f>+'Well OPEX-Schedule'!AP18</f>
        <v>0</v>
      </c>
      <c r="AL12" s="98">
        <f>+'Well OPEX-Schedule'!AQ18</f>
        <v>0</v>
      </c>
      <c r="AM12" s="98">
        <f>+'Well OPEX-Schedule'!AR18</f>
        <v>0</v>
      </c>
      <c r="AN12" s="98">
        <f>+'Well OPEX-Schedule'!AS18</f>
        <v>0</v>
      </c>
      <c r="AO12" s="98">
        <f>+'Well OPEX-Schedule'!AT18</f>
        <v>0</v>
      </c>
      <c r="AP12" s="98">
        <f>+'Well OPEX-Schedule'!AU18</f>
        <v>0</v>
      </c>
      <c r="AQ12" s="98">
        <f>+'Well OPEX-Schedule'!AV18</f>
        <v>0</v>
      </c>
      <c r="AR12" s="98">
        <f>+'Well OPEX-Schedule'!AW18</f>
        <v>0</v>
      </c>
      <c r="AS12" s="98">
        <f>+'Well OPEX-Schedule'!AX18</f>
        <v>0</v>
      </c>
      <c r="AT12" s="98">
        <f>+'Well OPEX-Schedule'!AY18</f>
        <v>0</v>
      </c>
      <c r="AU12" s="98">
        <f>+'Well OPEX-Schedule'!AZ18</f>
        <v>0</v>
      </c>
      <c r="AV12" s="98">
        <f>+'Well OPEX-Schedule'!BA18</f>
        <v>0</v>
      </c>
      <c r="AW12" s="98">
        <f>+'Well OPEX-Schedule'!BB18</f>
        <v>0</v>
      </c>
      <c r="AX12" s="98">
        <f>+'Well OPEX-Schedule'!BC18</f>
        <v>0</v>
      </c>
      <c r="AY12" s="98">
        <f>+'Well OPEX-Schedule'!BD18</f>
        <v>0</v>
      </c>
      <c r="AZ12" s="98">
        <f>+'Well OPEX-Schedule'!BE18</f>
        <v>0</v>
      </c>
      <c r="BA12" s="98">
        <f>+'Well OPEX-Schedule'!BF18</f>
        <v>0</v>
      </c>
      <c r="BB12" s="98">
        <f>+'Well OPEX-Schedule'!BG18</f>
        <v>0</v>
      </c>
      <c r="BC12" s="98">
        <f>+'Well OPEX-Schedule'!BH18</f>
        <v>0</v>
      </c>
      <c r="BD12" s="98">
        <f>+'Well OPEX-Schedule'!BI18</f>
        <v>0</v>
      </c>
      <c r="BE12" s="99">
        <f>+'Well OPEX-Schedule'!BJ18</f>
        <v>0</v>
      </c>
    </row>
    <row r="13" spans="2:299" s="31" customFormat="1">
      <c r="B13" s="93" t="s">
        <v>102</v>
      </c>
      <c r="C13" s="18"/>
      <c r="D13" s="94"/>
      <c r="E13" s="106">
        <f t="shared" ref="E13:E18" si="4">+SUM(F13:BE13)</f>
        <v>336</v>
      </c>
      <c r="F13" s="100">
        <f>+'Well OPEX-Schedule'!K19</f>
        <v>48</v>
      </c>
      <c r="G13" s="101">
        <f>+'Well OPEX-Schedule'!L19</f>
        <v>48</v>
      </c>
      <c r="H13" s="101">
        <f>+'Well OPEX-Schedule'!M19</f>
        <v>48</v>
      </c>
      <c r="I13" s="101">
        <f>+'Well OPEX-Schedule'!N19</f>
        <v>48</v>
      </c>
      <c r="J13" s="101">
        <f>+'Well OPEX-Schedule'!O19</f>
        <v>48</v>
      </c>
      <c r="K13" s="101">
        <f>+'Well OPEX-Schedule'!P19</f>
        <v>48</v>
      </c>
      <c r="L13" s="101">
        <f>+'Well OPEX-Schedule'!Q19</f>
        <v>48</v>
      </c>
      <c r="M13" s="101">
        <f>+'Well OPEX-Schedule'!R19</f>
        <v>0</v>
      </c>
      <c r="N13" s="101">
        <f>+'Well OPEX-Schedule'!S19</f>
        <v>0</v>
      </c>
      <c r="O13" s="101">
        <f>+'Well OPEX-Schedule'!T19</f>
        <v>0</v>
      </c>
      <c r="P13" s="101">
        <f>+'Well OPEX-Schedule'!U19</f>
        <v>0</v>
      </c>
      <c r="Q13" s="101">
        <f>+'Well OPEX-Schedule'!V19</f>
        <v>0</v>
      </c>
      <c r="R13" s="101">
        <f>+'Well OPEX-Schedule'!W19</f>
        <v>0</v>
      </c>
      <c r="S13" s="101">
        <f>+'Well OPEX-Schedule'!X19</f>
        <v>0</v>
      </c>
      <c r="T13" s="101">
        <f>+'Well OPEX-Schedule'!Y19</f>
        <v>0</v>
      </c>
      <c r="U13" s="101">
        <f>+'Well OPEX-Schedule'!Z19</f>
        <v>0</v>
      </c>
      <c r="V13" s="101">
        <f>+'Well OPEX-Schedule'!AA19</f>
        <v>0</v>
      </c>
      <c r="W13" s="101">
        <f>+'Well OPEX-Schedule'!AB19</f>
        <v>0</v>
      </c>
      <c r="X13" s="101">
        <f>+'Well OPEX-Schedule'!AC19</f>
        <v>0</v>
      </c>
      <c r="Y13" s="101">
        <f>+'Well OPEX-Schedule'!AD19</f>
        <v>0</v>
      </c>
      <c r="Z13" s="101">
        <f>+'Well OPEX-Schedule'!AE19</f>
        <v>0</v>
      </c>
      <c r="AA13" s="101">
        <f>+'Well OPEX-Schedule'!AF19</f>
        <v>0</v>
      </c>
      <c r="AB13" s="101">
        <f>+'Well OPEX-Schedule'!AG19</f>
        <v>0</v>
      </c>
      <c r="AC13" s="101">
        <f>+'Well OPEX-Schedule'!AH19</f>
        <v>0</v>
      </c>
      <c r="AD13" s="101">
        <f>+'Well OPEX-Schedule'!AI19</f>
        <v>0</v>
      </c>
      <c r="AE13" s="101">
        <f>+'Well OPEX-Schedule'!AJ19</f>
        <v>0</v>
      </c>
      <c r="AF13" s="101">
        <f>+'Well OPEX-Schedule'!AK19</f>
        <v>0</v>
      </c>
      <c r="AG13" s="101">
        <f>+'Well OPEX-Schedule'!AL19</f>
        <v>0</v>
      </c>
      <c r="AH13" s="101">
        <f>+'Well OPEX-Schedule'!AM19</f>
        <v>0</v>
      </c>
      <c r="AI13" s="101">
        <f>+'Well OPEX-Schedule'!AN19</f>
        <v>0</v>
      </c>
      <c r="AJ13" s="101">
        <f>+'Well OPEX-Schedule'!AO19</f>
        <v>0</v>
      </c>
      <c r="AK13" s="101">
        <f>+'Well OPEX-Schedule'!AP19</f>
        <v>0</v>
      </c>
      <c r="AL13" s="101">
        <f>+'Well OPEX-Schedule'!AQ19</f>
        <v>0</v>
      </c>
      <c r="AM13" s="101">
        <f>+'Well OPEX-Schedule'!AR19</f>
        <v>0</v>
      </c>
      <c r="AN13" s="101">
        <f>+'Well OPEX-Schedule'!AS19</f>
        <v>0</v>
      </c>
      <c r="AO13" s="101">
        <f>+'Well OPEX-Schedule'!AT19</f>
        <v>0</v>
      </c>
      <c r="AP13" s="101">
        <f>+'Well OPEX-Schedule'!AU19</f>
        <v>0</v>
      </c>
      <c r="AQ13" s="101">
        <f>+'Well OPEX-Schedule'!AV19</f>
        <v>0</v>
      </c>
      <c r="AR13" s="101">
        <f>+'Well OPEX-Schedule'!AW19</f>
        <v>0</v>
      </c>
      <c r="AS13" s="101">
        <f>+'Well OPEX-Schedule'!AX19</f>
        <v>0</v>
      </c>
      <c r="AT13" s="101">
        <f>+'Well OPEX-Schedule'!AY19</f>
        <v>0</v>
      </c>
      <c r="AU13" s="101">
        <f>+'Well OPEX-Schedule'!AZ19</f>
        <v>0</v>
      </c>
      <c r="AV13" s="101">
        <f>+'Well OPEX-Schedule'!BA19</f>
        <v>0</v>
      </c>
      <c r="AW13" s="101">
        <f>+'Well OPEX-Schedule'!BB19</f>
        <v>0</v>
      </c>
      <c r="AX13" s="101">
        <f>+'Well OPEX-Schedule'!BC19</f>
        <v>0</v>
      </c>
      <c r="AY13" s="101">
        <f>+'Well OPEX-Schedule'!BD19</f>
        <v>0</v>
      </c>
      <c r="AZ13" s="101">
        <f>+'Well OPEX-Schedule'!BE19</f>
        <v>0</v>
      </c>
      <c r="BA13" s="101">
        <f>+'Well OPEX-Schedule'!BF19</f>
        <v>0</v>
      </c>
      <c r="BB13" s="101">
        <f>+'Well OPEX-Schedule'!BG19</f>
        <v>0</v>
      </c>
      <c r="BC13" s="101">
        <f>+'Well OPEX-Schedule'!BH19</f>
        <v>0</v>
      </c>
      <c r="BD13" s="101">
        <f>+'Well OPEX-Schedule'!BI19</f>
        <v>0</v>
      </c>
      <c r="BE13" s="102">
        <f>+'Well OPEX-Schedule'!BJ19</f>
        <v>0</v>
      </c>
    </row>
    <row r="14" spans="2:299" s="31" customFormat="1">
      <c r="B14" s="93" t="s">
        <v>76</v>
      </c>
      <c r="C14" s="18"/>
      <c r="D14" s="33"/>
      <c r="E14" s="106">
        <f t="shared" si="4"/>
        <v>56</v>
      </c>
      <c r="F14" s="100">
        <f>+'Well OPEX-Schedule'!K20</f>
        <v>8</v>
      </c>
      <c r="G14" s="101">
        <f>+'Well OPEX-Schedule'!L20</f>
        <v>8</v>
      </c>
      <c r="H14" s="101">
        <f>+'Well OPEX-Schedule'!M20</f>
        <v>8</v>
      </c>
      <c r="I14" s="101">
        <f>+'Well OPEX-Schedule'!N20</f>
        <v>8</v>
      </c>
      <c r="J14" s="101">
        <f>+'Well OPEX-Schedule'!O20</f>
        <v>8</v>
      </c>
      <c r="K14" s="101">
        <f>+'Well OPEX-Schedule'!P20</f>
        <v>8</v>
      </c>
      <c r="L14" s="101">
        <f>+'Well OPEX-Schedule'!Q20</f>
        <v>8</v>
      </c>
      <c r="M14" s="101">
        <f>+'Well OPEX-Schedule'!R20</f>
        <v>0</v>
      </c>
      <c r="N14" s="101">
        <f>+'Well OPEX-Schedule'!S20</f>
        <v>0</v>
      </c>
      <c r="O14" s="101">
        <f>+'Well OPEX-Schedule'!T20</f>
        <v>0</v>
      </c>
      <c r="P14" s="101">
        <f>+'Well OPEX-Schedule'!U20</f>
        <v>0</v>
      </c>
      <c r="Q14" s="101">
        <f>+'Well OPEX-Schedule'!V20</f>
        <v>0</v>
      </c>
      <c r="R14" s="101">
        <f>+'Well OPEX-Schedule'!W20</f>
        <v>0</v>
      </c>
      <c r="S14" s="101">
        <f>+'Well OPEX-Schedule'!X20</f>
        <v>0</v>
      </c>
      <c r="T14" s="101">
        <f>+'Well OPEX-Schedule'!Y20</f>
        <v>0</v>
      </c>
      <c r="U14" s="101">
        <f>+'Well OPEX-Schedule'!Z20</f>
        <v>0</v>
      </c>
      <c r="V14" s="101">
        <f>+'Well OPEX-Schedule'!AA20</f>
        <v>0</v>
      </c>
      <c r="W14" s="101">
        <f>+'Well OPEX-Schedule'!AB20</f>
        <v>0</v>
      </c>
      <c r="X14" s="101">
        <f>+'Well OPEX-Schedule'!AC20</f>
        <v>0</v>
      </c>
      <c r="Y14" s="101">
        <f>+'Well OPEX-Schedule'!AD20</f>
        <v>0</v>
      </c>
      <c r="Z14" s="101">
        <f>+'Well OPEX-Schedule'!AE20</f>
        <v>0</v>
      </c>
      <c r="AA14" s="101">
        <f>+'Well OPEX-Schedule'!AF20</f>
        <v>0</v>
      </c>
      <c r="AB14" s="101">
        <f>+'Well OPEX-Schedule'!AG20</f>
        <v>0</v>
      </c>
      <c r="AC14" s="101">
        <f>+'Well OPEX-Schedule'!AH20</f>
        <v>0</v>
      </c>
      <c r="AD14" s="101">
        <f>+'Well OPEX-Schedule'!AI20</f>
        <v>0</v>
      </c>
      <c r="AE14" s="101">
        <f>+'Well OPEX-Schedule'!AJ20</f>
        <v>0</v>
      </c>
      <c r="AF14" s="101">
        <f>+'Well OPEX-Schedule'!AK20</f>
        <v>0</v>
      </c>
      <c r="AG14" s="101">
        <f>+'Well OPEX-Schedule'!AL20</f>
        <v>0</v>
      </c>
      <c r="AH14" s="101">
        <f>+'Well OPEX-Schedule'!AM20</f>
        <v>0</v>
      </c>
      <c r="AI14" s="101">
        <f>+'Well OPEX-Schedule'!AN20</f>
        <v>0</v>
      </c>
      <c r="AJ14" s="101">
        <f>+'Well OPEX-Schedule'!AO20</f>
        <v>0</v>
      </c>
      <c r="AK14" s="101">
        <f>+'Well OPEX-Schedule'!AP20</f>
        <v>0</v>
      </c>
      <c r="AL14" s="101">
        <f>+'Well OPEX-Schedule'!AQ20</f>
        <v>0</v>
      </c>
      <c r="AM14" s="101">
        <f>+'Well OPEX-Schedule'!AR20</f>
        <v>0</v>
      </c>
      <c r="AN14" s="101">
        <f>+'Well OPEX-Schedule'!AS20</f>
        <v>0</v>
      </c>
      <c r="AO14" s="101">
        <f>+'Well OPEX-Schedule'!AT20</f>
        <v>0</v>
      </c>
      <c r="AP14" s="101">
        <f>+'Well OPEX-Schedule'!AU20</f>
        <v>0</v>
      </c>
      <c r="AQ14" s="101">
        <f>+'Well OPEX-Schedule'!AV20</f>
        <v>0</v>
      </c>
      <c r="AR14" s="101">
        <f>+'Well OPEX-Schedule'!AW20</f>
        <v>0</v>
      </c>
      <c r="AS14" s="101">
        <f>+'Well OPEX-Schedule'!AX20</f>
        <v>0</v>
      </c>
      <c r="AT14" s="101">
        <f>+'Well OPEX-Schedule'!AY20</f>
        <v>0</v>
      </c>
      <c r="AU14" s="101">
        <f>+'Well OPEX-Schedule'!AZ20</f>
        <v>0</v>
      </c>
      <c r="AV14" s="101">
        <f>+'Well OPEX-Schedule'!BA20</f>
        <v>0</v>
      </c>
      <c r="AW14" s="101">
        <f>+'Well OPEX-Schedule'!BB20</f>
        <v>0</v>
      </c>
      <c r="AX14" s="101">
        <f>+'Well OPEX-Schedule'!BC20</f>
        <v>0</v>
      </c>
      <c r="AY14" s="101">
        <f>+'Well OPEX-Schedule'!BD20</f>
        <v>0</v>
      </c>
      <c r="AZ14" s="101">
        <f>+'Well OPEX-Schedule'!BE20</f>
        <v>0</v>
      </c>
      <c r="BA14" s="101">
        <f>+'Well OPEX-Schedule'!BF20</f>
        <v>0</v>
      </c>
      <c r="BB14" s="101">
        <f>+'Well OPEX-Schedule'!BG20</f>
        <v>0</v>
      </c>
      <c r="BC14" s="101">
        <f>+'Well OPEX-Schedule'!BH20</f>
        <v>0</v>
      </c>
      <c r="BD14" s="101">
        <f>+'Well OPEX-Schedule'!BI20</f>
        <v>0</v>
      </c>
      <c r="BE14" s="102">
        <f>+'Well OPEX-Schedule'!BJ20</f>
        <v>0</v>
      </c>
    </row>
    <row r="15" spans="2:299" s="31" customFormat="1">
      <c r="B15" s="93" t="s">
        <v>103</v>
      </c>
      <c r="C15" s="18"/>
      <c r="D15" s="33"/>
      <c r="E15" s="106">
        <f t="shared" si="4"/>
        <v>0</v>
      </c>
      <c r="F15" s="100">
        <f>+'Well OPEX-Schedule'!K21</f>
        <v>0</v>
      </c>
      <c r="G15" s="101">
        <f>+'Well OPEX-Schedule'!L21</f>
        <v>0</v>
      </c>
      <c r="H15" s="101">
        <f>+'Well OPEX-Schedule'!M21</f>
        <v>0</v>
      </c>
      <c r="I15" s="101">
        <f>+'Well OPEX-Schedule'!N21</f>
        <v>0</v>
      </c>
      <c r="J15" s="101">
        <f>+'Well OPEX-Schedule'!O21</f>
        <v>0</v>
      </c>
      <c r="K15" s="101">
        <f>+'Well OPEX-Schedule'!P21</f>
        <v>0</v>
      </c>
      <c r="L15" s="101">
        <f>+'Well OPEX-Schedule'!Q21</f>
        <v>0</v>
      </c>
      <c r="M15" s="101">
        <f>+'Well OPEX-Schedule'!R21</f>
        <v>0</v>
      </c>
      <c r="N15" s="101">
        <f>+'Well OPEX-Schedule'!S21</f>
        <v>0</v>
      </c>
      <c r="O15" s="101">
        <f>+'Well OPEX-Schedule'!T21</f>
        <v>0</v>
      </c>
      <c r="P15" s="101">
        <f>+'Well OPEX-Schedule'!U21</f>
        <v>0</v>
      </c>
      <c r="Q15" s="101">
        <f>+'Well OPEX-Schedule'!V21</f>
        <v>0</v>
      </c>
      <c r="R15" s="101">
        <f>+'Well OPEX-Schedule'!W21</f>
        <v>0</v>
      </c>
      <c r="S15" s="101">
        <f>+'Well OPEX-Schedule'!X21</f>
        <v>0</v>
      </c>
      <c r="T15" s="101">
        <f>+'Well OPEX-Schedule'!Y21</f>
        <v>0</v>
      </c>
      <c r="U15" s="101">
        <f>+'Well OPEX-Schedule'!Z21</f>
        <v>0</v>
      </c>
      <c r="V15" s="101">
        <f>+'Well OPEX-Schedule'!AA21</f>
        <v>0</v>
      </c>
      <c r="W15" s="101">
        <f>+'Well OPEX-Schedule'!AB21</f>
        <v>0</v>
      </c>
      <c r="X15" s="101">
        <f>+'Well OPEX-Schedule'!AC21</f>
        <v>0</v>
      </c>
      <c r="Y15" s="101">
        <f>+'Well OPEX-Schedule'!AD21</f>
        <v>0</v>
      </c>
      <c r="Z15" s="101">
        <f>+'Well OPEX-Schedule'!AE21</f>
        <v>0</v>
      </c>
      <c r="AA15" s="101">
        <f>+'Well OPEX-Schedule'!AF21</f>
        <v>0</v>
      </c>
      <c r="AB15" s="101">
        <f>+'Well OPEX-Schedule'!AG21</f>
        <v>0</v>
      </c>
      <c r="AC15" s="101">
        <f>+'Well OPEX-Schedule'!AH21</f>
        <v>0</v>
      </c>
      <c r="AD15" s="101">
        <f>+'Well OPEX-Schedule'!AI21</f>
        <v>0</v>
      </c>
      <c r="AE15" s="101">
        <f>+'Well OPEX-Schedule'!AJ21</f>
        <v>0</v>
      </c>
      <c r="AF15" s="101">
        <f>+'Well OPEX-Schedule'!AK21</f>
        <v>0</v>
      </c>
      <c r="AG15" s="101">
        <f>+'Well OPEX-Schedule'!AL21</f>
        <v>0</v>
      </c>
      <c r="AH15" s="101">
        <f>+'Well OPEX-Schedule'!AM21</f>
        <v>0</v>
      </c>
      <c r="AI15" s="101">
        <f>+'Well OPEX-Schedule'!AN21</f>
        <v>0</v>
      </c>
      <c r="AJ15" s="101">
        <f>+'Well OPEX-Schedule'!AO21</f>
        <v>0</v>
      </c>
      <c r="AK15" s="101">
        <f>+'Well OPEX-Schedule'!AP21</f>
        <v>0</v>
      </c>
      <c r="AL15" s="101">
        <f>+'Well OPEX-Schedule'!AQ21</f>
        <v>0</v>
      </c>
      <c r="AM15" s="101">
        <f>+'Well OPEX-Schedule'!AR21</f>
        <v>0</v>
      </c>
      <c r="AN15" s="101">
        <f>+'Well OPEX-Schedule'!AS21</f>
        <v>0</v>
      </c>
      <c r="AO15" s="101">
        <f>+'Well OPEX-Schedule'!AT21</f>
        <v>0</v>
      </c>
      <c r="AP15" s="101">
        <f>+'Well OPEX-Schedule'!AU21</f>
        <v>0</v>
      </c>
      <c r="AQ15" s="101">
        <f>+'Well OPEX-Schedule'!AV21</f>
        <v>0</v>
      </c>
      <c r="AR15" s="101">
        <f>+'Well OPEX-Schedule'!AW21</f>
        <v>0</v>
      </c>
      <c r="AS15" s="101">
        <f>+'Well OPEX-Schedule'!AX21</f>
        <v>0</v>
      </c>
      <c r="AT15" s="101">
        <f>+'Well OPEX-Schedule'!AY21</f>
        <v>0</v>
      </c>
      <c r="AU15" s="101">
        <f>+'Well OPEX-Schedule'!AZ21</f>
        <v>0</v>
      </c>
      <c r="AV15" s="101">
        <f>+'Well OPEX-Schedule'!BA21</f>
        <v>0</v>
      </c>
      <c r="AW15" s="101">
        <f>+'Well OPEX-Schedule'!BB21</f>
        <v>0</v>
      </c>
      <c r="AX15" s="101">
        <f>+'Well OPEX-Schedule'!BC21</f>
        <v>0</v>
      </c>
      <c r="AY15" s="101">
        <f>+'Well OPEX-Schedule'!BD21</f>
        <v>0</v>
      </c>
      <c r="AZ15" s="101">
        <f>+'Well OPEX-Schedule'!BE21</f>
        <v>0</v>
      </c>
      <c r="BA15" s="101">
        <f>+'Well OPEX-Schedule'!BF21</f>
        <v>0</v>
      </c>
      <c r="BB15" s="101">
        <f>+'Well OPEX-Schedule'!BG21</f>
        <v>0</v>
      </c>
      <c r="BC15" s="101">
        <f>+'Well OPEX-Schedule'!BH21</f>
        <v>0</v>
      </c>
      <c r="BD15" s="101">
        <f>+'Well OPEX-Schedule'!BI21</f>
        <v>0</v>
      </c>
      <c r="BE15" s="102">
        <f>+'Well OPEX-Schedule'!BJ21</f>
        <v>0</v>
      </c>
    </row>
    <row r="16" spans="2:299" s="31" customFormat="1">
      <c r="B16" s="93" t="s">
        <v>104</v>
      </c>
      <c r="C16" s="18"/>
      <c r="D16" s="33"/>
      <c r="E16" s="106">
        <f t="shared" si="4"/>
        <v>15</v>
      </c>
      <c r="F16" s="100">
        <f>+'Well OPEX-Schedule'!K22</f>
        <v>15</v>
      </c>
      <c r="G16" s="101">
        <f>+'Well OPEX-Schedule'!L22</f>
        <v>0</v>
      </c>
      <c r="H16" s="101">
        <f>+'Well OPEX-Schedule'!M22</f>
        <v>0</v>
      </c>
      <c r="I16" s="101">
        <f>+'Well OPEX-Schedule'!N22</f>
        <v>0</v>
      </c>
      <c r="J16" s="101">
        <f>+'Well OPEX-Schedule'!O22</f>
        <v>0</v>
      </c>
      <c r="K16" s="101">
        <f>+'Well OPEX-Schedule'!P22</f>
        <v>0</v>
      </c>
      <c r="L16" s="101">
        <f>+'Well OPEX-Schedule'!Q22</f>
        <v>0</v>
      </c>
      <c r="M16" s="101">
        <f>+'Well OPEX-Schedule'!R22</f>
        <v>0</v>
      </c>
      <c r="N16" s="101">
        <f>+'Well OPEX-Schedule'!S22</f>
        <v>0</v>
      </c>
      <c r="O16" s="101">
        <f>+'Well OPEX-Schedule'!T22</f>
        <v>0</v>
      </c>
      <c r="P16" s="101">
        <f>+'Well OPEX-Schedule'!U22</f>
        <v>0</v>
      </c>
      <c r="Q16" s="101">
        <f>+'Well OPEX-Schedule'!V22</f>
        <v>0</v>
      </c>
      <c r="R16" s="101">
        <f>+'Well OPEX-Schedule'!W22</f>
        <v>0</v>
      </c>
      <c r="S16" s="101">
        <f>+'Well OPEX-Schedule'!X22</f>
        <v>0</v>
      </c>
      <c r="T16" s="101">
        <f>+'Well OPEX-Schedule'!Y22</f>
        <v>0</v>
      </c>
      <c r="U16" s="101">
        <f>+'Well OPEX-Schedule'!Z22</f>
        <v>0</v>
      </c>
      <c r="V16" s="101">
        <f>+'Well OPEX-Schedule'!AA22</f>
        <v>0</v>
      </c>
      <c r="W16" s="101">
        <f>+'Well OPEX-Schedule'!AB22</f>
        <v>0</v>
      </c>
      <c r="X16" s="101">
        <f>+'Well OPEX-Schedule'!AC22</f>
        <v>0</v>
      </c>
      <c r="Y16" s="101">
        <f>+'Well OPEX-Schedule'!AD22</f>
        <v>0</v>
      </c>
      <c r="Z16" s="101">
        <f>+'Well OPEX-Schedule'!AE22</f>
        <v>0</v>
      </c>
      <c r="AA16" s="101">
        <f>+'Well OPEX-Schedule'!AF22</f>
        <v>0</v>
      </c>
      <c r="AB16" s="101">
        <f>+'Well OPEX-Schedule'!AG22</f>
        <v>0</v>
      </c>
      <c r="AC16" s="101">
        <f>+'Well OPEX-Schedule'!AH22</f>
        <v>0</v>
      </c>
      <c r="AD16" s="101">
        <f>+'Well OPEX-Schedule'!AI22</f>
        <v>0</v>
      </c>
      <c r="AE16" s="101">
        <f>+'Well OPEX-Schedule'!AJ22</f>
        <v>0</v>
      </c>
      <c r="AF16" s="101">
        <f>+'Well OPEX-Schedule'!AK22</f>
        <v>0</v>
      </c>
      <c r="AG16" s="101">
        <f>+'Well OPEX-Schedule'!AL22</f>
        <v>0</v>
      </c>
      <c r="AH16" s="101">
        <f>+'Well OPEX-Schedule'!AM22</f>
        <v>0</v>
      </c>
      <c r="AI16" s="101">
        <f>+'Well OPEX-Schedule'!AN22</f>
        <v>0</v>
      </c>
      <c r="AJ16" s="101">
        <f>+'Well OPEX-Schedule'!AO22</f>
        <v>0</v>
      </c>
      <c r="AK16" s="101">
        <f>+'Well OPEX-Schedule'!AP22</f>
        <v>0</v>
      </c>
      <c r="AL16" s="101">
        <f>+'Well OPEX-Schedule'!AQ22</f>
        <v>0</v>
      </c>
      <c r="AM16" s="101">
        <f>+'Well OPEX-Schedule'!AR22</f>
        <v>0</v>
      </c>
      <c r="AN16" s="101">
        <f>+'Well OPEX-Schedule'!AS22</f>
        <v>0</v>
      </c>
      <c r="AO16" s="101">
        <f>+'Well OPEX-Schedule'!AT22</f>
        <v>0</v>
      </c>
      <c r="AP16" s="101">
        <f>+'Well OPEX-Schedule'!AU22</f>
        <v>0</v>
      </c>
      <c r="AQ16" s="101">
        <f>+'Well OPEX-Schedule'!AV22</f>
        <v>0</v>
      </c>
      <c r="AR16" s="101">
        <f>+'Well OPEX-Schedule'!AW22</f>
        <v>0</v>
      </c>
      <c r="AS16" s="101">
        <f>+'Well OPEX-Schedule'!AX22</f>
        <v>0</v>
      </c>
      <c r="AT16" s="101">
        <f>+'Well OPEX-Schedule'!AY22</f>
        <v>0</v>
      </c>
      <c r="AU16" s="101">
        <f>+'Well OPEX-Schedule'!AZ22</f>
        <v>0</v>
      </c>
      <c r="AV16" s="101">
        <f>+'Well OPEX-Schedule'!BA22</f>
        <v>0</v>
      </c>
      <c r="AW16" s="101">
        <f>+'Well OPEX-Schedule'!BB22</f>
        <v>0</v>
      </c>
      <c r="AX16" s="101">
        <f>+'Well OPEX-Schedule'!BC22</f>
        <v>0</v>
      </c>
      <c r="AY16" s="101">
        <f>+'Well OPEX-Schedule'!BD22</f>
        <v>0</v>
      </c>
      <c r="AZ16" s="101">
        <f>+'Well OPEX-Schedule'!BE22</f>
        <v>0</v>
      </c>
      <c r="BA16" s="101">
        <f>+'Well OPEX-Schedule'!BF22</f>
        <v>0</v>
      </c>
      <c r="BB16" s="101">
        <f>+'Well OPEX-Schedule'!BG22</f>
        <v>0</v>
      </c>
      <c r="BC16" s="101">
        <f>+'Well OPEX-Schedule'!BH22</f>
        <v>0</v>
      </c>
      <c r="BD16" s="101">
        <f>+'Well OPEX-Schedule'!BI22</f>
        <v>0</v>
      </c>
      <c r="BE16" s="102">
        <f>+'Well OPEX-Schedule'!BJ22</f>
        <v>0</v>
      </c>
      <c r="CW16" s="31">
        <v>200</v>
      </c>
      <c r="KM16" s="31">
        <v>200</v>
      </c>
    </row>
    <row r="17" spans="1:57" s="31" customFormat="1">
      <c r="B17" s="93" t="s">
        <v>8</v>
      </c>
      <c r="C17" s="18"/>
      <c r="D17" s="33"/>
      <c r="E17" s="106">
        <f t="shared" si="4"/>
        <v>0</v>
      </c>
      <c r="F17" s="100">
        <f>+'Well OPEX-Schedule'!K23</f>
        <v>0</v>
      </c>
      <c r="G17" s="101">
        <f>+'Well OPEX-Schedule'!L23</f>
        <v>0</v>
      </c>
      <c r="H17" s="101">
        <f>+'Well OPEX-Schedule'!M23</f>
        <v>0</v>
      </c>
      <c r="I17" s="101">
        <f>+'Well OPEX-Schedule'!N23</f>
        <v>0</v>
      </c>
      <c r="J17" s="101">
        <f>+'Well OPEX-Schedule'!O23</f>
        <v>0</v>
      </c>
      <c r="K17" s="101">
        <f>+'Well OPEX-Schedule'!P23</f>
        <v>0</v>
      </c>
      <c r="L17" s="101">
        <f>+'Well OPEX-Schedule'!Q23</f>
        <v>0</v>
      </c>
      <c r="M17" s="101">
        <f>+'Well OPEX-Schedule'!R23</f>
        <v>0</v>
      </c>
      <c r="N17" s="101">
        <f>+'Well OPEX-Schedule'!S23</f>
        <v>0</v>
      </c>
      <c r="O17" s="101">
        <f>+'Well OPEX-Schedule'!T23</f>
        <v>0</v>
      </c>
      <c r="P17" s="101">
        <f>+'Well OPEX-Schedule'!U23</f>
        <v>0</v>
      </c>
      <c r="Q17" s="101">
        <f>+'Well OPEX-Schedule'!V23</f>
        <v>0</v>
      </c>
      <c r="R17" s="101">
        <f>+'Well OPEX-Schedule'!W23</f>
        <v>0</v>
      </c>
      <c r="S17" s="101">
        <f>+'Well OPEX-Schedule'!X23</f>
        <v>0</v>
      </c>
      <c r="T17" s="101">
        <f>+'Well OPEX-Schedule'!Y23</f>
        <v>0</v>
      </c>
      <c r="U17" s="101">
        <f>+'Well OPEX-Schedule'!Z23</f>
        <v>0</v>
      </c>
      <c r="V17" s="101">
        <f>+'Well OPEX-Schedule'!AA23</f>
        <v>0</v>
      </c>
      <c r="W17" s="101">
        <f>+'Well OPEX-Schedule'!AB23</f>
        <v>0</v>
      </c>
      <c r="X17" s="101">
        <f>+'Well OPEX-Schedule'!AC23</f>
        <v>0</v>
      </c>
      <c r="Y17" s="101">
        <f>+'Well OPEX-Schedule'!AD23</f>
        <v>0</v>
      </c>
      <c r="Z17" s="101">
        <f>+'Well OPEX-Schedule'!AE23</f>
        <v>0</v>
      </c>
      <c r="AA17" s="101">
        <f>+'Well OPEX-Schedule'!AF23</f>
        <v>0</v>
      </c>
      <c r="AB17" s="101">
        <f>+'Well OPEX-Schedule'!AG23</f>
        <v>0</v>
      </c>
      <c r="AC17" s="101">
        <f>+'Well OPEX-Schedule'!AH23</f>
        <v>0</v>
      </c>
      <c r="AD17" s="101">
        <f>+'Well OPEX-Schedule'!AI23</f>
        <v>0</v>
      </c>
      <c r="AE17" s="101">
        <f>+'Well OPEX-Schedule'!AJ23</f>
        <v>0</v>
      </c>
      <c r="AF17" s="101">
        <f>+'Well OPEX-Schedule'!AK23</f>
        <v>0</v>
      </c>
      <c r="AG17" s="101">
        <f>+'Well OPEX-Schedule'!AL23</f>
        <v>0</v>
      </c>
      <c r="AH17" s="101">
        <f>+'Well OPEX-Schedule'!AM23</f>
        <v>0</v>
      </c>
      <c r="AI17" s="101">
        <f>+'Well OPEX-Schedule'!AN23</f>
        <v>0</v>
      </c>
      <c r="AJ17" s="101">
        <f>+'Well OPEX-Schedule'!AO23</f>
        <v>0</v>
      </c>
      <c r="AK17" s="101">
        <f>+'Well OPEX-Schedule'!AP23</f>
        <v>0</v>
      </c>
      <c r="AL17" s="101">
        <f>+'Well OPEX-Schedule'!AQ23</f>
        <v>0</v>
      </c>
      <c r="AM17" s="101">
        <f>+'Well OPEX-Schedule'!AR23</f>
        <v>0</v>
      </c>
      <c r="AN17" s="101">
        <f>+'Well OPEX-Schedule'!AS23</f>
        <v>0</v>
      </c>
      <c r="AO17" s="101">
        <f>+'Well OPEX-Schedule'!AT23</f>
        <v>0</v>
      </c>
      <c r="AP17" s="101">
        <f>+'Well OPEX-Schedule'!AU23</f>
        <v>0</v>
      </c>
      <c r="AQ17" s="101">
        <f>+'Well OPEX-Schedule'!AV23</f>
        <v>0</v>
      </c>
      <c r="AR17" s="101">
        <f>+'Well OPEX-Schedule'!AW23</f>
        <v>0</v>
      </c>
      <c r="AS17" s="101">
        <f>+'Well OPEX-Schedule'!AX23</f>
        <v>0</v>
      </c>
      <c r="AT17" s="101">
        <f>+'Well OPEX-Schedule'!AY23</f>
        <v>0</v>
      </c>
      <c r="AU17" s="101">
        <f>+'Well OPEX-Schedule'!AZ23</f>
        <v>0</v>
      </c>
      <c r="AV17" s="101">
        <f>+'Well OPEX-Schedule'!BA23</f>
        <v>0</v>
      </c>
      <c r="AW17" s="101">
        <f>+'Well OPEX-Schedule'!BB23</f>
        <v>0</v>
      </c>
      <c r="AX17" s="101">
        <f>+'Well OPEX-Schedule'!BC23</f>
        <v>0</v>
      </c>
      <c r="AY17" s="101">
        <f>+'Well OPEX-Schedule'!BD23</f>
        <v>0</v>
      </c>
      <c r="AZ17" s="101">
        <f>+'Well OPEX-Schedule'!BE23</f>
        <v>0</v>
      </c>
      <c r="BA17" s="101">
        <f>+'Well OPEX-Schedule'!BF23</f>
        <v>0</v>
      </c>
      <c r="BB17" s="101">
        <f>+'Well OPEX-Schedule'!BG23</f>
        <v>0</v>
      </c>
      <c r="BC17" s="101">
        <f>+'Well OPEX-Schedule'!BH23</f>
        <v>0</v>
      </c>
      <c r="BD17" s="101">
        <f>+'Well OPEX-Schedule'!BI23</f>
        <v>0</v>
      </c>
      <c r="BE17" s="102">
        <f>+'Well OPEX-Schedule'!BJ23</f>
        <v>0</v>
      </c>
    </row>
    <row r="18" spans="1:57" s="31" customFormat="1">
      <c r="B18" s="95"/>
      <c r="C18" s="117"/>
      <c r="D18" s="96"/>
      <c r="E18" s="106">
        <f t="shared" si="4"/>
        <v>0</v>
      </c>
      <c r="F18" s="103">
        <f>+'Well OPEX-Schedule'!K24</f>
        <v>0</v>
      </c>
      <c r="G18" s="104">
        <f>+'Well OPEX-Schedule'!L24</f>
        <v>0</v>
      </c>
      <c r="H18" s="104">
        <f>+'Well OPEX-Schedule'!M24</f>
        <v>0</v>
      </c>
      <c r="I18" s="104">
        <f>+'Well OPEX-Schedule'!N24</f>
        <v>0</v>
      </c>
      <c r="J18" s="104">
        <f>+'Well OPEX-Schedule'!O24</f>
        <v>0</v>
      </c>
      <c r="K18" s="104">
        <f>+'Well OPEX-Schedule'!P24</f>
        <v>0</v>
      </c>
      <c r="L18" s="104">
        <f>+'Well OPEX-Schedule'!Q24</f>
        <v>0</v>
      </c>
      <c r="M18" s="104">
        <f>+'Well OPEX-Schedule'!R24</f>
        <v>0</v>
      </c>
      <c r="N18" s="104">
        <f>+'Well OPEX-Schedule'!S24</f>
        <v>0</v>
      </c>
      <c r="O18" s="104">
        <f>+'Well OPEX-Schedule'!T24</f>
        <v>0</v>
      </c>
      <c r="P18" s="104">
        <f>+'Well OPEX-Schedule'!U24</f>
        <v>0</v>
      </c>
      <c r="Q18" s="104">
        <f>+'Well OPEX-Schedule'!V24</f>
        <v>0</v>
      </c>
      <c r="R18" s="104">
        <f>+'Well OPEX-Schedule'!W24</f>
        <v>0</v>
      </c>
      <c r="S18" s="104">
        <f>+'Well OPEX-Schedule'!X24</f>
        <v>0</v>
      </c>
      <c r="T18" s="104">
        <f>+'Well OPEX-Schedule'!Y24</f>
        <v>0</v>
      </c>
      <c r="U18" s="104">
        <f>+'Well OPEX-Schedule'!Z24</f>
        <v>0</v>
      </c>
      <c r="V18" s="104">
        <f>+'Well OPEX-Schedule'!AA24</f>
        <v>0</v>
      </c>
      <c r="W18" s="104">
        <f>+'Well OPEX-Schedule'!AB24</f>
        <v>0</v>
      </c>
      <c r="X18" s="104">
        <f>+'Well OPEX-Schedule'!AC24</f>
        <v>0</v>
      </c>
      <c r="Y18" s="104">
        <f>+'Well OPEX-Schedule'!AD24</f>
        <v>0</v>
      </c>
      <c r="Z18" s="104">
        <f>+'Well OPEX-Schedule'!AE24</f>
        <v>0</v>
      </c>
      <c r="AA18" s="104">
        <f>+'Well OPEX-Schedule'!AF24</f>
        <v>0</v>
      </c>
      <c r="AB18" s="104">
        <f>+'Well OPEX-Schedule'!AG24</f>
        <v>0</v>
      </c>
      <c r="AC18" s="104">
        <f>+'Well OPEX-Schedule'!AH24</f>
        <v>0</v>
      </c>
      <c r="AD18" s="104">
        <f>+'Well OPEX-Schedule'!AI24</f>
        <v>0</v>
      </c>
      <c r="AE18" s="104">
        <f>+'Well OPEX-Schedule'!AJ24</f>
        <v>0</v>
      </c>
      <c r="AF18" s="104">
        <f>+'Well OPEX-Schedule'!AK24</f>
        <v>0</v>
      </c>
      <c r="AG18" s="104">
        <f>+'Well OPEX-Schedule'!AL24</f>
        <v>0</v>
      </c>
      <c r="AH18" s="104">
        <f>+'Well OPEX-Schedule'!AM24</f>
        <v>0</v>
      </c>
      <c r="AI18" s="104">
        <f>+'Well OPEX-Schedule'!AN24</f>
        <v>0</v>
      </c>
      <c r="AJ18" s="104">
        <f>+'Well OPEX-Schedule'!AO24</f>
        <v>0</v>
      </c>
      <c r="AK18" s="104">
        <f>+'Well OPEX-Schedule'!AP24</f>
        <v>0</v>
      </c>
      <c r="AL18" s="104">
        <f>+'Well OPEX-Schedule'!AQ24</f>
        <v>0</v>
      </c>
      <c r="AM18" s="104">
        <f>+'Well OPEX-Schedule'!AR24</f>
        <v>0</v>
      </c>
      <c r="AN18" s="104">
        <f>+'Well OPEX-Schedule'!AS24</f>
        <v>0</v>
      </c>
      <c r="AO18" s="104">
        <f>+'Well OPEX-Schedule'!AT24</f>
        <v>0</v>
      </c>
      <c r="AP18" s="104">
        <f>+'Well OPEX-Schedule'!AU24</f>
        <v>0</v>
      </c>
      <c r="AQ18" s="104">
        <f>+'Well OPEX-Schedule'!AV24</f>
        <v>0</v>
      </c>
      <c r="AR18" s="104">
        <f>+'Well OPEX-Schedule'!AW24</f>
        <v>0</v>
      </c>
      <c r="AS18" s="104">
        <f>+'Well OPEX-Schedule'!AX24</f>
        <v>0</v>
      </c>
      <c r="AT18" s="104">
        <f>+'Well OPEX-Schedule'!AY24</f>
        <v>0</v>
      </c>
      <c r="AU18" s="104">
        <f>+'Well OPEX-Schedule'!AZ24</f>
        <v>0</v>
      </c>
      <c r="AV18" s="104">
        <f>+'Well OPEX-Schedule'!BA24</f>
        <v>0</v>
      </c>
      <c r="AW18" s="104">
        <f>+'Well OPEX-Schedule'!BB24</f>
        <v>0</v>
      </c>
      <c r="AX18" s="104">
        <f>+'Well OPEX-Schedule'!BC24</f>
        <v>0</v>
      </c>
      <c r="AY18" s="104">
        <f>+'Well OPEX-Schedule'!BD24</f>
        <v>0</v>
      </c>
      <c r="AZ18" s="104">
        <f>+'Well OPEX-Schedule'!BE24</f>
        <v>0</v>
      </c>
      <c r="BA18" s="104">
        <f>+'Well OPEX-Schedule'!BF24</f>
        <v>0</v>
      </c>
      <c r="BB18" s="104">
        <f>+'Well OPEX-Schedule'!BG24</f>
        <v>0</v>
      </c>
      <c r="BC18" s="104">
        <f>+'Well OPEX-Schedule'!BH24</f>
        <v>0</v>
      </c>
      <c r="BD18" s="104">
        <f>+'Well OPEX-Schedule'!BI24</f>
        <v>0</v>
      </c>
      <c r="BE18" s="105">
        <f>+'Well OPEX-Schedule'!BJ24</f>
        <v>0</v>
      </c>
    </row>
    <row r="19" spans="1:57" s="31" customFormat="1">
      <c r="B19" s="20" t="s">
        <v>126</v>
      </c>
      <c r="C19" s="118"/>
      <c r="D19" s="21"/>
      <c r="E19" s="22">
        <f>+SUM(E12:E18)</f>
        <v>463</v>
      </c>
      <c r="F19" s="22">
        <f t="shared" ref="F19:BE19" si="5">+SUM(F12:F18)</f>
        <v>79</v>
      </c>
      <c r="G19" s="22">
        <f t="shared" si="5"/>
        <v>64</v>
      </c>
      <c r="H19" s="22">
        <f t="shared" si="5"/>
        <v>64</v>
      </c>
      <c r="I19" s="22">
        <f t="shared" si="5"/>
        <v>64</v>
      </c>
      <c r="J19" s="22">
        <f t="shared" si="5"/>
        <v>64</v>
      </c>
      <c r="K19" s="22">
        <f t="shared" si="5"/>
        <v>64</v>
      </c>
      <c r="L19" s="22">
        <f t="shared" si="5"/>
        <v>64</v>
      </c>
      <c r="M19" s="22">
        <f t="shared" si="5"/>
        <v>0</v>
      </c>
      <c r="N19" s="22">
        <f t="shared" si="5"/>
        <v>0</v>
      </c>
      <c r="O19" s="22">
        <f t="shared" si="5"/>
        <v>0</v>
      </c>
      <c r="P19" s="22">
        <f t="shared" si="5"/>
        <v>0</v>
      </c>
      <c r="Q19" s="22">
        <f t="shared" si="5"/>
        <v>0</v>
      </c>
      <c r="R19" s="22">
        <f t="shared" si="5"/>
        <v>0</v>
      </c>
      <c r="S19" s="22">
        <f t="shared" si="5"/>
        <v>0</v>
      </c>
      <c r="T19" s="22">
        <f t="shared" si="5"/>
        <v>0</v>
      </c>
      <c r="U19" s="22">
        <f t="shared" si="5"/>
        <v>0</v>
      </c>
      <c r="V19" s="22">
        <f t="shared" si="5"/>
        <v>0</v>
      </c>
      <c r="W19" s="22">
        <f t="shared" si="5"/>
        <v>0</v>
      </c>
      <c r="X19" s="22">
        <f t="shared" si="5"/>
        <v>0</v>
      </c>
      <c r="Y19" s="22">
        <f t="shared" si="5"/>
        <v>0</v>
      </c>
      <c r="Z19" s="22">
        <f t="shared" si="5"/>
        <v>0</v>
      </c>
      <c r="AA19" s="22">
        <f t="shared" si="5"/>
        <v>0</v>
      </c>
      <c r="AB19" s="22">
        <f t="shared" si="5"/>
        <v>0</v>
      </c>
      <c r="AC19" s="22">
        <f t="shared" si="5"/>
        <v>0</v>
      </c>
      <c r="AD19" s="22">
        <f t="shared" si="5"/>
        <v>0</v>
      </c>
      <c r="AE19" s="22">
        <f t="shared" si="5"/>
        <v>0</v>
      </c>
      <c r="AF19" s="22">
        <f t="shared" si="5"/>
        <v>0</v>
      </c>
      <c r="AG19" s="22">
        <f t="shared" si="5"/>
        <v>0</v>
      </c>
      <c r="AH19" s="22">
        <f t="shared" si="5"/>
        <v>0</v>
      </c>
      <c r="AI19" s="22">
        <f t="shared" si="5"/>
        <v>0</v>
      </c>
      <c r="AJ19" s="22">
        <f t="shared" si="5"/>
        <v>0</v>
      </c>
      <c r="AK19" s="22">
        <f t="shared" si="5"/>
        <v>0</v>
      </c>
      <c r="AL19" s="22">
        <f t="shared" si="5"/>
        <v>0</v>
      </c>
      <c r="AM19" s="22">
        <f t="shared" si="5"/>
        <v>0</v>
      </c>
      <c r="AN19" s="22">
        <f t="shared" si="5"/>
        <v>0</v>
      </c>
      <c r="AO19" s="22">
        <f t="shared" si="5"/>
        <v>0</v>
      </c>
      <c r="AP19" s="22">
        <f t="shared" si="5"/>
        <v>0</v>
      </c>
      <c r="AQ19" s="22">
        <f t="shared" si="5"/>
        <v>0</v>
      </c>
      <c r="AR19" s="22">
        <f t="shared" si="5"/>
        <v>0</v>
      </c>
      <c r="AS19" s="22">
        <f t="shared" si="5"/>
        <v>0</v>
      </c>
      <c r="AT19" s="22">
        <f t="shared" si="5"/>
        <v>0</v>
      </c>
      <c r="AU19" s="22">
        <f t="shared" si="5"/>
        <v>0</v>
      </c>
      <c r="AV19" s="22">
        <f t="shared" si="5"/>
        <v>0</v>
      </c>
      <c r="AW19" s="22">
        <f t="shared" si="5"/>
        <v>0</v>
      </c>
      <c r="AX19" s="22">
        <f t="shared" si="5"/>
        <v>0</v>
      </c>
      <c r="AY19" s="22">
        <f t="shared" si="5"/>
        <v>0</v>
      </c>
      <c r="AZ19" s="22">
        <f t="shared" si="5"/>
        <v>0</v>
      </c>
      <c r="BA19" s="22">
        <f t="shared" si="5"/>
        <v>0</v>
      </c>
      <c r="BB19" s="22">
        <f t="shared" si="5"/>
        <v>0</v>
      </c>
      <c r="BC19" s="22">
        <f t="shared" si="5"/>
        <v>0</v>
      </c>
      <c r="BD19" s="22">
        <f t="shared" si="5"/>
        <v>0</v>
      </c>
      <c r="BE19" s="22">
        <f t="shared" si="5"/>
        <v>0</v>
      </c>
    </row>
    <row r="20" spans="1:57" ht="9.9499999999999993" customHeight="1"/>
    <row r="21" spans="1:57" ht="11.25" customHeight="1">
      <c r="B21" s="258" t="s">
        <v>11</v>
      </c>
      <c r="C21" s="259"/>
      <c r="D21" s="259"/>
      <c r="E21" s="282">
        <v>1020</v>
      </c>
      <c r="F21" s="283">
        <v>42005</v>
      </c>
      <c r="G21" s="255">
        <v>42370</v>
      </c>
      <c r="H21" s="256">
        <v>42736</v>
      </c>
      <c r="I21" s="255">
        <v>43101</v>
      </c>
      <c r="J21" s="255">
        <v>43466</v>
      </c>
      <c r="K21" s="256">
        <v>43831</v>
      </c>
      <c r="L21" s="256">
        <v>44197</v>
      </c>
      <c r="M21" s="255">
        <v>44562</v>
      </c>
      <c r="N21" s="256">
        <v>44927</v>
      </c>
      <c r="O21" s="256">
        <v>45292</v>
      </c>
      <c r="P21" s="255">
        <v>45658</v>
      </c>
      <c r="Q21" s="256">
        <v>46023</v>
      </c>
      <c r="R21" s="255">
        <v>46388</v>
      </c>
      <c r="S21" s="256">
        <v>46753</v>
      </c>
      <c r="T21" s="255">
        <v>47119</v>
      </c>
      <c r="U21" s="256">
        <v>47484</v>
      </c>
      <c r="V21" s="255">
        <v>47849</v>
      </c>
      <c r="W21" s="256">
        <v>48214</v>
      </c>
      <c r="X21" s="255">
        <v>48580</v>
      </c>
      <c r="Y21" s="256">
        <v>48945</v>
      </c>
      <c r="Z21" s="255">
        <v>49310</v>
      </c>
      <c r="AA21" s="256">
        <v>49675</v>
      </c>
      <c r="AB21" s="255">
        <v>50041</v>
      </c>
      <c r="AC21" s="256">
        <v>50406</v>
      </c>
      <c r="AD21" s="255">
        <v>50771</v>
      </c>
      <c r="AE21" s="256">
        <v>51136</v>
      </c>
      <c r="AF21" s="255">
        <v>51502</v>
      </c>
      <c r="AG21" s="256">
        <v>51867</v>
      </c>
      <c r="AH21" s="255">
        <v>52232</v>
      </c>
      <c r="AI21" s="256">
        <v>52597</v>
      </c>
      <c r="AJ21" s="255">
        <v>52963</v>
      </c>
      <c r="AK21" s="256">
        <v>53328</v>
      </c>
      <c r="AL21" s="255">
        <v>53693</v>
      </c>
      <c r="AM21" s="256">
        <v>54058</v>
      </c>
      <c r="AN21" s="255">
        <v>54424</v>
      </c>
      <c r="AO21" s="256">
        <v>54789</v>
      </c>
      <c r="AP21" s="255">
        <v>55154</v>
      </c>
      <c r="AQ21" s="256">
        <v>55519</v>
      </c>
      <c r="AR21" s="255">
        <v>55885</v>
      </c>
      <c r="AS21" s="256">
        <v>56250</v>
      </c>
      <c r="AT21" s="255">
        <v>56615</v>
      </c>
      <c r="AU21" s="256">
        <v>56980</v>
      </c>
      <c r="AV21" s="255">
        <v>57346</v>
      </c>
      <c r="AW21" s="256">
        <v>57711</v>
      </c>
      <c r="AX21" s="255">
        <v>58076</v>
      </c>
      <c r="AY21" s="257">
        <v>58442</v>
      </c>
    </row>
    <row r="22" spans="1:57" s="31" customFormat="1" ht="11.25" customHeight="1">
      <c r="B22" s="271"/>
      <c r="C22" s="272"/>
      <c r="D22" s="277" t="s">
        <v>69</v>
      </c>
      <c r="E22" s="278" t="s">
        <v>70</v>
      </c>
      <c r="F22" s="284"/>
      <c r="G22" s="268"/>
      <c r="H22" s="269"/>
      <c r="I22" s="268"/>
      <c r="J22" s="268"/>
      <c r="K22" s="269"/>
      <c r="L22" s="269"/>
      <c r="M22" s="268"/>
      <c r="N22" s="269"/>
      <c r="O22" s="269"/>
      <c r="P22" s="268"/>
      <c r="Q22" s="269"/>
      <c r="R22" s="268"/>
      <c r="S22" s="269"/>
      <c r="T22" s="268"/>
      <c r="U22" s="269"/>
      <c r="V22" s="268"/>
      <c r="W22" s="269"/>
      <c r="X22" s="268"/>
      <c r="Y22" s="269"/>
      <c r="Z22" s="268"/>
      <c r="AA22" s="269"/>
      <c r="AB22" s="268"/>
      <c r="AC22" s="269"/>
      <c r="AD22" s="268"/>
      <c r="AE22" s="269"/>
      <c r="AF22" s="268"/>
      <c r="AG22" s="269"/>
      <c r="AH22" s="268"/>
      <c r="AI22" s="269"/>
      <c r="AJ22" s="268"/>
      <c r="AK22" s="269"/>
      <c r="AL22" s="268"/>
      <c r="AM22" s="269"/>
      <c r="AN22" s="268"/>
      <c r="AO22" s="269"/>
      <c r="AP22" s="268"/>
      <c r="AQ22" s="269"/>
      <c r="AR22" s="268"/>
      <c r="AS22" s="269"/>
      <c r="AT22" s="268"/>
      <c r="AU22" s="269"/>
      <c r="AV22" s="268"/>
      <c r="AW22" s="269"/>
      <c r="AX22" s="268"/>
      <c r="AY22" s="270"/>
    </row>
    <row r="23" spans="1:57">
      <c r="B23" s="273" t="s">
        <v>135</v>
      </c>
      <c r="C23" s="274" t="s">
        <v>130</v>
      </c>
      <c r="D23" s="279">
        <v>7</v>
      </c>
      <c r="E23" s="280">
        <v>1</v>
      </c>
      <c r="F23" s="287">
        <v>7</v>
      </c>
      <c r="G23" s="249">
        <f>+F23</f>
        <v>7</v>
      </c>
      <c r="H23" s="249">
        <f t="shared" ref="H23:AY23" si="6">+G23</f>
        <v>7</v>
      </c>
      <c r="I23" s="249">
        <f t="shared" si="6"/>
        <v>7</v>
      </c>
      <c r="J23" s="249">
        <f t="shared" si="6"/>
        <v>7</v>
      </c>
      <c r="K23" s="249">
        <f t="shared" si="6"/>
        <v>7</v>
      </c>
      <c r="L23" s="249">
        <f t="shared" si="6"/>
        <v>7</v>
      </c>
      <c r="M23" s="249">
        <f t="shared" si="6"/>
        <v>7</v>
      </c>
      <c r="N23" s="249">
        <f t="shared" si="6"/>
        <v>7</v>
      </c>
      <c r="O23" s="249">
        <f t="shared" si="6"/>
        <v>7</v>
      </c>
      <c r="P23" s="249">
        <f t="shared" si="6"/>
        <v>7</v>
      </c>
      <c r="Q23" s="249">
        <f t="shared" si="6"/>
        <v>7</v>
      </c>
      <c r="R23" s="249">
        <f t="shared" si="6"/>
        <v>7</v>
      </c>
      <c r="S23" s="249">
        <f t="shared" si="6"/>
        <v>7</v>
      </c>
      <c r="T23" s="249">
        <f t="shared" si="6"/>
        <v>7</v>
      </c>
      <c r="U23" s="249">
        <f t="shared" si="6"/>
        <v>7</v>
      </c>
      <c r="V23" s="249">
        <f t="shared" si="6"/>
        <v>7</v>
      </c>
      <c r="W23" s="249">
        <f t="shared" si="6"/>
        <v>7</v>
      </c>
      <c r="X23" s="249">
        <f t="shared" si="6"/>
        <v>7</v>
      </c>
      <c r="Y23" s="249">
        <f t="shared" si="6"/>
        <v>7</v>
      </c>
      <c r="Z23" s="249">
        <f t="shared" si="6"/>
        <v>7</v>
      </c>
      <c r="AA23" s="249">
        <f t="shared" si="6"/>
        <v>7</v>
      </c>
      <c r="AB23" s="249">
        <f t="shared" si="6"/>
        <v>7</v>
      </c>
      <c r="AC23" s="249">
        <f t="shared" si="6"/>
        <v>7</v>
      </c>
      <c r="AD23" s="249">
        <f t="shared" si="6"/>
        <v>7</v>
      </c>
      <c r="AE23" s="249">
        <f t="shared" si="6"/>
        <v>7</v>
      </c>
      <c r="AF23" s="249">
        <f t="shared" si="6"/>
        <v>7</v>
      </c>
      <c r="AG23" s="249">
        <f t="shared" si="6"/>
        <v>7</v>
      </c>
      <c r="AH23" s="249">
        <f t="shared" si="6"/>
        <v>7</v>
      </c>
      <c r="AI23" s="249">
        <f t="shared" si="6"/>
        <v>7</v>
      </c>
      <c r="AJ23" s="249">
        <f t="shared" si="6"/>
        <v>7</v>
      </c>
      <c r="AK23" s="249">
        <f t="shared" si="6"/>
        <v>7</v>
      </c>
      <c r="AL23" s="249">
        <f t="shared" si="6"/>
        <v>7</v>
      </c>
      <c r="AM23" s="249">
        <f t="shared" si="6"/>
        <v>7</v>
      </c>
      <c r="AN23" s="249">
        <f t="shared" si="6"/>
        <v>7</v>
      </c>
      <c r="AO23" s="249">
        <f t="shared" si="6"/>
        <v>7</v>
      </c>
      <c r="AP23" s="249">
        <f t="shared" si="6"/>
        <v>7</v>
      </c>
      <c r="AQ23" s="249">
        <f t="shared" si="6"/>
        <v>7</v>
      </c>
      <c r="AR23" s="249">
        <f t="shared" si="6"/>
        <v>7</v>
      </c>
      <c r="AS23" s="249">
        <f t="shared" si="6"/>
        <v>7</v>
      </c>
      <c r="AT23" s="249">
        <f t="shared" si="6"/>
        <v>7</v>
      </c>
      <c r="AU23" s="249">
        <f t="shared" si="6"/>
        <v>7</v>
      </c>
      <c r="AV23" s="249">
        <f t="shared" si="6"/>
        <v>7</v>
      </c>
      <c r="AW23" s="249">
        <f t="shared" si="6"/>
        <v>7</v>
      </c>
      <c r="AX23" s="249">
        <f t="shared" si="6"/>
        <v>7</v>
      </c>
      <c r="AY23" s="250">
        <f t="shared" si="6"/>
        <v>7</v>
      </c>
    </row>
    <row r="24" spans="1:57" s="13" customFormat="1">
      <c r="A24" s="31"/>
      <c r="B24" s="273" t="s">
        <v>135</v>
      </c>
      <c r="C24" s="274" t="s">
        <v>131</v>
      </c>
      <c r="D24" s="279"/>
      <c r="E24" s="279"/>
      <c r="F24" s="285">
        <f t="shared" ref="F24:AY24" si="7">+F23*$E$21</f>
        <v>7140</v>
      </c>
      <c r="G24" s="251">
        <f t="shared" si="7"/>
        <v>7140</v>
      </c>
      <c r="H24" s="251">
        <f t="shared" si="7"/>
        <v>7140</v>
      </c>
      <c r="I24" s="251">
        <f t="shared" si="7"/>
        <v>7140</v>
      </c>
      <c r="J24" s="251">
        <f t="shared" si="7"/>
        <v>7140</v>
      </c>
      <c r="K24" s="251">
        <f t="shared" si="7"/>
        <v>7140</v>
      </c>
      <c r="L24" s="251">
        <f t="shared" si="7"/>
        <v>7140</v>
      </c>
      <c r="M24" s="251">
        <f t="shared" si="7"/>
        <v>7140</v>
      </c>
      <c r="N24" s="251">
        <f t="shared" si="7"/>
        <v>7140</v>
      </c>
      <c r="O24" s="251">
        <f t="shared" si="7"/>
        <v>7140</v>
      </c>
      <c r="P24" s="251">
        <f t="shared" si="7"/>
        <v>7140</v>
      </c>
      <c r="Q24" s="251">
        <f t="shared" si="7"/>
        <v>7140</v>
      </c>
      <c r="R24" s="251">
        <f t="shared" si="7"/>
        <v>7140</v>
      </c>
      <c r="S24" s="251">
        <f t="shared" si="7"/>
        <v>7140</v>
      </c>
      <c r="T24" s="251">
        <f t="shared" si="7"/>
        <v>7140</v>
      </c>
      <c r="U24" s="251">
        <f t="shared" si="7"/>
        <v>7140</v>
      </c>
      <c r="V24" s="251">
        <f t="shared" si="7"/>
        <v>7140</v>
      </c>
      <c r="W24" s="251">
        <f t="shared" si="7"/>
        <v>7140</v>
      </c>
      <c r="X24" s="251">
        <f t="shared" si="7"/>
        <v>7140</v>
      </c>
      <c r="Y24" s="251">
        <f t="shared" si="7"/>
        <v>7140</v>
      </c>
      <c r="Z24" s="251">
        <f t="shared" si="7"/>
        <v>7140</v>
      </c>
      <c r="AA24" s="251">
        <f t="shared" si="7"/>
        <v>7140</v>
      </c>
      <c r="AB24" s="251">
        <f t="shared" si="7"/>
        <v>7140</v>
      </c>
      <c r="AC24" s="251">
        <f t="shared" si="7"/>
        <v>7140</v>
      </c>
      <c r="AD24" s="251">
        <f t="shared" si="7"/>
        <v>7140</v>
      </c>
      <c r="AE24" s="251">
        <f t="shared" si="7"/>
        <v>7140</v>
      </c>
      <c r="AF24" s="251">
        <f t="shared" si="7"/>
        <v>7140</v>
      </c>
      <c r="AG24" s="251">
        <f t="shared" si="7"/>
        <v>7140</v>
      </c>
      <c r="AH24" s="251">
        <f t="shared" si="7"/>
        <v>7140</v>
      </c>
      <c r="AI24" s="251">
        <f t="shared" si="7"/>
        <v>7140</v>
      </c>
      <c r="AJ24" s="251">
        <f t="shared" si="7"/>
        <v>7140</v>
      </c>
      <c r="AK24" s="251">
        <f t="shared" si="7"/>
        <v>7140</v>
      </c>
      <c r="AL24" s="251">
        <f t="shared" si="7"/>
        <v>7140</v>
      </c>
      <c r="AM24" s="251">
        <f t="shared" si="7"/>
        <v>7140</v>
      </c>
      <c r="AN24" s="251">
        <f t="shared" si="7"/>
        <v>7140</v>
      </c>
      <c r="AO24" s="251">
        <f t="shared" si="7"/>
        <v>7140</v>
      </c>
      <c r="AP24" s="251">
        <f t="shared" si="7"/>
        <v>7140</v>
      </c>
      <c r="AQ24" s="251">
        <f t="shared" si="7"/>
        <v>7140</v>
      </c>
      <c r="AR24" s="251">
        <f t="shared" si="7"/>
        <v>7140</v>
      </c>
      <c r="AS24" s="251">
        <f t="shared" si="7"/>
        <v>7140</v>
      </c>
      <c r="AT24" s="251">
        <f t="shared" si="7"/>
        <v>7140</v>
      </c>
      <c r="AU24" s="251">
        <f t="shared" si="7"/>
        <v>7140</v>
      </c>
      <c r="AV24" s="251">
        <f t="shared" si="7"/>
        <v>7140</v>
      </c>
      <c r="AW24" s="251">
        <f t="shared" si="7"/>
        <v>7140</v>
      </c>
      <c r="AX24" s="251">
        <f t="shared" si="7"/>
        <v>7140</v>
      </c>
      <c r="AY24" s="252">
        <f t="shared" si="7"/>
        <v>7140</v>
      </c>
    </row>
    <row r="25" spans="1:57">
      <c r="B25" s="273" t="s">
        <v>137</v>
      </c>
      <c r="C25" s="274" t="s">
        <v>132</v>
      </c>
      <c r="D25" s="279">
        <v>73</v>
      </c>
      <c r="E25" s="279">
        <v>2</v>
      </c>
      <c r="F25" s="288">
        <v>12</v>
      </c>
      <c r="G25" s="249">
        <f>+F25</f>
        <v>12</v>
      </c>
      <c r="H25" s="249">
        <f t="shared" ref="H25:AY26" si="8">+G25</f>
        <v>12</v>
      </c>
      <c r="I25" s="249">
        <f t="shared" si="8"/>
        <v>12</v>
      </c>
      <c r="J25" s="249">
        <f t="shared" si="8"/>
        <v>12</v>
      </c>
      <c r="K25" s="249">
        <f t="shared" si="8"/>
        <v>12</v>
      </c>
      <c r="L25" s="249">
        <f t="shared" si="8"/>
        <v>12</v>
      </c>
      <c r="M25" s="249">
        <f t="shared" si="8"/>
        <v>12</v>
      </c>
      <c r="N25" s="249">
        <f t="shared" si="8"/>
        <v>12</v>
      </c>
      <c r="O25" s="249">
        <f t="shared" si="8"/>
        <v>12</v>
      </c>
      <c r="P25" s="249">
        <f t="shared" si="8"/>
        <v>12</v>
      </c>
      <c r="Q25" s="249">
        <f t="shared" si="8"/>
        <v>12</v>
      </c>
      <c r="R25" s="249">
        <f t="shared" si="8"/>
        <v>12</v>
      </c>
      <c r="S25" s="249">
        <f t="shared" si="8"/>
        <v>12</v>
      </c>
      <c r="T25" s="249">
        <f t="shared" si="8"/>
        <v>12</v>
      </c>
      <c r="U25" s="249">
        <f t="shared" si="8"/>
        <v>12</v>
      </c>
      <c r="V25" s="249">
        <f t="shared" si="8"/>
        <v>12</v>
      </c>
      <c r="W25" s="249">
        <f t="shared" si="8"/>
        <v>12</v>
      </c>
      <c r="X25" s="249">
        <f t="shared" si="8"/>
        <v>12</v>
      </c>
      <c r="Y25" s="249">
        <f t="shared" si="8"/>
        <v>12</v>
      </c>
      <c r="Z25" s="249">
        <f t="shared" si="8"/>
        <v>12</v>
      </c>
      <c r="AA25" s="249">
        <f t="shared" si="8"/>
        <v>12</v>
      </c>
      <c r="AB25" s="249">
        <f t="shared" si="8"/>
        <v>12</v>
      </c>
      <c r="AC25" s="249">
        <f t="shared" si="8"/>
        <v>12</v>
      </c>
      <c r="AD25" s="249">
        <f t="shared" si="8"/>
        <v>12</v>
      </c>
      <c r="AE25" s="249">
        <f t="shared" si="8"/>
        <v>12</v>
      </c>
      <c r="AF25" s="249">
        <f t="shared" si="8"/>
        <v>12</v>
      </c>
      <c r="AG25" s="249">
        <f t="shared" si="8"/>
        <v>12</v>
      </c>
      <c r="AH25" s="249">
        <f t="shared" si="8"/>
        <v>12</v>
      </c>
      <c r="AI25" s="249">
        <f t="shared" si="8"/>
        <v>12</v>
      </c>
      <c r="AJ25" s="249">
        <f t="shared" si="8"/>
        <v>12</v>
      </c>
      <c r="AK25" s="249">
        <f t="shared" si="8"/>
        <v>12</v>
      </c>
      <c r="AL25" s="249">
        <f t="shared" si="8"/>
        <v>12</v>
      </c>
      <c r="AM25" s="249">
        <f t="shared" si="8"/>
        <v>12</v>
      </c>
      <c r="AN25" s="249">
        <f t="shared" si="8"/>
        <v>12</v>
      </c>
      <c r="AO25" s="249">
        <f t="shared" si="8"/>
        <v>12</v>
      </c>
      <c r="AP25" s="249">
        <f t="shared" si="8"/>
        <v>12</v>
      </c>
      <c r="AQ25" s="249">
        <f t="shared" si="8"/>
        <v>12</v>
      </c>
      <c r="AR25" s="249">
        <f t="shared" si="8"/>
        <v>12</v>
      </c>
      <c r="AS25" s="249">
        <f t="shared" si="8"/>
        <v>12</v>
      </c>
      <c r="AT25" s="249">
        <f t="shared" si="8"/>
        <v>12</v>
      </c>
      <c r="AU25" s="249">
        <f t="shared" si="8"/>
        <v>12</v>
      </c>
      <c r="AV25" s="249">
        <f t="shared" si="8"/>
        <v>12</v>
      </c>
      <c r="AW25" s="249">
        <f t="shared" si="8"/>
        <v>12</v>
      </c>
      <c r="AX25" s="249">
        <f t="shared" si="8"/>
        <v>12</v>
      </c>
      <c r="AY25" s="250">
        <f t="shared" si="8"/>
        <v>12</v>
      </c>
    </row>
    <row r="26" spans="1:57">
      <c r="B26" s="273" t="s">
        <v>13</v>
      </c>
      <c r="C26" s="274" t="s">
        <v>132</v>
      </c>
      <c r="D26" s="279">
        <v>73</v>
      </c>
      <c r="E26" s="279">
        <v>5</v>
      </c>
      <c r="F26" s="288">
        <v>12</v>
      </c>
      <c r="G26" s="249">
        <f>+F26</f>
        <v>12</v>
      </c>
      <c r="H26" s="249">
        <f>+G26</f>
        <v>12</v>
      </c>
      <c r="I26" s="249">
        <f t="shared" si="8"/>
        <v>12</v>
      </c>
      <c r="J26" s="249">
        <f t="shared" si="8"/>
        <v>12</v>
      </c>
      <c r="K26" s="249">
        <f t="shared" si="8"/>
        <v>12</v>
      </c>
      <c r="L26" s="249">
        <f t="shared" si="8"/>
        <v>12</v>
      </c>
      <c r="M26" s="249">
        <f t="shared" si="8"/>
        <v>12</v>
      </c>
      <c r="N26" s="249">
        <f t="shared" si="8"/>
        <v>12</v>
      </c>
      <c r="O26" s="249">
        <f t="shared" si="8"/>
        <v>12</v>
      </c>
      <c r="P26" s="249">
        <f t="shared" si="8"/>
        <v>12</v>
      </c>
      <c r="Q26" s="249">
        <f t="shared" si="8"/>
        <v>12</v>
      </c>
      <c r="R26" s="249">
        <f t="shared" si="8"/>
        <v>12</v>
      </c>
      <c r="S26" s="249">
        <f t="shared" si="8"/>
        <v>12</v>
      </c>
      <c r="T26" s="249">
        <f t="shared" si="8"/>
        <v>12</v>
      </c>
      <c r="U26" s="249">
        <f t="shared" si="8"/>
        <v>12</v>
      </c>
      <c r="V26" s="249">
        <f t="shared" si="8"/>
        <v>12</v>
      </c>
      <c r="W26" s="249">
        <f t="shared" si="8"/>
        <v>12</v>
      </c>
      <c r="X26" s="249">
        <f t="shared" si="8"/>
        <v>12</v>
      </c>
      <c r="Y26" s="249">
        <f t="shared" si="8"/>
        <v>12</v>
      </c>
      <c r="Z26" s="249">
        <f t="shared" si="8"/>
        <v>12</v>
      </c>
      <c r="AA26" s="249">
        <f t="shared" si="8"/>
        <v>12</v>
      </c>
      <c r="AB26" s="249">
        <f t="shared" si="8"/>
        <v>12</v>
      </c>
      <c r="AC26" s="249">
        <f t="shared" si="8"/>
        <v>12</v>
      </c>
      <c r="AD26" s="249">
        <f t="shared" si="8"/>
        <v>12</v>
      </c>
      <c r="AE26" s="249">
        <f t="shared" si="8"/>
        <v>12</v>
      </c>
      <c r="AF26" s="249">
        <f t="shared" si="8"/>
        <v>12</v>
      </c>
      <c r="AG26" s="249">
        <f t="shared" si="8"/>
        <v>12</v>
      </c>
      <c r="AH26" s="249">
        <f t="shared" si="8"/>
        <v>12</v>
      </c>
      <c r="AI26" s="249">
        <f t="shared" si="8"/>
        <v>12</v>
      </c>
      <c r="AJ26" s="249">
        <f t="shared" si="8"/>
        <v>12</v>
      </c>
      <c r="AK26" s="249">
        <f t="shared" si="8"/>
        <v>12</v>
      </c>
      <c r="AL26" s="249">
        <f t="shared" si="8"/>
        <v>12</v>
      </c>
      <c r="AM26" s="249">
        <f t="shared" si="8"/>
        <v>12</v>
      </c>
      <c r="AN26" s="249">
        <f t="shared" si="8"/>
        <v>12</v>
      </c>
      <c r="AO26" s="249">
        <f t="shared" si="8"/>
        <v>12</v>
      </c>
      <c r="AP26" s="249">
        <f t="shared" si="8"/>
        <v>12</v>
      </c>
      <c r="AQ26" s="249">
        <f t="shared" si="8"/>
        <v>12</v>
      </c>
      <c r="AR26" s="249">
        <f t="shared" si="8"/>
        <v>12</v>
      </c>
      <c r="AS26" s="249">
        <f t="shared" si="8"/>
        <v>12</v>
      </c>
      <c r="AT26" s="249">
        <f t="shared" si="8"/>
        <v>12</v>
      </c>
      <c r="AU26" s="249">
        <f t="shared" si="8"/>
        <v>12</v>
      </c>
      <c r="AV26" s="249">
        <f t="shared" si="8"/>
        <v>12</v>
      </c>
      <c r="AW26" s="249">
        <f t="shared" si="8"/>
        <v>12</v>
      </c>
      <c r="AX26" s="249">
        <f t="shared" si="8"/>
        <v>12</v>
      </c>
      <c r="AY26" s="250">
        <f t="shared" si="8"/>
        <v>12</v>
      </c>
    </row>
    <row r="27" spans="1:57">
      <c r="B27" s="275" t="s">
        <v>3</v>
      </c>
      <c r="C27" s="276" t="s">
        <v>132</v>
      </c>
      <c r="D27" s="281"/>
      <c r="E27" s="281"/>
      <c r="F27" s="286"/>
      <c r="G27" s="253"/>
      <c r="H27" s="253"/>
      <c r="I27" s="253"/>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c r="AT27" s="253"/>
      <c r="AU27" s="253"/>
      <c r="AV27" s="253"/>
      <c r="AW27" s="253"/>
      <c r="AX27" s="253"/>
      <c r="AY27" s="254"/>
    </row>
    <row r="28" spans="1:57" ht="12.75" customHeight="1"/>
    <row r="29" spans="1:57" s="31" customFormat="1" ht="12.75" customHeight="1">
      <c r="B29" s="26"/>
      <c r="C29" s="4"/>
      <c r="D29" s="308" t="s">
        <v>141</v>
      </c>
      <c r="E29" s="309" t="s">
        <v>142</v>
      </c>
    </row>
    <row r="30" spans="1:57" s="31" customFormat="1" ht="12.75" customHeight="1">
      <c r="B30" s="313" t="s">
        <v>140</v>
      </c>
      <c r="C30" s="314">
        <v>50</v>
      </c>
      <c r="D30" s="308">
        <v>40</v>
      </c>
      <c r="E30" s="309">
        <v>50</v>
      </c>
    </row>
    <row r="31" spans="1:57" s="31" customFormat="1" ht="12.75" customHeight="1"/>
    <row r="32" spans="1:57" ht="14.25" customHeight="1">
      <c r="B32" s="248" t="s">
        <v>16</v>
      </c>
      <c r="C32" s="265"/>
      <c r="D32" s="265"/>
      <c r="E32" s="265"/>
      <c r="F32" s="350">
        <v>42005</v>
      </c>
      <c r="G32" s="255">
        <v>42370</v>
      </c>
      <c r="H32" s="256">
        <v>42736</v>
      </c>
      <c r="I32" s="255">
        <v>43101</v>
      </c>
      <c r="J32" s="255">
        <v>43466</v>
      </c>
      <c r="K32" s="256">
        <v>43831</v>
      </c>
      <c r="L32" s="256">
        <v>44197</v>
      </c>
      <c r="M32" s="255">
        <v>44562</v>
      </c>
      <c r="N32" s="256">
        <v>44927</v>
      </c>
      <c r="O32" s="256">
        <v>45292</v>
      </c>
      <c r="P32" s="255">
        <v>45658</v>
      </c>
      <c r="Q32" s="256">
        <v>46023</v>
      </c>
      <c r="R32" s="255">
        <v>46388</v>
      </c>
      <c r="S32" s="256">
        <v>46753</v>
      </c>
      <c r="T32" s="255">
        <v>47119</v>
      </c>
      <c r="U32" s="256">
        <v>47484</v>
      </c>
      <c r="V32" s="255">
        <v>47849</v>
      </c>
      <c r="W32" s="256">
        <v>48214</v>
      </c>
      <c r="X32" s="255">
        <v>48580</v>
      </c>
      <c r="Y32" s="256">
        <v>48945</v>
      </c>
      <c r="Z32" s="255">
        <v>49310</v>
      </c>
      <c r="AA32" s="256">
        <v>49675</v>
      </c>
      <c r="AB32" s="255">
        <v>50041</v>
      </c>
      <c r="AC32" s="256">
        <v>50406</v>
      </c>
      <c r="AD32" s="255">
        <v>50771</v>
      </c>
      <c r="AE32" s="256">
        <v>51136</v>
      </c>
      <c r="AF32" s="255">
        <v>51502</v>
      </c>
      <c r="AG32" s="256">
        <v>51867</v>
      </c>
      <c r="AH32" s="255">
        <v>52232</v>
      </c>
      <c r="AI32" s="256">
        <v>52597</v>
      </c>
      <c r="AJ32" s="255">
        <v>52963</v>
      </c>
      <c r="AK32" s="256">
        <v>53328</v>
      </c>
      <c r="AL32" s="255">
        <v>53693</v>
      </c>
      <c r="AM32" s="256">
        <v>54058</v>
      </c>
      <c r="AN32" s="255">
        <v>54424</v>
      </c>
      <c r="AO32" s="256">
        <v>54789</v>
      </c>
      <c r="AP32" s="255">
        <v>55154</v>
      </c>
      <c r="AQ32" s="256">
        <v>55519</v>
      </c>
      <c r="AR32" s="255">
        <v>55885</v>
      </c>
      <c r="AS32" s="256">
        <v>56250</v>
      </c>
      <c r="AT32" s="255">
        <v>56615</v>
      </c>
      <c r="AU32" s="256">
        <v>56980</v>
      </c>
      <c r="AV32" s="255">
        <v>57346</v>
      </c>
      <c r="AW32" s="256">
        <v>57711</v>
      </c>
      <c r="AX32" s="255">
        <v>58076</v>
      </c>
      <c r="AY32" s="257">
        <v>58442</v>
      </c>
    </row>
    <row r="33" spans="2:51">
      <c r="B33" s="290" t="s">
        <v>1</v>
      </c>
      <c r="C33" s="291" t="s">
        <v>133</v>
      </c>
      <c r="D33" s="291"/>
      <c r="E33" s="289">
        <f>+SUM(F33:AY33)</f>
        <v>353.27572130764901</v>
      </c>
      <c r="F33" s="351">
        <f>+F34+F35+F36+F37</f>
        <v>0</v>
      </c>
      <c r="G33" s="351">
        <f t="shared" ref="G33:AY33" si="9">+G34+G35+G36+G37</f>
        <v>0</v>
      </c>
      <c r="H33" s="351">
        <f t="shared" si="9"/>
        <v>31.029958384549477</v>
      </c>
      <c r="I33" s="351">
        <f t="shared" si="9"/>
        <v>24.66722742119169</v>
      </c>
      <c r="J33" s="351">
        <f t="shared" si="9"/>
        <v>26.121028135444465</v>
      </c>
      <c r="K33" s="351">
        <f t="shared" si="9"/>
        <v>28.143933028492754</v>
      </c>
      <c r="L33" s="351">
        <f t="shared" si="9"/>
        <v>30.057141271184243</v>
      </c>
      <c r="M33" s="351">
        <f t="shared" si="9"/>
        <v>21.656290082222014</v>
      </c>
      <c r="N33" s="351">
        <f t="shared" si="9"/>
        <v>18.752543360764221</v>
      </c>
      <c r="O33" s="351">
        <f t="shared" si="9"/>
        <v>16.928058679349718</v>
      </c>
      <c r="P33" s="351">
        <f t="shared" si="9"/>
        <v>15.513337734335099</v>
      </c>
      <c r="Q33" s="351">
        <f t="shared" si="9"/>
        <v>14.447462601039758</v>
      </c>
      <c r="R33" s="351">
        <f t="shared" si="9"/>
        <v>13.58266341972563</v>
      </c>
      <c r="S33" s="351">
        <f t="shared" si="9"/>
        <v>12.896431783201622</v>
      </c>
      <c r="T33" s="351">
        <f t="shared" si="9"/>
        <v>12.245824653223597</v>
      </c>
      <c r="U33" s="351">
        <f t="shared" si="9"/>
        <v>11.712970437460323</v>
      </c>
      <c r="V33" s="351">
        <f t="shared" si="9"/>
        <v>11.245213583518764</v>
      </c>
      <c r="W33" s="351">
        <f t="shared" si="9"/>
        <v>10.85993147904459</v>
      </c>
      <c r="X33" s="351">
        <f t="shared" si="9"/>
        <v>10.458329247606464</v>
      </c>
      <c r="Y33" s="351">
        <f t="shared" si="9"/>
        <v>10.12278847760293</v>
      </c>
      <c r="Z33" s="351">
        <f t="shared" si="9"/>
        <v>9.8178863383037651</v>
      </c>
      <c r="AA33" s="351">
        <f t="shared" si="9"/>
        <v>9.5654287643277343</v>
      </c>
      <c r="AB33" s="351">
        <f t="shared" si="9"/>
        <v>5.4550091880967093</v>
      </c>
      <c r="AC33" s="351">
        <f t="shared" si="9"/>
        <v>4.0326918890772117</v>
      </c>
      <c r="AD33" s="351">
        <f t="shared" si="9"/>
        <v>2.6516111456218607</v>
      </c>
      <c r="AE33" s="351">
        <f t="shared" si="9"/>
        <v>1.3119602022643431</v>
      </c>
      <c r="AF33" s="351">
        <f t="shared" si="9"/>
        <v>0</v>
      </c>
      <c r="AG33" s="351">
        <f t="shared" si="9"/>
        <v>0</v>
      </c>
      <c r="AH33" s="351">
        <f t="shared" si="9"/>
        <v>0</v>
      </c>
      <c r="AI33" s="351">
        <f t="shared" si="9"/>
        <v>0</v>
      </c>
      <c r="AJ33" s="351">
        <f t="shared" si="9"/>
        <v>0</v>
      </c>
      <c r="AK33" s="351">
        <f t="shared" si="9"/>
        <v>0</v>
      </c>
      <c r="AL33" s="351">
        <f t="shared" si="9"/>
        <v>0</v>
      </c>
      <c r="AM33" s="351">
        <f t="shared" si="9"/>
        <v>0</v>
      </c>
      <c r="AN33" s="351">
        <f t="shared" si="9"/>
        <v>0</v>
      </c>
      <c r="AO33" s="351">
        <f t="shared" si="9"/>
        <v>0</v>
      </c>
      <c r="AP33" s="351">
        <f t="shared" si="9"/>
        <v>0</v>
      </c>
      <c r="AQ33" s="351">
        <f t="shared" si="9"/>
        <v>0</v>
      </c>
      <c r="AR33" s="351">
        <f t="shared" si="9"/>
        <v>0</v>
      </c>
      <c r="AS33" s="351">
        <f t="shared" si="9"/>
        <v>0</v>
      </c>
      <c r="AT33" s="351">
        <f t="shared" si="9"/>
        <v>0</v>
      </c>
      <c r="AU33" s="351">
        <f t="shared" si="9"/>
        <v>0</v>
      </c>
      <c r="AV33" s="351">
        <f t="shared" si="9"/>
        <v>0</v>
      </c>
      <c r="AW33" s="351">
        <f t="shared" si="9"/>
        <v>0</v>
      </c>
      <c r="AX33" s="351">
        <f t="shared" si="9"/>
        <v>0</v>
      </c>
      <c r="AY33" s="352">
        <f t="shared" si="9"/>
        <v>0</v>
      </c>
    </row>
    <row r="34" spans="2:51">
      <c r="B34" s="205" t="s">
        <v>12</v>
      </c>
      <c r="C34" s="88" t="s">
        <v>133</v>
      </c>
      <c r="D34" s="88"/>
      <c r="E34" s="292">
        <f>+SUM(F34:AY34)</f>
        <v>335.98935425622267</v>
      </c>
      <c r="F34" s="353">
        <f>+($C$30/100)*(F24*F6*F$3)/1000000</f>
        <v>0</v>
      </c>
      <c r="G34" s="353">
        <f t="shared" ref="G34:I34" si="10">+($C$30/100)*(G24*G6*G$3)/1000000</f>
        <v>0</v>
      </c>
      <c r="H34" s="353">
        <f t="shared" si="10"/>
        <v>29.511611048818789</v>
      </c>
      <c r="I34" s="353">
        <f t="shared" si="10"/>
        <v>23.460219065889536</v>
      </c>
      <c r="J34" s="353">
        <f t="shared" ref="J34:S34" si="11">+($C$30/100)*(J24*J6*J$3)/1000000</f>
        <v>24.842882899653677</v>
      </c>
      <c r="K34" s="353">
        <f t="shared" si="11"/>
        <v>26.766803700724392</v>
      </c>
      <c r="L34" s="353">
        <f t="shared" si="11"/>
        <v>28.586395490503232</v>
      </c>
      <c r="M34" s="353">
        <f t="shared" si="11"/>
        <v>20.59661188540802</v>
      </c>
      <c r="N34" s="353">
        <f t="shared" si="11"/>
        <v>17.834950307717531</v>
      </c>
      <c r="O34" s="353">
        <f t="shared" si="11"/>
        <v>16.099740688189236</v>
      </c>
      <c r="P34" s="353">
        <f t="shared" si="11"/>
        <v>14.754244385729564</v>
      </c>
      <c r="Q34" s="353">
        <f t="shared" si="11"/>
        <v>13.740524290762165</v>
      </c>
      <c r="R34" s="353">
        <f t="shared" si="11"/>
        <v>12.918041167904118</v>
      </c>
      <c r="S34" s="353">
        <f t="shared" si="11"/>
        <v>12.265387983664764</v>
      </c>
      <c r="T34" s="353">
        <f t="shared" ref="T34:AY34" si="12">+($C$30/100)*(T24*T6*T$3)/1000000</f>
        <v>11.64661613977276</v>
      </c>
      <c r="U34" s="353">
        <f t="shared" si="12"/>
        <v>11.139835364676422</v>
      </c>
      <c r="V34" s="353">
        <f t="shared" si="12"/>
        <v>10.69496662950545</v>
      </c>
      <c r="W34" s="353">
        <f t="shared" si="12"/>
        <v>10.328537017502693</v>
      </c>
      <c r="X34" s="353">
        <f t="shared" si="12"/>
        <v>9.9465858494198827</v>
      </c>
      <c r="Y34" s="353">
        <f t="shared" si="12"/>
        <v>9.6274636458820222</v>
      </c>
      <c r="Z34" s="353">
        <f t="shared" si="12"/>
        <v>9.3374808740253226</v>
      </c>
      <c r="AA34" s="353">
        <f t="shared" si="12"/>
        <v>9.0973764679163303</v>
      </c>
      <c r="AB34" s="353">
        <f t="shared" si="12"/>
        <v>5.1880865398453615</v>
      </c>
      <c r="AC34" s="353">
        <f t="shared" si="12"/>
        <v>3.8353655855829754</v>
      </c>
      <c r="AD34" s="353">
        <f t="shared" si="12"/>
        <v>2.5218634138184748</v>
      </c>
      <c r="AE34" s="353">
        <f t="shared" si="12"/>
        <v>1.2477638133099633</v>
      </c>
      <c r="AF34" s="353">
        <f t="shared" si="12"/>
        <v>0</v>
      </c>
      <c r="AG34" s="353">
        <f t="shared" si="12"/>
        <v>0</v>
      </c>
      <c r="AH34" s="353">
        <f t="shared" si="12"/>
        <v>0</v>
      </c>
      <c r="AI34" s="353">
        <f t="shared" si="12"/>
        <v>0</v>
      </c>
      <c r="AJ34" s="353">
        <f t="shared" si="12"/>
        <v>0</v>
      </c>
      <c r="AK34" s="353">
        <f t="shared" si="12"/>
        <v>0</v>
      </c>
      <c r="AL34" s="353">
        <f t="shared" si="12"/>
        <v>0</v>
      </c>
      <c r="AM34" s="353">
        <f t="shared" si="12"/>
        <v>0</v>
      </c>
      <c r="AN34" s="353">
        <f t="shared" si="12"/>
        <v>0</v>
      </c>
      <c r="AO34" s="353">
        <f t="shared" si="12"/>
        <v>0</v>
      </c>
      <c r="AP34" s="353">
        <f t="shared" si="12"/>
        <v>0</v>
      </c>
      <c r="AQ34" s="353">
        <f t="shared" si="12"/>
        <v>0</v>
      </c>
      <c r="AR34" s="353">
        <f t="shared" si="12"/>
        <v>0</v>
      </c>
      <c r="AS34" s="353">
        <f t="shared" si="12"/>
        <v>0</v>
      </c>
      <c r="AT34" s="353">
        <f t="shared" si="12"/>
        <v>0</v>
      </c>
      <c r="AU34" s="353">
        <f t="shared" si="12"/>
        <v>0</v>
      </c>
      <c r="AV34" s="353">
        <f t="shared" si="12"/>
        <v>0</v>
      </c>
      <c r="AW34" s="353">
        <f t="shared" si="12"/>
        <v>0</v>
      </c>
      <c r="AX34" s="353">
        <f t="shared" si="12"/>
        <v>0</v>
      </c>
      <c r="AY34" s="354">
        <f t="shared" si="12"/>
        <v>0</v>
      </c>
    </row>
    <row r="35" spans="2:51">
      <c r="B35" s="47" t="s">
        <v>15</v>
      </c>
      <c r="C35" s="14" t="s">
        <v>133</v>
      </c>
      <c r="D35" s="14"/>
      <c r="E35" s="266">
        <f t="shared" ref="E35:E37" si="13">+SUM(F35:AY35)</f>
        <v>14.40530587618859</v>
      </c>
      <c r="F35" s="355">
        <f>+($C$30/100)*(F25*F7*F$3)/1000000</f>
        <v>0</v>
      </c>
      <c r="G35" s="355">
        <f t="shared" ref="G35:I35" si="14">+($C$30/100)*(G25*G7*G$3)/1000000</f>
        <v>0</v>
      </c>
      <c r="H35" s="355">
        <f>+($C$30/100)*(H25*H7*H$3)/1000000</f>
        <v>1.2652894464422395</v>
      </c>
      <c r="I35" s="355">
        <f t="shared" si="14"/>
        <v>1.0058402960851287</v>
      </c>
      <c r="J35" s="355">
        <f t="shared" ref="J35:S35" si="15">+($C$30/100)*(J25*J7*J$3)/1000000</f>
        <v>1.0651210298256593</v>
      </c>
      <c r="K35" s="355">
        <f t="shared" si="15"/>
        <v>1.1476077731403016</v>
      </c>
      <c r="L35" s="355">
        <f t="shared" si="15"/>
        <v>1.2256214839008417</v>
      </c>
      <c r="M35" s="355">
        <f t="shared" si="15"/>
        <v>0.88306516401166257</v>
      </c>
      <c r="N35" s="355">
        <f t="shared" si="15"/>
        <v>0.76466087753890966</v>
      </c>
      <c r="O35" s="355">
        <f t="shared" si="15"/>
        <v>0.69026499263373509</v>
      </c>
      <c r="P35" s="355">
        <f t="shared" si="15"/>
        <v>0.63257779050461183</v>
      </c>
      <c r="Q35" s="355">
        <f t="shared" si="15"/>
        <v>0.58911525856466163</v>
      </c>
      <c r="R35" s="355">
        <f t="shared" si="15"/>
        <v>0.55385187651792644</v>
      </c>
      <c r="S35" s="355">
        <f t="shared" si="15"/>
        <v>0.5258698329473831</v>
      </c>
      <c r="T35" s="355">
        <f t="shared" ref="T35:AY35" si="16">+($C$30/100)*(T25*T7*T$3)/1000000</f>
        <v>0.49934042787569716</v>
      </c>
      <c r="U35" s="355">
        <f t="shared" si="16"/>
        <v>0.47761256065325086</v>
      </c>
      <c r="V35" s="355">
        <f t="shared" si="16"/>
        <v>0.4585391283444285</v>
      </c>
      <c r="W35" s="355">
        <f t="shared" si="16"/>
        <v>0.4428287179515818</v>
      </c>
      <c r="X35" s="355">
        <f t="shared" si="16"/>
        <v>0.42645283182215243</v>
      </c>
      <c r="Y35" s="355">
        <f t="shared" si="16"/>
        <v>0.41277069310075554</v>
      </c>
      <c r="Z35" s="355">
        <f t="shared" si="16"/>
        <v>0.40033788689870181</v>
      </c>
      <c r="AA35" s="355">
        <f t="shared" si="16"/>
        <v>0.39004358034283704</v>
      </c>
      <c r="AB35" s="355">
        <f t="shared" si="16"/>
        <v>0.22243554020945644</v>
      </c>
      <c r="AC35" s="355">
        <f t="shared" si="16"/>
        <v>0.16443858624519703</v>
      </c>
      <c r="AD35" s="355">
        <f t="shared" si="16"/>
        <v>0.10812310983615479</v>
      </c>
      <c r="AE35" s="355">
        <f t="shared" si="16"/>
        <v>5.349699079531655E-2</v>
      </c>
      <c r="AF35" s="355">
        <f t="shared" si="16"/>
        <v>0</v>
      </c>
      <c r="AG35" s="355">
        <f t="shared" si="16"/>
        <v>0</v>
      </c>
      <c r="AH35" s="355">
        <f t="shared" si="16"/>
        <v>0</v>
      </c>
      <c r="AI35" s="355">
        <f t="shared" si="16"/>
        <v>0</v>
      </c>
      <c r="AJ35" s="355">
        <f t="shared" si="16"/>
        <v>0</v>
      </c>
      <c r="AK35" s="355">
        <f t="shared" si="16"/>
        <v>0</v>
      </c>
      <c r="AL35" s="355">
        <f t="shared" si="16"/>
        <v>0</v>
      </c>
      <c r="AM35" s="355">
        <f t="shared" si="16"/>
        <v>0</v>
      </c>
      <c r="AN35" s="355">
        <f t="shared" si="16"/>
        <v>0</v>
      </c>
      <c r="AO35" s="355">
        <f t="shared" si="16"/>
        <v>0</v>
      </c>
      <c r="AP35" s="355">
        <f t="shared" si="16"/>
        <v>0</v>
      </c>
      <c r="AQ35" s="355">
        <f t="shared" si="16"/>
        <v>0</v>
      </c>
      <c r="AR35" s="355">
        <f t="shared" si="16"/>
        <v>0</v>
      </c>
      <c r="AS35" s="355">
        <f t="shared" si="16"/>
        <v>0</v>
      </c>
      <c r="AT35" s="355">
        <f t="shared" si="16"/>
        <v>0</v>
      </c>
      <c r="AU35" s="355">
        <f t="shared" si="16"/>
        <v>0</v>
      </c>
      <c r="AV35" s="355">
        <f t="shared" si="16"/>
        <v>0</v>
      </c>
      <c r="AW35" s="355">
        <f t="shared" si="16"/>
        <v>0</v>
      </c>
      <c r="AX35" s="355">
        <f t="shared" si="16"/>
        <v>0</v>
      </c>
      <c r="AY35" s="356">
        <f t="shared" si="16"/>
        <v>0</v>
      </c>
    </row>
    <row r="36" spans="2:51">
      <c r="B36" s="93" t="s">
        <v>13</v>
      </c>
      <c r="C36" s="18" t="s">
        <v>133</v>
      </c>
      <c r="D36" s="18"/>
      <c r="E36" s="266">
        <f t="shared" si="13"/>
        <v>2.8810611752377184</v>
      </c>
      <c r="F36" s="355">
        <f>+($C$30/100)*(F26*F8*F$3)/1000000</f>
        <v>0</v>
      </c>
      <c r="G36" s="355">
        <f t="shared" ref="G36:I36" si="17">+($C$30/100)*(G26*G8*G$3)/1000000</f>
        <v>0</v>
      </c>
      <c r="H36" s="355">
        <f t="shared" si="17"/>
        <v>0.25305788928844786</v>
      </c>
      <c r="I36" s="355">
        <f t="shared" si="17"/>
        <v>0.20116805921702574</v>
      </c>
      <c r="J36" s="355">
        <f t="shared" ref="J36:S36" si="18">+($C$30/100)*(J26*J8*J$3)/1000000</f>
        <v>0.21302420596513186</v>
      </c>
      <c r="K36" s="355">
        <f t="shared" si="18"/>
        <v>0.22952155462806034</v>
      </c>
      <c r="L36" s="355">
        <f t="shared" si="18"/>
        <v>0.24512429678016834</v>
      </c>
      <c r="M36" s="355">
        <f t="shared" si="18"/>
        <v>0.17661303280233254</v>
      </c>
      <c r="N36" s="355">
        <f t="shared" si="18"/>
        <v>0.15293217550778196</v>
      </c>
      <c r="O36" s="355">
        <f t="shared" si="18"/>
        <v>0.13805299852674702</v>
      </c>
      <c r="P36" s="355">
        <f t="shared" si="18"/>
        <v>0.12651555810092238</v>
      </c>
      <c r="Q36" s="355">
        <f t="shared" si="18"/>
        <v>0.11782305171293231</v>
      </c>
      <c r="R36" s="355">
        <f t="shared" si="18"/>
        <v>0.11077037530358529</v>
      </c>
      <c r="S36" s="355">
        <f t="shared" si="18"/>
        <v>0.10517396658947661</v>
      </c>
      <c r="T36" s="355">
        <f t="shared" ref="T36:AY36" si="19">+($C$30/100)*(T26*T8*T$3)/1000000</f>
        <v>9.9868085575139431E-2</v>
      </c>
      <c r="U36" s="355">
        <f t="shared" si="19"/>
        <v>9.5522512130650161E-2</v>
      </c>
      <c r="V36" s="355">
        <f t="shared" si="19"/>
        <v>9.1707825668885676E-2</v>
      </c>
      <c r="W36" s="355">
        <f t="shared" si="19"/>
        <v>8.8565743590316368E-2</v>
      </c>
      <c r="X36" s="355">
        <f t="shared" si="19"/>
        <v>8.5290566364430484E-2</v>
      </c>
      <c r="Y36" s="355">
        <f t="shared" si="19"/>
        <v>8.255413862015111E-2</v>
      </c>
      <c r="Z36" s="355">
        <f t="shared" si="19"/>
        <v>8.0067577379740379E-2</v>
      </c>
      <c r="AA36" s="355">
        <f t="shared" si="19"/>
        <v>7.8008716068567407E-2</v>
      </c>
      <c r="AB36" s="355">
        <f t="shared" si="19"/>
        <v>4.448710804189128E-2</v>
      </c>
      <c r="AC36" s="355">
        <f t="shared" si="19"/>
        <v>3.2887717249039411E-2</v>
      </c>
      <c r="AD36" s="355">
        <f t="shared" si="19"/>
        <v>2.1624621967230959E-2</v>
      </c>
      <c r="AE36" s="355">
        <f t="shared" si="19"/>
        <v>1.069939815906331E-2</v>
      </c>
      <c r="AF36" s="355">
        <f t="shared" si="19"/>
        <v>0</v>
      </c>
      <c r="AG36" s="355">
        <f t="shared" si="19"/>
        <v>0</v>
      </c>
      <c r="AH36" s="355">
        <f t="shared" si="19"/>
        <v>0</v>
      </c>
      <c r="AI36" s="355">
        <f t="shared" si="19"/>
        <v>0</v>
      </c>
      <c r="AJ36" s="355">
        <f t="shared" si="19"/>
        <v>0</v>
      </c>
      <c r="AK36" s="355">
        <f t="shared" si="19"/>
        <v>0</v>
      </c>
      <c r="AL36" s="355">
        <f t="shared" si="19"/>
        <v>0</v>
      </c>
      <c r="AM36" s="355">
        <f t="shared" si="19"/>
        <v>0</v>
      </c>
      <c r="AN36" s="355">
        <f t="shared" si="19"/>
        <v>0</v>
      </c>
      <c r="AO36" s="355">
        <f t="shared" si="19"/>
        <v>0</v>
      </c>
      <c r="AP36" s="355">
        <f t="shared" si="19"/>
        <v>0</v>
      </c>
      <c r="AQ36" s="355">
        <f t="shared" si="19"/>
        <v>0</v>
      </c>
      <c r="AR36" s="355">
        <f t="shared" si="19"/>
        <v>0</v>
      </c>
      <c r="AS36" s="355">
        <f t="shared" si="19"/>
        <v>0</v>
      </c>
      <c r="AT36" s="355">
        <f t="shared" si="19"/>
        <v>0</v>
      </c>
      <c r="AU36" s="355">
        <f t="shared" si="19"/>
        <v>0</v>
      </c>
      <c r="AV36" s="355">
        <f t="shared" si="19"/>
        <v>0</v>
      </c>
      <c r="AW36" s="355">
        <f t="shared" si="19"/>
        <v>0</v>
      </c>
      <c r="AX36" s="355">
        <f t="shared" si="19"/>
        <v>0</v>
      </c>
      <c r="AY36" s="356">
        <f t="shared" si="19"/>
        <v>0</v>
      </c>
    </row>
    <row r="37" spans="2:51">
      <c r="B37" s="95" t="s">
        <v>3</v>
      </c>
      <c r="C37" s="117" t="s">
        <v>133</v>
      </c>
      <c r="D37" s="117"/>
      <c r="E37" s="267">
        <f t="shared" si="13"/>
        <v>0</v>
      </c>
      <c r="F37" s="357">
        <f>+($C$30/100)*(F27*F9*F$3)/1000000</f>
        <v>0</v>
      </c>
      <c r="G37" s="357">
        <f t="shared" ref="G37:I37" si="20">+($C$30/100)*(G27*G9*G$3)/1000000</f>
        <v>0</v>
      </c>
      <c r="H37" s="357">
        <f t="shared" si="20"/>
        <v>0</v>
      </c>
      <c r="I37" s="357">
        <f t="shared" si="20"/>
        <v>0</v>
      </c>
      <c r="J37" s="357">
        <f t="shared" ref="J37:S37" si="21">+($C$30/100)*(J27*J9*J$3)/1000000</f>
        <v>0</v>
      </c>
      <c r="K37" s="357">
        <f t="shared" si="21"/>
        <v>0</v>
      </c>
      <c r="L37" s="357">
        <f t="shared" si="21"/>
        <v>0</v>
      </c>
      <c r="M37" s="357">
        <f t="shared" si="21"/>
        <v>0</v>
      </c>
      <c r="N37" s="357">
        <f t="shared" si="21"/>
        <v>0</v>
      </c>
      <c r="O37" s="357">
        <f t="shared" si="21"/>
        <v>0</v>
      </c>
      <c r="P37" s="357">
        <f t="shared" si="21"/>
        <v>0</v>
      </c>
      <c r="Q37" s="357">
        <f t="shared" si="21"/>
        <v>0</v>
      </c>
      <c r="R37" s="357">
        <f t="shared" si="21"/>
        <v>0</v>
      </c>
      <c r="S37" s="357">
        <f t="shared" si="21"/>
        <v>0</v>
      </c>
      <c r="T37" s="357">
        <f t="shared" ref="T37:AY37" si="22">+($C$30/100)*(T27*T9*T$3)/1000000</f>
        <v>0</v>
      </c>
      <c r="U37" s="357">
        <f t="shared" si="22"/>
        <v>0</v>
      </c>
      <c r="V37" s="357">
        <f t="shared" si="22"/>
        <v>0</v>
      </c>
      <c r="W37" s="357">
        <f t="shared" si="22"/>
        <v>0</v>
      </c>
      <c r="X37" s="357">
        <f t="shared" si="22"/>
        <v>0</v>
      </c>
      <c r="Y37" s="357">
        <f t="shared" si="22"/>
        <v>0</v>
      </c>
      <c r="Z37" s="357">
        <f t="shared" si="22"/>
        <v>0</v>
      </c>
      <c r="AA37" s="357">
        <f t="shared" si="22"/>
        <v>0</v>
      </c>
      <c r="AB37" s="357">
        <f t="shared" si="22"/>
        <v>0</v>
      </c>
      <c r="AC37" s="357">
        <f t="shared" si="22"/>
        <v>0</v>
      </c>
      <c r="AD37" s="357">
        <f t="shared" si="22"/>
        <v>0</v>
      </c>
      <c r="AE37" s="357">
        <f t="shared" si="22"/>
        <v>0</v>
      </c>
      <c r="AF37" s="357">
        <f t="shared" si="22"/>
        <v>0</v>
      </c>
      <c r="AG37" s="357">
        <f t="shared" si="22"/>
        <v>0</v>
      </c>
      <c r="AH37" s="357">
        <f t="shared" si="22"/>
        <v>0</v>
      </c>
      <c r="AI37" s="357">
        <f t="shared" si="22"/>
        <v>0</v>
      </c>
      <c r="AJ37" s="357">
        <f t="shared" si="22"/>
        <v>0</v>
      </c>
      <c r="AK37" s="357">
        <f t="shared" si="22"/>
        <v>0</v>
      </c>
      <c r="AL37" s="357">
        <f t="shared" si="22"/>
        <v>0</v>
      </c>
      <c r="AM37" s="357">
        <f t="shared" si="22"/>
        <v>0</v>
      </c>
      <c r="AN37" s="357">
        <f t="shared" si="22"/>
        <v>0</v>
      </c>
      <c r="AO37" s="357">
        <f t="shared" si="22"/>
        <v>0</v>
      </c>
      <c r="AP37" s="357">
        <f t="shared" si="22"/>
        <v>0</v>
      </c>
      <c r="AQ37" s="357">
        <f t="shared" si="22"/>
        <v>0</v>
      </c>
      <c r="AR37" s="357">
        <f t="shared" si="22"/>
        <v>0</v>
      </c>
      <c r="AS37" s="357">
        <f t="shared" si="22"/>
        <v>0</v>
      </c>
      <c r="AT37" s="357">
        <f t="shared" si="22"/>
        <v>0</v>
      </c>
      <c r="AU37" s="357">
        <f t="shared" si="22"/>
        <v>0</v>
      </c>
      <c r="AV37" s="357">
        <f t="shared" si="22"/>
        <v>0</v>
      </c>
      <c r="AW37" s="357">
        <f t="shared" si="22"/>
        <v>0</v>
      </c>
      <c r="AX37" s="357">
        <f t="shared" si="22"/>
        <v>0</v>
      </c>
      <c r="AY37" s="358">
        <f t="shared" si="22"/>
        <v>0</v>
      </c>
    </row>
    <row r="38" spans="2:51" s="31" customFormat="1">
      <c r="B38" s="18"/>
      <c r="C38" s="18"/>
      <c r="D38" s="18"/>
      <c r="E38" s="307"/>
      <c r="F38" s="264"/>
      <c r="G38" s="264"/>
      <c r="H38" s="264"/>
      <c r="I38" s="264"/>
      <c r="J38" s="264"/>
      <c r="K38" s="264"/>
      <c r="L38" s="264"/>
      <c r="M38" s="264"/>
      <c r="N38" s="264"/>
      <c r="O38" s="264"/>
      <c r="P38" s="264"/>
      <c r="Q38" s="264"/>
      <c r="R38" s="264"/>
      <c r="S38" s="264"/>
      <c r="T38" s="264"/>
      <c r="U38" s="264"/>
      <c r="V38" s="264"/>
      <c r="W38" s="264"/>
      <c r="X38" s="264"/>
      <c r="Y38" s="264"/>
      <c r="Z38" s="264"/>
      <c r="AA38" s="264"/>
      <c r="AB38" s="264"/>
      <c r="AC38" s="264"/>
      <c r="AD38" s="264"/>
      <c r="AE38" s="264"/>
      <c r="AF38" s="264"/>
      <c r="AG38" s="264"/>
      <c r="AH38" s="264"/>
      <c r="AI38" s="264"/>
      <c r="AJ38" s="264"/>
      <c r="AK38" s="264"/>
      <c r="AL38" s="264"/>
      <c r="AM38" s="264"/>
      <c r="AN38" s="264"/>
      <c r="AO38" s="264"/>
      <c r="AP38" s="264"/>
      <c r="AQ38" s="264"/>
      <c r="AR38" s="264"/>
      <c r="AS38" s="264"/>
      <c r="AT38" s="264"/>
      <c r="AU38" s="264"/>
      <c r="AV38" s="264"/>
      <c r="AW38" s="264"/>
      <c r="AX38" s="264"/>
      <c r="AY38" s="264"/>
    </row>
    <row r="39" spans="2:51">
      <c r="B39" s="26" t="s">
        <v>20</v>
      </c>
      <c r="C39" s="4"/>
      <c r="D39" s="4" t="s">
        <v>133</v>
      </c>
      <c r="E39" s="25">
        <f>+SUM(F39:AY39)</f>
        <v>-109.72427869235106</v>
      </c>
      <c r="F39" s="27">
        <f t="shared" ref="F39:AY39" si="23">+F33-F19</f>
        <v>-79</v>
      </c>
      <c r="G39" s="27">
        <f t="shared" si="23"/>
        <v>-64</v>
      </c>
      <c r="H39" s="27">
        <f t="shared" si="23"/>
        <v>-32.970041615450526</v>
      </c>
      <c r="I39" s="27">
        <f t="shared" si="23"/>
        <v>-39.33277257880831</v>
      </c>
      <c r="J39" s="27">
        <f t="shared" si="23"/>
        <v>-37.878971864555538</v>
      </c>
      <c r="K39" s="27">
        <f t="shared" si="23"/>
        <v>-35.856066971507246</v>
      </c>
      <c r="L39" s="27">
        <f t="shared" si="23"/>
        <v>-33.942858728815757</v>
      </c>
      <c r="M39" s="27">
        <f t="shared" si="23"/>
        <v>21.656290082222014</v>
      </c>
      <c r="N39" s="27">
        <f t="shared" si="23"/>
        <v>18.752543360764221</v>
      </c>
      <c r="O39" s="27">
        <f t="shared" si="23"/>
        <v>16.928058679349718</v>
      </c>
      <c r="P39" s="27">
        <f t="shared" si="23"/>
        <v>15.513337734335099</v>
      </c>
      <c r="Q39" s="27">
        <f t="shared" si="23"/>
        <v>14.447462601039758</v>
      </c>
      <c r="R39" s="27">
        <f t="shared" si="23"/>
        <v>13.58266341972563</v>
      </c>
      <c r="S39" s="27">
        <f t="shared" si="23"/>
        <v>12.896431783201622</v>
      </c>
      <c r="T39" s="27">
        <f t="shared" si="23"/>
        <v>12.245824653223597</v>
      </c>
      <c r="U39" s="27">
        <f t="shared" si="23"/>
        <v>11.712970437460323</v>
      </c>
      <c r="V39" s="27">
        <f t="shared" si="23"/>
        <v>11.245213583518764</v>
      </c>
      <c r="W39" s="27">
        <f t="shared" si="23"/>
        <v>10.85993147904459</v>
      </c>
      <c r="X39" s="27">
        <f t="shared" si="23"/>
        <v>10.458329247606464</v>
      </c>
      <c r="Y39" s="27">
        <f t="shared" si="23"/>
        <v>10.12278847760293</v>
      </c>
      <c r="Z39" s="27">
        <f t="shared" si="23"/>
        <v>9.8178863383037651</v>
      </c>
      <c r="AA39" s="27">
        <f t="shared" si="23"/>
        <v>9.5654287643277343</v>
      </c>
      <c r="AB39" s="27">
        <f t="shared" si="23"/>
        <v>5.4550091880967093</v>
      </c>
      <c r="AC39" s="27">
        <f t="shared" si="23"/>
        <v>4.0326918890772117</v>
      </c>
      <c r="AD39" s="27">
        <f t="shared" si="23"/>
        <v>2.6516111456218607</v>
      </c>
      <c r="AE39" s="27">
        <f t="shared" si="23"/>
        <v>1.3119602022643431</v>
      </c>
      <c r="AF39" s="27">
        <f t="shared" si="23"/>
        <v>0</v>
      </c>
      <c r="AG39" s="27">
        <f t="shared" si="23"/>
        <v>0</v>
      </c>
      <c r="AH39" s="27">
        <f t="shared" si="23"/>
        <v>0</v>
      </c>
      <c r="AI39" s="27">
        <f t="shared" si="23"/>
        <v>0</v>
      </c>
      <c r="AJ39" s="27">
        <f t="shared" si="23"/>
        <v>0</v>
      </c>
      <c r="AK39" s="27">
        <f t="shared" si="23"/>
        <v>0</v>
      </c>
      <c r="AL39" s="27">
        <f t="shared" si="23"/>
        <v>0</v>
      </c>
      <c r="AM39" s="27">
        <f t="shared" si="23"/>
        <v>0</v>
      </c>
      <c r="AN39" s="27">
        <f t="shared" si="23"/>
        <v>0</v>
      </c>
      <c r="AO39" s="27">
        <f t="shared" si="23"/>
        <v>0</v>
      </c>
      <c r="AP39" s="27">
        <f t="shared" si="23"/>
        <v>0</v>
      </c>
      <c r="AQ39" s="27">
        <f t="shared" si="23"/>
        <v>0</v>
      </c>
      <c r="AR39" s="27">
        <f t="shared" si="23"/>
        <v>0</v>
      </c>
      <c r="AS39" s="27">
        <f t="shared" si="23"/>
        <v>0</v>
      </c>
      <c r="AT39" s="27">
        <f t="shared" si="23"/>
        <v>0</v>
      </c>
      <c r="AU39" s="27">
        <f t="shared" si="23"/>
        <v>0</v>
      </c>
      <c r="AV39" s="27">
        <f t="shared" si="23"/>
        <v>0</v>
      </c>
      <c r="AW39" s="27">
        <f t="shared" si="23"/>
        <v>0</v>
      </c>
      <c r="AX39" s="27">
        <f t="shared" si="23"/>
        <v>0</v>
      </c>
      <c r="AY39" s="28">
        <f t="shared" si="23"/>
        <v>0</v>
      </c>
    </row>
    <row r="40" spans="2:51">
      <c r="B40" s="29" t="s">
        <v>23</v>
      </c>
      <c r="C40" s="119"/>
      <c r="D40" s="4" t="s">
        <v>133</v>
      </c>
      <c r="E40" s="34"/>
      <c r="F40" s="27">
        <f>+F39</f>
        <v>-79</v>
      </c>
      <c r="G40" s="27">
        <f>+F40+G39</f>
        <v>-143</v>
      </c>
      <c r="H40" s="27">
        <f t="shared" ref="H40:AY40" si="24">+G40+H39</f>
        <v>-175.97004161545053</v>
      </c>
      <c r="I40" s="27">
        <f>+H40+I39</f>
        <v>-215.30281419425884</v>
      </c>
      <c r="J40" s="27">
        <f t="shared" si="24"/>
        <v>-253.1817860588144</v>
      </c>
      <c r="K40" s="27">
        <f t="shared" si="24"/>
        <v>-289.03785303032163</v>
      </c>
      <c r="L40" s="27">
        <f t="shared" si="24"/>
        <v>-322.98071175913736</v>
      </c>
      <c r="M40" s="27">
        <f>+L40+M39</f>
        <v>-301.32442167691534</v>
      </c>
      <c r="N40" s="27">
        <f>+M40+N39</f>
        <v>-282.57187831615113</v>
      </c>
      <c r="O40" s="27">
        <f t="shared" si="24"/>
        <v>-265.64381963680142</v>
      </c>
      <c r="P40" s="27">
        <f t="shared" si="24"/>
        <v>-250.13048190246633</v>
      </c>
      <c r="Q40" s="27">
        <f t="shared" si="24"/>
        <v>-235.68301930142658</v>
      </c>
      <c r="R40" s="27">
        <f t="shared" si="24"/>
        <v>-222.10035588170095</v>
      </c>
      <c r="S40" s="27">
        <f t="shared" si="24"/>
        <v>-209.20392409849933</v>
      </c>
      <c r="T40" s="27">
        <f t="shared" si="24"/>
        <v>-196.95809944527574</v>
      </c>
      <c r="U40" s="27">
        <f t="shared" si="24"/>
        <v>-185.24512900781542</v>
      </c>
      <c r="V40" s="27">
        <f t="shared" si="24"/>
        <v>-173.99991542429666</v>
      </c>
      <c r="W40" s="27">
        <f t="shared" si="24"/>
        <v>-163.13998394525208</v>
      </c>
      <c r="X40" s="27">
        <f t="shared" si="24"/>
        <v>-152.68165469764563</v>
      </c>
      <c r="Y40" s="27">
        <f t="shared" si="24"/>
        <v>-142.55886622004269</v>
      </c>
      <c r="Z40" s="27">
        <f t="shared" si="24"/>
        <v>-132.74097988173892</v>
      </c>
      <c r="AA40" s="27">
        <f t="shared" si="24"/>
        <v>-123.17555111741119</v>
      </c>
      <c r="AB40" s="27">
        <f t="shared" si="24"/>
        <v>-117.72054192931448</v>
      </c>
      <c r="AC40" s="27">
        <f t="shared" si="24"/>
        <v>-113.68785004023727</v>
      </c>
      <c r="AD40" s="27">
        <f t="shared" si="24"/>
        <v>-111.03623889461541</v>
      </c>
      <c r="AE40" s="27">
        <f t="shared" si="24"/>
        <v>-109.72427869235106</v>
      </c>
      <c r="AF40" s="27">
        <f t="shared" si="24"/>
        <v>-109.72427869235106</v>
      </c>
      <c r="AG40" s="27">
        <f t="shared" si="24"/>
        <v>-109.72427869235106</v>
      </c>
      <c r="AH40" s="27">
        <f t="shared" si="24"/>
        <v>-109.72427869235106</v>
      </c>
      <c r="AI40" s="27">
        <f t="shared" si="24"/>
        <v>-109.72427869235106</v>
      </c>
      <c r="AJ40" s="27">
        <f t="shared" si="24"/>
        <v>-109.72427869235106</v>
      </c>
      <c r="AK40" s="27">
        <f t="shared" si="24"/>
        <v>-109.72427869235106</v>
      </c>
      <c r="AL40" s="27">
        <f t="shared" si="24"/>
        <v>-109.72427869235106</v>
      </c>
      <c r="AM40" s="27">
        <f t="shared" si="24"/>
        <v>-109.72427869235106</v>
      </c>
      <c r="AN40" s="27">
        <f t="shared" si="24"/>
        <v>-109.72427869235106</v>
      </c>
      <c r="AO40" s="27">
        <f t="shared" si="24"/>
        <v>-109.72427869235106</v>
      </c>
      <c r="AP40" s="27">
        <f t="shared" si="24"/>
        <v>-109.72427869235106</v>
      </c>
      <c r="AQ40" s="27">
        <f t="shared" si="24"/>
        <v>-109.72427869235106</v>
      </c>
      <c r="AR40" s="27">
        <f t="shared" si="24"/>
        <v>-109.72427869235106</v>
      </c>
      <c r="AS40" s="27">
        <f t="shared" si="24"/>
        <v>-109.72427869235106</v>
      </c>
      <c r="AT40" s="27">
        <f t="shared" si="24"/>
        <v>-109.72427869235106</v>
      </c>
      <c r="AU40" s="27">
        <f t="shared" si="24"/>
        <v>-109.72427869235106</v>
      </c>
      <c r="AV40" s="27">
        <f t="shared" si="24"/>
        <v>-109.72427869235106</v>
      </c>
      <c r="AW40" s="27">
        <f t="shared" si="24"/>
        <v>-109.72427869235106</v>
      </c>
      <c r="AX40" s="27">
        <f t="shared" si="24"/>
        <v>-109.72427869235106</v>
      </c>
      <c r="AY40" s="28">
        <f t="shared" si="24"/>
        <v>-109.72427869235106</v>
      </c>
    </row>
    <row r="42" spans="2:51">
      <c r="F42" s="293">
        <f t="shared" ref="F42:AY42" si="25">IF(F39&gt;=0,F39,)</f>
        <v>0</v>
      </c>
      <c r="G42" s="294">
        <f t="shared" si="25"/>
        <v>0</v>
      </c>
      <c r="H42" s="294">
        <f t="shared" si="25"/>
        <v>0</v>
      </c>
      <c r="I42" s="294">
        <f t="shared" si="25"/>
        <v>0</v>
      </c>
      <c r="J42" s="294">
        <f t="shared" si="25"/>
        <v>0</v>
      </c>
      <c r="K42" s="294">
        <f t="shared" si="25"/>
        <v>0</v>
      </c>
      <c r="L42" s="294">
        <f t="shared" si="25"/>
        <v>0</v>
      </c>
      <c r="M42" s="294">
        <f t="shared" si="25"/>
        <v>21.656290082222014</v>
      </c>
      <c r="N42" s="294">
        <f t="shared" si="25"/>
        <v>18.752543360764221</v>
      </c>
      <c r="O42" s="294">
        <f t="shared" si="25"/>
        <v>16.928058679349718</v>
      </c>
      <c r="P42" s="294">
        <f t="shared" si="25"/>
        <v>15.513337734335099</v>
      </c>
      <c r="Q42" s="294">
        <f t="shared" si="25"/>
        <v>14.447462601039758</v>
      </c>
      <c r="R42" s="294">
        <f t="shared" si="25"/>
        <v>13.58266341972563</v>
      </c>
      <c r="S42" s="294">
        <f t="shared" si="25"/>
        <v>12.896431783201622</v>
      </c>
      <c r="T42" s="294">
        <f t="shared" si="25"/>
        <v>12.245824653223597</v>
      </c>
      <c r="U42" s="294">
        <f t="shared" si="25"/>
        <v>11.712970437460323</v>
      </c>
      <c r="V42" s="294">
        <f t="shared" si="25"/>
        <v>11.245213583518764</v>
      </c>
      <c r="W42" s="294">
        <f t="shared" si="25"/>
        <v>10.85993147904459</v>
      </c>
      <c r="X42" s="294">
        <f t="shared" si="25"/>
        <v>10.458329247606464</v>
      </c>
      <c r="Y42" s="294">
        <f t="shared" si="25"/>
        <v>10.12278847760293</v>
      </c>
      <c r="Z42" s="294">
        <f t="shared" si="25"/>
        <v>9.8178863383037651</v>
      </c>
      <c r="AA42" s="294">
        <f t="shared" si="25"/>
        <v>9.5654287643277343</v>
      </c>
      <c r="AB42" s="294">
        <f t="shared" si="25"/>
        <v>5.4550091880967093</v>
      </c>
      <c r="AC42" s="294">
        <f t="shared" si="25"/>
        <v>4.0326918890772117</v>
      </c>
      <c r="AD42" s="294">
        <f t="shared" si="25"/>
        <v>2.6516111456218607</v>
      </c>
      <c r="AE42" s="294">
        <f t="shared" si="25"/>
        <v>1.3119602022643431</v>
      </c>
      <c r="AF42" s="294">
        <f t="shared" si="25"/>
        <v>0</v>
      </c>
      <c r="AG42" s="294">
        <f t="shared" si="25"/>
        <v>0</v>
      </c>
      <c r="AH42" s="294">
        <f t="shared" si="25"/>
        <v>0</v>
      </c>
      <c r="AI42" s="294">
        <f t="shared" si="25"/>
        <v>0</v>
      </c>
      <c r="AJ42" s="294">
        <f t="shared" si="25"/>
        <v>0</v>
      </c>
      <c r="AK42" s="294">
        <f t="shared" si="25"/>
        <v>0</v>
      </c>
      <c r="AL42" s="294">
        <f t="shared" si="25"/>
        <v>0</v>
      </c>
      <c r="AM42" s="294">
        <f t="shared" si="25"/>
        <v>0</v>
      </c>
      <c r="AN42" s="294">
        <f t="shared" si="25"/>
        <v>0</v>
      </c>
      <c r="AO42" s="294">
        <f t="shared" si="25"/>
        <v>0</v>
      </c>
      <c r="AP42" s="294">
        <f t="shared" si="25"/>
        <v>0</v>
      </c>
      <c r="AQ42" s="294">
        <f t="shared" si="25"/>
        <v>0</v>
      </c>
      <c r="AR42" s="294">
        <f t="shared" si="25"/>
        <v>0</v>
      </c>
      <c r="AS42" s="294">
        <f t="shared" si="25"/>
        <v>0</v>
      </c>
      <c r="AT42" s="294">
        <f t="shared" si="25"/>
        <v>0</v>
      </c>
      <c r="AU42" s="294">
        <f t="shared" si="25"/>
        <v>0</v>
      </c>
      <c r="AV42" s="294">
        <f t="shared" si="25"/>
        <v>0</v>
      </c>
      <c r="AW42" s="294">
        <f t="shared" si="25"/>
        <v>0</v>
      </c>
      <c r="AX42" s="294">
        <f t="shared" si="25"/>
        <v>0</v>
      </c>
      <c r="AY42" s="295">
        <f t="shared" si="25"/>
        <v>0</v>
      </c>
    </row>
    <row r="43" spans="2:51">
      <c r="B43" t="s">
        <v>19</v>
      </c>
      <c r="D43" s="161">
        <v>10</v>
      </c>
      <c r="E43" t="s">
        <v>100</v>
      </c>
      <c r="F43" s="296">
        <f t="shared" ref="F43:AY43" si="26">IF(F39&lt;0,F39,)</f>
        <v>-79</v>
      </c>
      <c r="G43" s="297">
        <f t="shared" si="26"/>
        <v>-64</v>
      </c>
      <c r="H43" s="297">
        <f t="shared" si="26"/>
        <v>-32.970041615450526</v>
      </c>
      <c r="I43" s="297">
        <f t="shared" si="26"/>
        <v>-39.33277257880831</v>
      </c>
      <c r="J43" s="297">
        <f t="shared" si="26"/>
        <v>-37.878971864555538</v>
      </c>
      <c r="K43" s="297">
        <f t="shared" si="26"/>
        <v>-35.856066971507246</v>
      </c>
      <c r="L43" s="297">
        <f t="shared" si="26"/>
        <v>-33.942858728815757</v>
      </c>
      <c r="M43" s="297">
        <f t="shared" si="26"/>
        <v>0</v>
      </c>
      <c r="N43" s="297">
        <f t="shared" si="26"/>
        <v>0</v>
      </c>
      <c r="O43" s="297">
        <f t="shared" si="26"/>
        <v>0</v>
      </c>
      <c r="P43" s="297">
        <f t="shared" si="26"/>
        <v>0</v>
      </c>
      <c r="Q43" s="297">
        <f t="shared" si="26"/>
        <v>0</v>
      </c>
      <c r="R43" s="297">
        <f t="shared" si="26"/>
        <v>0</v>
      </c>
      <c r="S43" s="297">
        <f t="shared" si="26"/>
        <v>0</v>
      </c>
      <c r="T43" s="297">
        <f t="shared" si="26"/>
        <v>0</v>
      </c>
      <c r="U43" s="297">
        <f t="shared" si="26"/>
        <v>0</v>
      </c>
      <c r="V43" s="297">
        <f t="shared" si="26"/>
        <v>0</v>
      </c>
      <c r="W43" s="297">
        <f t="shared" si="26"/>
        <v>0</v>
      </c>
      <c r="X43" s="297">
        <f t="shared" si="26"/>
        <v>0</v>
      </c>
      <c r="Y43" s="297">
        <f t="shared" si="26"/>
        <v>0</v>
      </c>
      <c r="Z43" s="297">
        <f t="shared" si="26"/>
        <v>0</v>
      </c>
      <c r="AA43" s="297">
        <f t="shared" si="26"/>
        <v>0</v>
      </c>
      <c r="AB43" s="297">
        <f t="shared" si="26"/>
        <v>0</v>
      </c>
      <c r="AC43" s="297">
        <f t="shared" si="26"/>
        <v>0</v>
      </c>
      <c r="AD43" s="297">
        <f t="shared" si="26"/>
        <v>0</v>
      </c>
      <c r="AE43" s="297">
        <f t="shared" si="26"/>
        <v>0</v>
      </c>
      <c r="AF43" s="297">
        <f t="shared" si="26"/>
        <v>0</v>
      </c>
      <c r="AG43" s="297">
        <f t="shared" si="26"/>
        <v>0</v>
      </c>
      <c r="AH43" s="297">
        <f t="shared" si="26"/>
        <v>0</v>
      </c>
      <c r="AI43" s="297">
        <f t="shared" si="26"/>
        <v>0</v>
      </c>
      <c r="AJ43" s="297">
        <f t="shared" si="26"/>
        <v>0</v>
      </c>
      <c r="AK43" s="297">
        <f t="shared" si="26"/>
        <v>0</v>
      </c>
      <c r="AL43" s="297">
        <f t="shared" si="26"/>
        <v>0</v>
      </c>
      <c r="AM43" s="297">
        <f t="shared" si="26"/>
        <v>0</v>
      </c>
      <c r="AN43" s="297">
        <f t="shared" si="26"/>
        <v>0</v>
      </c>
      <c r="AO43" s="297">
        <f t="shared" si="26"/>
        <v>0</v>
      </c>
      <c r="AP43" s="297">
        <f t="shared" si="26"/>
        <v>0</v>
      </c>
      <c r="AQ43" s="297">
        <f t="shared" si="26"/>
        <v>0</v>
      </c>
      <c r="AR43" s="297">
        <f t="shared" si="26"/>
        <v>0</v>
      </c>
      <c r="AS43" s="297">
        <f t="shared" si="26"/>
        <v>0</v>
      </c>
      <c r="AT43" s="297">
        <f t="shared" si="26"/>
        <v>0</v>
      </c>
      <c r="AU43" s="297">
        <f t="shared" si="26"/>
        <v>0</v>
      </c>
      <c r="AV43" s="297">
        <f t="shared" si="26"/>
        <v>0</v>
      </c>
      <c r="AW43" s="297">
        <f t="shared" si="26"/>
        <v>0</v>
      </c>
      <c r="AX43" s="297">
        <f t="shared" si="26"/>
        <v>0</v>
      </c>
      <c r="AY43" s="298">
        <f t="shared" si="26"/>
        <v>0</v>
      </c>
    </row>
    <row r="44" spans="2:51">
      <c r="B44" t="s">
        <v>17</v>
      </c>
      <c r="D44" s="1">
        <f>+NPV(D43/100,G39:AY39)+F39</f>
        <v>-196.70435241506217</v>
      </c>
      <c r="E44" t="s">
        <v>133</v>
      </c>
      <c r="F44" s="299">
        <f>+F32</f>
        <v>42005</v>
      </c>
      <c r="G44" s="300">
        <f>+G32</f>
        <v>42370</v>
      </c>
      <c r="H44" s="300">
        <f>+H32</f>
        <v>42736</v>
      </c>
      <c r="I44" s="300">
        <f t="shared" ref="I44:AY44" si="27">IF(I33&gt;0,I32,#N/A)</f>
        <v>43101</v>
      </c>
      <c r="J44" s="300">
        <f t="shared" si="27"/>
        <v>43466</v>
      </c>
      <c r="K44" s="300">
        <f t="shared" si="27"/>
        <v>43831</v>
      </c>
      <c r="L44" s="300">
        <f t="shared" si="27"/>
        <v>44197</v>
      </c>
      <c r="M44" s="300">
        <f t="shared" si="27"/>
        <v>44562</v>
      </c>
      <c r="N44" s="300">
        <f t="shared" si="27"/>
        <v>44927</v>
      </c>
      <c r="O44" s="300">
        <f t="shared" si="27"/>
        <v>45292</v>
      </c>
      <c r="P44" s="300">
        <f t="shared" si="27"/>
        <v>45658</v>
      </c>
      <c r="Q44" s="300">
        <f t="shared" si="27"/>
        <v>46023</v>
      </c>
      <c r="R44" s="300">
        <f t="shared" si="27"/>
        <v>46388</v>
      </c>
      <c r="S44" s="300">
        <f t="shared" si="27"/>
        <v>46753</v>
      </c>
      <c r="T44" s="300">
        <f t="shared" si="27"/>
        <v>47119</v>
      </c>
      <c r="U44" s="300">
        <f t="shared" si="27"/>
        <v>47484</v>
      </c>
      <c r="V44" s="300">
        <f t="shared" si="27"/>
        <v>47849</v>
      </c>
      <c r="W44" s="300">
        <f t="shared" si="27"/>
        <v>48214</v>
      </c>
      <c r="X44" s="300">
        <f t="shared" si="27"/>
        <v>48580</v>
      </c>
      <c r="Y44" s="300">
        <f t="shared" si="27"/>
        <v>48945</v>
      </c>
      <c r="Z44" s="300">
        <f t="shared" si="27"/>
        <v>49310</v>
      </c>
      <c r="AA44" s="300">
        <f t="shared" si="27"/>
        <v>49675</v>
      </c>
      <c r="AB44" s="300">
        <f t="shared" si="27"/>
        <v>50041</v>
      </c>
      <c r="AC44" s="300">
        <f t="shared" si="27"/>
        <v>50406</v>
      </c>
      <c r="AD44" s="300">
        <f t="shared" si="27"/>
        <v>50771</v>
      </c>
      <c r="AE44" s="300">
        <f t="shared" si="27"/>
        <v>51136</v>
      </c>
      <c r="AF44" s="300" t="e">
        <f t="shared" si="27"/>
        <v>#N/A</v>
      </c>
      <c r="AG44" s="300" t="e">
        <f t="shared" si="27"/>
        <v>#N/A</v>
      </c>
      <c r="AH44" s="300" t="e">
        <f t="shared" si="27"/>
        <v>#N/A</v>
      </c>
      <c r="AI44" s="300" t="e">
        <f t="shared" si="27"/>
        <v>#N/A</v>
      </c>
      <c r="AJ44" s="300" t="e">
        <f t="shared" si="27"/>
        <v>#N/A</v>
      </c>
      <c r="AK44" s="300" t="e">
        <f t="shared" si="27"/>
        <v>#N/A</v>
      </c>
      <c r="AL44" s="300" t="e">
        <f t="shared" si="27"/>
        <v>#N/A</v>
      </c>
      <c r="AM44" s="300" t="e">
        <f t="shared" si="27"/>
        <v>#N/A</v>
      </c>
      <c r="AN44" s="300" t="e">
        <f t="shared" si="27"/>
        <v>#N/A</v>
      </c>
      <c r="AO44" s="300" t="e">
        <f t="shared" si="27"/>
        <v>#N/A</v>
      </c>
      <c r="AP44" s="300" t="e">
        <f t="shared" si="27"/>
        <v>#N/A</v>
      </c>
      <c r="AQ44" s="300" t="e">
        <f t="shared" si="27"/>
        <v>#N/A</v>
      </c>
      <c r="AR44" s="300" t="e">
        <f t="shared" si="27"/>
        <v>#N/A</v>
      </c>
      <c r="AS44" s="300" t="e">
        <f t="shared" si="27"/>
        <v>#N/A</v>
      </c>
      <c r="AT44" s="300" t="e">
        <f t="shared" si="27"/>
        <v>#N/A</v>
      </c>
      <c r="AU44" s="300" t="e">
        <f t="shared" si="27"/>
        <v>#N/A</v>
      </c>
      <c r="AV44" s="300" t="e">
        <f t="shared" si="27"/>
        <v>#N/A</v>
      </c>
      <c r="AW44" s="300" t="e">
        <f t="shared" si="27"/>
        <v>#N/A</v>
      </c>
      <c r="AX44" s="300" t="e">
        <f t="shared" si="27"/>
        <v>#N/A</v>
      </c>
      <c r="AY44" s="301" t="e">
        <f t="shared" si="27"/>
        <v>#N/A</v>
      </c>
    </row>
    <row r="45" spans="2:51">
      <c r="B45" t="s">
        <v>18</v>
      </c>
      <c r="D45" s="23">
        <f>+IRR(F39:AY39,0.1)</f>
        <v>-3.5384672346997048E-2</v>
      </c>
      <c r="F45" s="296">
        <f t="shared" ref="F45:AY45" si="28">IF(F40&gt;=0,F40,)</f>
        <v>0</v>
      </c>
      <c r="G45" s="297">
        <f t="shared" si="28"/>
        <v>0</v>
      </c>
      <c r="H45" s="297">
        <f t="shared" si="28"/>
        <v>0</v>
      </c>
      <c r="I45" s="297">
        <f t="shared" si="28"/>
        <v>0</v>
      </c>
      <c r="J45" s="297">
        <f t="shared" si="28"/>
        <v>0</v>
      </c>
      <c r="K45" s="297">
        <f t="shared" si="28"/>
        <v>0</v>
      </c>
      <c r="L45" s="297">
        <f t="shared" si="28"/>
        <v>0</v>
      </c>
      <c r="M45" s="297">
        <f t="shared" si="28"/>
        <v>0</v>
      </c>
      <c r="N45" s="297">
        <f t="shared" si="28"/>
        <v>0</v>
      </c>
      <c r="O45" s="297">
        <f t="shared" si="28"/>
        <v>0</v>
      </c>
      <c r="P45" s="297">
        <f t="shared" si="28"/>
        <v>0</v>
      </c>
      <c r="Q45" s="297">
        <f t="shared" si="28"/>
        <v>0</v>
      </c>
      <c r="R45" s="297">
        <f t="shared" si="28"/>
        <v>0</v>
      </c>
      <c r="S45" s="297">
        <f t="shared" si="28"/>
        <v>0</v>
      </c>
      <c r="T45" s="297">
        <f t="shared" si="28"/>
        <v>0</v>
      </c>
      <c r="U45" s="297">
        <f t="shared" si="28"/>
        <v>0</v>
      </c>
      <c r="V45" s="297">
        <f t="shared" si="28"/>
        <v>0</v>
      </c>
      <c r="W45" s="297">
        <f t="shared" si="28"/>
        <v>0</v>
      </c>
      <c r="X45" s="297">
        <f t="shared" si="28"/>
        <v>0</v>
      </c>
      <c r="Y45" s="297">
        <f t="shared" si="28"/>
        <v>0</v>
      </c>
      <c r="Z45" s="297">
        <f t="shared" si="28"/>
        <v>0</v>
      </c>
      <c r="AA45" s="297">
        <f t="shared" si="28"/>
        <v>0</v>
      </c>
      <c r="AB45" s="297">
        <f t="shared" si="28"/>
        <v>0</v>
      </c>
      <c r="AC45" s="297">
        <f t="shared" si="28"/>
        <v>0</v>
      </c>
      <c r="AD45" s="297">
        <f t="shared" si="28"/>
        <v>0</v>
      </c>
      <c r="AE45" s="297">
        <f t="shared" si="28"/>
        <v>0</v>
      </c>
      <c r="AF45" s="297">
        <f t="shared" si="28"/>
        <v>0</v>
      </c>
      <c r="AG45" s="297">
        <f t="shared" si="28"/>
        <v>0</v>
      </c>
      <c r="AH45" s="297">
        <f t="shared" si="28"/>
        <v>0</v>
      </c>
      <c r="AI45" s="297">
        <f t="shared" si="28"/>
        <v>0</v>
      </c>
      <c r="AJ45" s="297">
        <f t="shared" si="28"/>
        <v>0</v>
      </c>
      <c r="AK45" s="297">
        <f t="shared" si="28"/>
        <v>0</v>
      </c>
      <c r="AL45" s="297">
        <f t="shared" si="28"/>
        <v>0</v>
      </c>
      <c r="AM45" s="297">
        <f t="shared" si="28"/>
        <v>0</v>
      </c>
      <c r="AN45" s="297">
        <f t="shared" si="28"/>
        <v>0</v>
      </c>
      <c r="AO45" s="297">
        <f t="shared" si="28"/>
        <v>0</v>
      </c>
      <c r="AP45" s="297">
        <f t="shared" si="28"/>
        <v>0</v>
      </c>
      <c r="AQ45" s="297">
        <f t="shared" si="28"/>
        <v>0</v>
      </c>
      <c r="AR45" s="297">
        <f t="shared" si="28"/>
        <v>0</v>
      </c>
      <c r="AS45" s="297">
        <f t="shared" si="28"/>
        <v>0</v>
      </c>
      <c r="AT45" s="297">
        <f t="shared" si="28"/>
        <v>0</v>
      </c>
      <c r="AU45" s="297">
        <f t="shared" si="28"/>
        <v>0</v>
      </c>
      <c r="AV45" s="297">
        <f t="shared" si="28"/>
        <v>0</v>
      </c>
      <c r="AW45" s="297">
        <f t="shared" si="28"/>
        <v>0</v>
      </c>
      <c r="AX45" s="297">
        <f t="shared" si="28"/>
        <v>0</v>
      </c>
      <c r="AY45" s="298">
        <f t="shared" si="28"/>
        <v>0</v>
      </c>
    </row>
    <row r="46" spans="2:51">
      <c r="F46" s="302">
        <f t="shared" ref="F46:AY46" si="29">IF(F40&lt;0,F40,)</f>
        <v>-79</v>
      </c>
      <c r="G46" s="303">
        <f t="shared" si="29"/>
        <v>-143</v>
      </c>
      <c r="H46" s="303">
        <f t="shared" si="29"/>
        <v>-175.97004161545053</v>
      </c>
      <c r="I46" s="303">
        <f t="shared" si="29"/>
        <v>-215.30281419425884</v>
      </c>
      <c r="J46" s="303">
        <f t="shared" si="29"/>
        <v>-253.1817860588144</v>
      </c>
      <c r="K46" s="303">
        <f t="shared" si="29"/>
        <v>-289.03785303032163</v>
      </c>
      <c r="L46" s="303">
        <f t="shared" si="29"/>
        <v>-322.98071175913736</v>
      </c>
      <c r="M46" s="303">
        <f t="shared" si="29"/>
        <v>-301.32442167691534</v>
      </c>
      <c r="N46" s="303">
        <f t="shared" si="29"/>
        <v>-282.57187831615113</v>
      </c>
      <c r="O46" s="303">
        <f t="shared" si="29"/>
        <v>-265.64381963680142</v>
      </c>
      <c r="P46" s="303">
        <f t="shared" si="29"/>
        <v>-250.13048190246633</v>
      </c>
      <c r="Q46" s="303">
        <f t="shared" si="29"/>
        <v>-235.68301930142658</v>
      </c>
      <c r="R46" s="303">
        <f t="shared" si="29"/>
        <v>-222.10035588170095</v>
      </c>
      <c r="S46" s="303">
        <f t="shared" si="29"/>
        <v>-209.20392409849933</v>
      </c>
      <c r="T46" s="303">
        <f t="shared" si="29"/>
        <v>-196.95809944527574</v>
      </c>
      <c r="U46" s="303">
        <f t="shared" si="29"/>
        <v>-185.24512900781542</v>
      </c>
      <c r="V46" s="303">
        <f t="shared" si="29"/>
        <v>-173.99991542429666</v>
      </c>
      <c r="W46" s="303">
        <f t="shared" si="29"/>
        <v>-163.13998394525208</v>
      </c>
      <c r="X46" s="303">
        <f t="shared" si="29"/>
        <v>-152.68165469764563</v>
      </c>
      <c r="Y46" s="303">
        <f t="shared" si="29"/>
        <v>-142.55886622004269</v>
      </c>
      <c r="Z46" s="303">
        <f t="shared" si="29"/>
        <v>-132.74097988173892</v>
      </c>
      <c r="AA46" s="303">
        <f t="shared" si="29"/>
        <v>-123.17555111741119</v>
      </c>
      <c r="AB46" s="303">
        <f t="shared" si="29"/>
        <v>-117.72054192931448</v>
      </c>
      <c r="AC46" s="303">
        <f t="shared" si="29"/>
        <v>-113.68785004023727</v>
      </c>
      <c r="AD46" s="303">
        <f t="shared" si="29"/>
        <v>-111.03623889461541</v>
      </c>
      <c r="AE46" s="303">
        <f t="shared" si="29"/>
        <v>-109.72427869235106</v>
      </c>
      <c r="AF46" s="303">
        <f t="shared" si="29"/>
        <v>-109.72427869235106</v>
      </c>
      <c r="AG46" s="303">
        <f t="shared" si="29"/>
        <v>-109.72427869235106</v>
      </c>
      <c r="AH46" s="303">
        <f t="shared" si="29"/>
        <v>-109.72427869235106</v>
      </c>
      <c r="AI46" s="303">
        <f t="shared" si="29"/>
        <v>-109.72427869235106</v>
      </c>
      <c r="AJ46" s="303">
        <f t="shared" si="29"/>
        <v>-109.72427869235106</v>
      </c>
      <c r="AK46" s="303">
        <f t="shared" si="29"/>
        <v>-109.72427869235106</v>
      </c>
      <c r="AL46" s="303">
        <f t="shared" si="29"/>
        <v>-109.72427869235106</v>
      </c>
      <c r="AM46" s="303">
        <f t="shared" si="29"/>
        <v>-109.72427869235106</v>
      </c>
      <c r="AN46" s="303">
        <f t="shared" si="29"/>
        <v>-109.72427869235106</v>
      </c>
      <c r="AO46" s="303">
        <f t="shared" si="29"/>
        <v>-109.72427869235106</v>
      </c>
      <c r="AP46" s="303">
        <f t="shared" si="29"/>
        <v>-109.72427869235106</v>
      </c>
      <c r="AQ46" s="303">
        <f t="shared" si="29"/>
        <v>-109.72427869235106</v>
      </c>
      <c r="AR46" s="303">
        <f t="shared" si="29"/>
        <v>-109.72427869235106</v>
      </c>
      <c r="AS46" s="303">
        <f t="shared" si="29"/>
        <v>-109.72427869235106</v>
      </c>
      <c r="AT46" s="303">
        <f t="shared" si="29"/>
        <v>-109.72427869235106</v>
      </c>
      <c r="AU46" s="303">
        <f t="shared" si="29"/>
        <v>-109.72427869235106</v>
      </c>
      <c r="AV46" s="303">
        <f t="shared" si="29"/>
        <v>-109.72427869235106</v>
      </c>
      <c r="AW46" s="303">
        <f t="shared" si="29"/>
        <v>-109.72427869235106</v>
      </c>
      <c r="AX46" s="303">
        <f t="shared" si="29"/>
        <v>-109.72427869235106</v>
      </c>
      <c r="AY46" s="304">
        <f t="shared" si="29"/>
        <v>-109.72427869235106</v>
      </c>
    </row>
    <row r="47" spans="2:51">
      <c r="B47" t="s">
        <v>21</v>
      </c>
      <c r="D47">
        <f>IF(COUNTIF(F40:AY40,"&lt;0")=46,50,COUNTIF(F40:AY40,"&lt;0"))</f>
        <v>50</v>
      </c>
      <c r="E47" t="s">
        <v>134</v>
      </c>
    </row>
    <row r="48" spans="2:51">
      <c r="B48" t="s">
        <v>22</v>
      </c>
      <c r="D48" s="19">
        <f>+MIN(F40:AY40)</f>
        <v>-322.98071175913736</v>
      </c>
      <c r="E48" s="13" t="s">
        <v>133</v>
      </c>
    </row>
    <row r="49" spans="2:5">
      <c r="B49" t="s">
        <v>24</v>
      </c>
      <c r="D49" s="19">
        <f>+AY40</f>
        <v>-109.72427869235106</v>
      </c>
      <c r="E49" t="s">
        <v>133</v>
      </c>
    </row>
    <row r="50" spans="2:5">
      <c r="B50" t="s">
        <v>25</v>
      </c>
      <c r="D50" s="2">
        <f>ABS(+D49/D48)</f>
        <v>0.33972393612835267</v>
      </c>
    </row>
    <row r="53" spans="2:5">
      <c r="D53" s="245"/>
    </row>
  </sheetData>
  <pageMargins left="0.7" right="0.7" top="0.75" bottom="0.75" header="0.3" footer="0.3"/>
  <pageSetup orientation="portrait" horizontalDpi="1200" verticalDpi="120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AC45"/>
  <sheetViews>
    <sheetView showGridLines="0" workbookViewId="0">
      <selection activeCell="U23" sqref="U23"/>
    </sheetView>
  </sheetViews>
  <sheetFormatPr defaultRowHeight="11.25"/>
  <cols>
    <col min="2" max="2" width="29.1640625" customWidth="1"/>
    <col min="5" max="5" width="11.83203125" style="158" bestFit="1" customWidth="1"/>
    <col min="6" max="6" width="9.33203125" style="158"/>
    <col min="7" max="9" width="8.6640625" style="158" customWidth="1"/>
    <col min="10" max="17" width="8.6640625" customWidth="1"/>
    <col min="20" max="20" width="11.83203125" bestFit="1" customWidth="1"/>
    <col min="23" max="23" width="11.83203125" bestFit="1" customWidth="1"/>
  </cols>
  <sheetData>
    <row r="4" spans="2:29">
      <c r="C4" s="31"/>
      <c r="D4" s="31"/>
      <c r="E4" s="31"/>
      <c r="F4" s="31"/>
      <c r="G4" s="31"/>
      <c r="H4" s="31"/>
      <c r="I4" s="31"/>
      <c r="J4" s="31"/>
      <c r="K4" s="31"/>
      <c r="L4" s="31"/>
      <c r="M4" s="31"/>
      <c r="N4" s="31"/>
      <c r="O4" s="31"/>
      <c r="P4" s="31"/>
      <c r="Q4" s="31"/>
    </row>
    <row r="8" spans="2:29">
      <c r="K8" s="35"/>
      <c r="T8" s="35"/>
      <c r="U8" s="35"/>
    </row>
    <row r="9" spans="2:29">
      <c r="B9" s="310" t="s">
        <v>81</v>
      </c>
      <c r="C9" s="311" t="s">
        <v>97</v>
      </c>
      <c r="D9" s="312" t="s">
        <v>98</v>
      </c>
      <c r="E9" s="349" t="s">
        <v>69</v>
      </c>
      <c r="F9" s="348" t="s">
        <v>70</v>
      </c>
      <c r="G9" s="317" t="s">
        <v>150</v>
      </c>
      <c r="H9" s="315" t="s">
        <v>129</v>
      </c>
      <c r="I9" s="315" t="s">
        <v>149</v>
      </c>
      <c r="J9" s="315" t="s">
        <v>148</v>
      </c>
      <c r="K9" s="315" t="s">
        <v>147</v>
      </c>
      <c r="L9" s="318" t="s">
        <v>128</v>
      </c>
      <c r="M9" s="318" t="s">
        <v>146</v>
      </c>
      <c r="N9" s="315" t="s">
        <v>145</v>
      </c>
      <c r="O9" s="315" t="s">
        <v>144</v>
      </c>
      <c r="P9" s="315" t="s">
        <v>127</v>
      </c>
      <c r="Q9" s="316" t="s">
        <v>151</v>
      </c>
      <c r="T9" s="35"/>
      <c r="U9" s="35"/>
      <c r="V9" s="35"/>
      <c r="W9" s="35"/>
      <c r="X9" s="35"/>
      <c r="Y9" s="35"/>
      <c r="Z9" s="35"/>
      <c r="AA9" s="35"/>
      <c r="AB9" s="35"/>
      <c r="AC9" s="35"/>
    </row>
    <row r="10" spans="2:29" ht="14.25" customHeight="1">
      <c r="B10" s="320" t="s">
        <v>82</v>
      </c>
      <c r="C10" s="321">
        <f>+'Well Prod'!K40</f>
        <v>5</v>
      </c>
      <c r="D10" s="322" t="s">
        <v>84</v>
      </c>
      <c r="E10" s="329">
        <v>5.0308524843811453</v>
      </c>
      <c r="F10" s="330">
        <v>0.99734837548243449</v>
      </c>
      <c r="G10" s="335">
        <v>7.3388080271011544</v>
      </c>
      <c r="H10" s="345">
        <v>6.3363578370219713</v>
      </c>
      <c r="I10" s="336">
        <v>5.8531111243121572</v>
      </c>
      <c r="J10" s="336">
        <v>5.555497823622348</v>
      </c>
      <c r="K10" s="336">
        <v>5.2898912808872032</v>
      </c>
      <c r="L10" s="345">
        <v>5.0362090722988464</v>
      </c>
      <c r="M10" s="336">
        <v>4.7866599305511794</v>
      </c>
      <c r="N10" s="336">
        <v>4.5260093259111347</v>
      </c>
      <c r="O10" s="336">
        <v>4.1726819657358458</v>
      </c>
      <c r="P10" s="345">
        <v>3.7215730830518821</v>
      </c>
      <c r="Q10" s="337">
        <v>2.7403572196170218</v>
      </c>
      <c r="T10" s="158"/>
      <c r="U10" s="158"/>
      <c r="V10" s="158"/>
      <c r="W10" s="158"/>
      <c r="X10" s="158"/>
      <c r="Y10" s="158"/>
      <c r="Z10" s="158"/>
      <c r="AA10" s="158"/>
      <c r="AB10" s="158"/>
      <c r="AC10" s="158"/>
    </row>
    <row r="11" spans="2:29" ht="14.25" customHeight="1">
      <c r="B11" s="323" t="s">
        <v>85</v>
      </c>
      <c r="C11" s="324">
        <f>+'Well OPEX-Schedule'!M7</f>
        <v>23.110309524059165</v>
      </c>
      <c r="D11" s="325" t="s">
        <v>84</v>
      </c>
      <c r="E11" s="331">
        <v>47.28137456254376</v>
      </c>
      <c r="F11" s="332">
        <v>17.560174816019394</v>
      </c>
      <c r="G11" s="338">
        <v>90.861147607075125</v>
      </c>
      <c r="H11" s="346">
        <v>72.245752903065579</v>
      </c>
      <c r="I11" s="339">
        <v>62.67627769770592</v>
      </c>
      <c r="J11" s="339">
        <v>55.842163961654144</v>
      </c>
      <c r="K11" s="339">
        <v>50.119486209675763</v>
      </c>
      <c r="L11" s="346">
        <v>44.91359545006933</v>
      </c>
      <c r="M11" s="339">
        <v>39.96310986220773</v>
      </c>
      <c r="N11" s="339">
        <v>36.124366206043</v>
      </c>
      <c r="O11" s="339">
        <v>31.322780762806527</v>
      </c>
      <c r="P11" s="346">
        <v>26.061672669925425</v>
      </c>
      <c r="Q11" s="340">
        <v>18.154240956989533</v>
      </c>
    </row>
    <row r="12" spans="2:29" ht="14.25" customHeight="1">
      <c r="B12" s="323" t="s">
        <v>86</v>
      </c>
      <c r="C12" s="324">
        <f>+MAX('Well OPEX-Schedule'!K7:AQ7)</f>
        <v>23.110309524059165</v>
      </c>
      <c r="D12" s="325" t="s">
        <v>84</v>
      </c>
      <c r="E12" s="331">
        <v>55.277020107779514</v>
      </c>
      <c r="F12" s="332">
        <v>24.052667393068965</v>
      </c>
      <c r="G12" s="338">
        <v>130.39208183351718</v>
      </c>
      <c r="H12" s="346">
        <v>86.173406338293034</v>
      </c>
      <c r="I12" s="339">
        <v>74.22861748921531</v>
      </c>
      <c r="J12" s="339">
        <v>65.114626118197961</v>
      </c>
      <c r="K12" s="339">
        <v>58.293791675806197</v>
      </c>
      <c r="L12" s="346">
        <v>50.806212932872242</v>
      </c>
      <c r="M12" s="339">
        <v>45.270365038559099</v>
      </c>
      <c r="N12" s="339">
        <v>39.571926687078346</v>
      </c>
      <c r="O12" s="339">
        <v>34.783330730660929</v>
      </c>
      <c r="P12" s="346">
        <v>27.924387332664288</v>
      </c>
      <c r="Q12" s="340">
        <v>18.905782338558556</v>
      </c>
    </row>
    <row r="13" spans="2:29" ht="14.25" customHeight="1">
      <c r="B13" s="323" t="s">
        <v>88</v>
      </c>
      <c r="C13" s="324">
        <f>+'Well OPEX-Schedule'!C7</f>
        <v>4</v>
      </c>
      <c r="D13" s="325" t="s">
        <v>89</v>
      </c>
      <c r="E13" s="331">
        <v>7.0619999999999994</v>
      </c>
      <c r="F13" s="332">
        <v>2.0164821182996651</v>
      </c>
      <c r="G13" s="338">
        <v>10</v>
      </c>
      <c r="H13" s="346">
        <v>10</v>
      </c>
      <c r="I13" s="339">
        <v>9</v>
      </c>
      <c r="J13" s="339">
        <v>8</v>
      </c>
      <c r="K13" s="339">
        <v>8</v>
      </c>
      <c r="L13" s="346">
        <v>7</v>
      </c>
      <c r="M13" s="339">
        <v>6</v>
      </c>
      <c r="N13" s="339">
        <v>6</v>
      </c>
      <c r="O13" s="339">
        <v>5</v>
      </c>
      <c r="P13" s="346">
        <v>4</v>
      </c>
      <c r="Q13" s="340">
        <v>4</v>
      </c>
    </row>
    <row r="14" spans="2:29" ht="14.25" customHeight="1">
      <c r="B14" s="323" t="s">
        <v>92</v>
      </c>
      <c r="C14" s="324">
        <f>SUM('Well OPEX-Schedule'!C20:C39)</f>
        <v>28</v>
      </c>
      <c r="D14" s="325" t="s">
        <v>89</v>
      </c>
      <c r="E14" s="331">
        <v>49.307333333333332</v>
      </c>
      <c r="F14" s="332">
        <v>20.474773677063528</v>
      </c>
      <c r="G14" s="338">
        <v>100</v>
      </c>
      <c r="H14" s="346">
        <v>80</v>
      </c>
      <c r="I14" s="339">
        <v>70</v>
      </c>
      <c r="J14" s="339">
        <v>60</v>
      </c>
      <c r="K14" s="339">
        <v>50</v>
      </c>
      <c r="L14" s="346">
        <v>48</v>
      </c>
      <c r="M14" s="339">
        <v>40</v>
      </c>
      <c r="N14" s="339">
        <v>36</v>
      </c>
      <c r="O14" s="339">
        <v>30</v>
      </c>
      <c r="P14" s="346">
        <v>24</v>
      </c>
      <c r="Q14" s="340">
        <v>16</v>
      </c>
    </row>
    <row r="15" spans="2:29" s="31" customFormat="1" ht="14.25" customHeight="1">
      <c r="B15" s="323" t="s">
        <v>143</v>
      </c>
      <c r="C15" s="324">
        <f>+'Well OPEX-Schedule'!C3</f>
        <v>12</v>
      </c>
      <c r="D15" s="325" t="s">
        <v>77</v>
      </c>
      <c r="E15" s="331">
        <v>15.011334553835164</v>
      </c>
      <c r="F15" s="332">
        <v>2.0352163506071093</v>
      </c>
      <c r="G15" s="338">
        <v>20.517476594557294</v>
      </c>
      <c r="H15" s="346">
        <v>17.550420731099187</v>
      </c>
      <c r="I15" s="339">
        <v>16.652706726716765</v>
      </c>
      <c r="J15" s="339">
        <v>15.913382194987884</v>
      </c>
      <c r="K15" s="339">
        <v>15.381190603678242</v>
      </c>
      <c r="L15" s="346">
        <v>14.935055154680345</v>
      </c>
      <c r="M15" s="339">
        <v>14.452501384312992</v>
      </c>
      <c r="N15" s="339">
        <v>13.981424860320343</v>
      </c>
      <c r="O15" s="339">
        <v>13.277936736506128</v>
      </c>
      <c r="P15" s="346">
        <v>12.443335524849987</v>
      </c>
      <c r="Q15" s="340">
        <v>10.705849892659698</v>
      </c>
    </row>
    <row r="16" spans="2:29" ht="14.25" customHeight="1">
      <c r="B16" s="323" t="s">
        <v>91</v>
      </c>
      <c r="C16" s="324">
        <f>+'Well OPEX-Schedule'!H8</f>
        <v>94.114665057765478</v>
      </c>
      <c r="D16" s="325" t="s">
        <v>90</v>
      </c>
      <c r="E16" s="331">
        <v>250.90374915894876</v>
      </c>
      <c r="F16" s="332">
        <v>142.15328038492041</v>
      </c>
      <c r="G16" s="338">
        <v>706.67115220369328</v>
      </c>
      <c r="H16" s="346">
        <v>433.69548743242166</v>
      </c>
      <c r="I16" s="339">
        <v>360.87869110829263</v>
      </c>
      <c r="J16" s="339">
        <v>303.00413505745036</v>
      </c>
      <c r="K16" s="339">
        <v>254.92501605488809</v>
      </c>
      <c r="L16" s="346">
        <v>221.47630464681521</v>
      </c>
      <c r="M16" s="339">
        <v>184.6602295887516</v>
      </c>
      <c r="N16" s="339">
        <v>159.3816084923362</v>
      </c>
      <c r="O16" s="339">
        <v>129.25551967308962</v>
      </c>
      <c r="P16" s="346">
        <v>100.61192887010937</v>
      </c>
      <c r="Q16" s="340">
        <v>51.28219056296615</v>
      </c>
    </row>
    <row r="17" spans="2:17" ht="14.25" customHeight="1">
      <c r="B17" s="323" t="s">
        <v>93</v>
      </c>
      <c r="C17" s="324">
        <f>SUM('Well OPEX-Schedule'!$K$25:$L$25)</f>
        <v>143</v>
      </c>
      <c r="D17" s="325" t="s">
        <v>77</v>
      </c>
      <c r="E17" s="331">
        <v>268.78212080734829</v>
      </c>
      <c r="F17" s="332">
        <v>83.21375269645344</v>
      </c>
      <c r="G17" s="338">
        <v>449.43282524860763</v>
      </c>
      <c r="H17" s="346">
        <v>380.23184423239189</v>
      </c>
      <c r="I17" s="339">
        <v>348.35899189679674</v>
      </c>
      <c r="J17" s="339">
        <v>317.57810909798104</v>
      </c>
      <c r="K17" s="339">
        <v>294.31345447822878</v>
      </c>
      <c r="L17" s="346">
        <v>266.51605210757248</v>
      </c>
      <c r="M17" s="339">
        <v>238.21591215128899</v>
      </c>
      <c r="N17" s="339">
        <v>213.98922657650067</v>
      </c>
      <c r="O17" s="339">
        <v>184.24784881488995</v>
      </c>
      <c r="P17" s="346">
        <v>159.79215111822802</v>
      </c>
      <c r="Q17" s="340">
        <v>128.42710991422769</v>
      </c>
    </row>
    <row r="18" spans="2:17" ht="14.25" customHeight="1">
      <c r="B18" s="323" t="s">
        <v>126</v>
      </c>
      <c r="C18" s="324">
        <f>+'Well OPEX-Schedule'!J25</f>
        <v>463</v>
      </c>
      <c r="D18" s="325" t="s">
        <v>77</v>
      </c>
      <c r="E18" s="331">
        <v>938.20569074621096</v>
      </c>
      <c r="F18" s="332">
        <v>404.85500966135731</v>
      </c>
      <c r="G18" s="341">
        <v>1972.6190665865724</v>
      </c>
      <c r="H18" s="346">
        <v>1516.7034460719367</v>
      </c>
      <c r="I18" s="342">
        <v>1292.6220828052315</v>
      </c>
      <c r="J18" s="339">
        <v>1123.3825293103778</v>
      </c>
      <c r="K18" s="339">
        <v>991.39828337797678</v>
      </c>
      <c r="L18" s="346">
        <v>867.56465670532907</v>
      </c>
      <c r="M18" s="339">
        <v>763.13734210607709</v>
      </c>
      <c r="N18" s="339">
        <v>666.84339292792947</v>
      </c>
      <c r="O18" s="339">
        <v>577.24857031068007</v>
      </c>
      <c r="P18" s="346">
        <v>465.30926403893665</v>
      </c>
      <c r="Q18" s="340">
        <v>292.55606722197319</v>
      </c>
    </row>
    <row r="19" spans="2:17" ht="14.25" customHeight="1">
      <c r="B19" s="323" t="s">
        <v>17</v>
      </c>
      <c r="C19" s="324">
        <f>+'Cash Flow'!D44</f>
        <v>-196.70435241506217</v>
      </c>
      <c r="D19" s="325" t="s">
        <v>77</v>
      </c>
      <c r="E19" s="331">
        <v>-261.97915974734804</v>
      </c>
      <c r="F19" s="332">
        <v>199.23154722155274</v>
      </c>
      <c r="G19" s="341">
        <v>197.88400169521657</v>
      </c>
      <c r="H19" s="346">
        <v>-39.178983477274016</v>
      </c>
      <c r="I19" s="342">
        <v>-111.48343548970992</v>
      </c>
      <c r="J19" s="339">
        <v>-158.62427995258093</v>
      </c>
      <c r="K19" s="339">
        <v>-203.06598750318989</v>
      </c>
      <c r="L19" s="346">
        <v>-245.75935309909738</v>
      </c>
      <c r="M19" s="339">
        <v>-286.63058138530062</v>
      </c>
      <c r="N19" s="339">
        <v>-335.85995582152157</v>
      </c>
      <c r="O19" s="339">
        <v>-407.02263109041826</v>
      </c>
      <c r="P19" s="346">
        <v>-518.31050515578363</v>
      </c>
      <c r="Q19" s="340">
        <v>-869.15319765297454</v>
      </c>
    </row>
    <row r="20" spans="2:17" ht="14.25" customHeight="1">
      <c r="B20" s="323" t="s">
        <v>21</v>
      </c>
      <c r="C20" s="324">
        <f>+'Cash Flow'!D47</f>
        <v>50</v>
      </c>
      <c r="D20" s="325" t="s">
        <v>134</v>
      </c>
      <c r="E20" s="331">
        <v>30.141333333333332</v>
      </c>
      <c r="F20" s="332">
        <v>17.161984559822436</v>
      </c>
      <c r="G20" s="338">
        <v>50</v>
      </c>
      <c r="H20" s="346">
        <v>50</v>
      </c>
      <c r="I20" s="339">
        <v>50</v>
      </c>
      <c r="J20" s="339">
        <v>50</v>
      </c>
      <c r="K20" s="339">
        <v>50</v>
      </c>
      <c r="L20" s="346">
        <v>20</v>
      </c>
      <c r="M20" s="339">
        <v>18</v>
      </c>
      <c r="N20" s="339">
        <v>16</v>
      </c>
      <c r="O20" s="339">
        <v>14</v>
      </c>
      <c r="P20" s="346">
        <v>12</v>
      </c>
      <c r="Q20" s="340">
        <v>8</v>
      </c>
    </row>
    <row r="21" spans="2:17" ht="14.25" customHeight="1">
      <c r="B21" s="323" t="s">
        <v>22</v>
      </c>
      <c r="C21" s="324">
        <f>+'Cash Flow'!D48</f>
        <v>-322.98071175913736</v>
      </c>
      <c r="D21" s="325" t="s">
        <v>77</v>
      </c>
      <c r="E21" s="331">
        <v>-571.54777683869224</v>
      </c>
      <c r="F21" s="332">
        <v>252.57027605743514</v>
      </c>
      <c r="G21" s="338">
        <v>-185.46098800807877</v>
      </c>
      <c r="H21" s="346">
        <v>-286.89691921708732</v>
      </c>
      <c r="I21" s="339">
        <v>-352.22723971355748</v>
      </c>
      <c r="J21" s="339">
        <v>-413.48971208991378</v>
      </c>
      <c r="K21" s="339">
        <v>-469.56530153814282</v>
      </c>
      <c r="L21" s="346">
        <v>-528.17692453759651</v>
      </c>
      <c r="M21" s="339">
        <v>-595.13879236662444</v>
      </c>
      <c r="N21" s="339">
        <v>-675.7604127063039</v>
      </c>
      <c r="O21" s="339">
        <v>-761.36858679227475</v>
      </c>
      <c r="P21" s="346">
        <v>-917.99675493282984</v>
      </c>
      <c r="Q21" s="340">
        <v>-1361.4597173731649</v>
      </c>
    </row>
    <row r="22" spans="2:17" ht="14.25" customHeight="1">
      <c r="B22" s="323" t="s">
        <v>24</v>
      </c>
      <c r="C22" s="324">
        <f>+'Cash Flow'!D49</f>
        <v>-109.72427869235106</v>
      </c>
      <c r="D22" s="325" t="s">
        <v>77</v>
      </c>
      <c r="E22" s="331">
        <v>120.34087365144899</v>
      </c>
      <c r="F22" s="332">
        <v>445.48622742863404</v>
      </c>
      <c r="G22" s="338">
        <v>1603.4122073854994</v>
      </c>
      <c r="H22" s="346">
        <v>651.18818339209759</v>
      </c>
      <c r="I22" s="339">
        <v>411.53841776124068</v>
      </c>
      <c r="J22" s="339">
        <v>274.28000413995164</v>
      </c>
      <c r="K22" s="339">
        <v>153.01434226048747</v>
      </c>
      <c r="L22" s="346">
        <v>61.674066978257365</v>
      </c>
      <c r="M22" s="339">
        <v>-12.422638677734222</v>
      </c>
      <c r="N22" s="339">
        <v>-91.682450580972031</v>
      </c>
      <c r="O22" s="339">
        <v>-188.09181923506537</v>
      </c>
      <c r="P22" s="346">
        <v>-343.92286987039108</v>
      </c>
      <c r="Q22" s="340">
        <v>-977.02166007268897</v>
      </c>
    </row>
    <row r="23" spans="2:17" ht="14.25" customHeight="1">
      <c r="B23" s="326" t="s">
        <v>25</v>
      </c>
      <c r="C23" s="327">
        <f>+'Cash Flow'!D50</f>
        <v>0.33972393612835267</v>
      </c>
      <c r="D23" s="328"/>
      <c r="E23" s="333">
        <v>0.69093519854626517</v>
      </c>
      <c r="F23" s="334">
        <v>0.93494114122226324</v>
      </c>
      <c r="G23" s="343">
        <v>4.8731867210014732</v>
      </c>
      <c r="H23" s="347">
        <v>1.5370088788579881</v>
      </c>
      <c r="I23" s="186">
        <v>0.90140230559317802</v>
      </c>
      <c r="J23" s="186">
        <v>0.67669316465075002</v>
      </c>
      <c r="K23" s="186">
        <v>0.54113613995605603</v>
      </c>
      <c r="L23" s="347">
        <v>0.42429837630334899</v>
      </c>
      <c r="M23" s="186">
        <v>0.31906221740011398</v>
      </c>
      <c r="N23" s="186">
        <v>0.23369184077112201</v>
      </c>
      <c r="O23" s="186">
        <v>0.15565384401419699</v>
      </c>
      <c r="P23" s="347">
        <v>7.3634906403799993E-2</v>
      </c>
      <c r="Q23" s="344">
        <v>8.2839492164893166E-3</v>
      </c>
    </row>
    <row r="24" spans="2:17" ht="14.25" customHeight="1">
      <c r="B24" s="32"/>
      <c r="C24" s="306"/>
      <c r="D24" s="305"/>
      <c r="E24" s="319"/>
      <c r="F24" s="319"/>
      <c r="G24" s="244"/>
      <c r="H24" s="244"/>
      <c r="I24" s="244"/>
      <c r="J24" s="244"/>
      <c r="K24" s="244"/>
      <c r="L24" s="244"/>
      <c r="M24" s="244"/>
      <c r="N24" s="244"/>
      <c r="O24" s="244"/>
      <c r="P24" s="244"/>
      <c r="Q24" s="244"/>
    </row>
    <row r="25" spans="2:17" ht="14.25" customHeight="1">
      <c r="B25" s="32"/>
      <c r="C25" s="306"/>
      <c r="D25" s="305"/>
      <c r="E25" s="319"/>
      <c r="F25" s="319"/>
      <c r="G25" s="244"/>
      <c r="H25" s="244"/>
      <c r="I25" s="244"/>
      <c r="J25" s="244"/>
      <c r="K25" s="244"/>
      <c r="L25" s="244"/>
      <c r="M25" s="244"/>
      <c r="N25" s="244"/>
      <c r="O25" s="244"/>
      <c r="P25" s="244"/>
      <c r="Q25" s="244"/>
    </row>
    <row r="26" spans="2:17" ht="14.25" customHeight="1">
      <c r="B26" s="32"/>
      <c r="C26" s="306"/>
      <c r="D26" s="305"/>
      <c r="E26" s="319"/>
      <c r="F26" s="319"/>
      <c r="G26" s="244"/>
      <c r="H26" s="244"/>
      <c r="I26" s="244"/>
      <c r="J26" s="244"/>
      <c r="K26" s="244"/>
      <c r="L26" s="244"/>
      <c r="M26" s="244"/>
      <c r="N26" s="244"/>
      <c r="O26" s="244"/>
      <c r="P26" s="244"/>
      <c r="Q26" s="244"/>
    </row>
    <row r="27" spans="2:17" ht="14.25" customHeight="1">
      <c r="B27" s="32"/>
      <c r="C27" s="306"/>
      <c r="D27" s="305"/>
      <c r="E27" s="319"/>
      <c r="F27" s="319"/>
      <c r="G27" s="244"/>
      <c r="H27" s="244"/>
      <c r="I27" s="244"/>
      <c r="J27" s="244"/>
      <c r="K27" s="244"/>
      <c r="L27" s="244"/>
      <c r="M27" s="244"/>
      <c r="N27" s="244"/>
      <c r="O27" s="244"/>
      <c r="P27" s="244"/>
      <c r="Q27" s="244"/>
    </row>
    <row r="28" spans="2:17" ht="14.25" customHeight="1">
      <c r="B28" s="32"/>
      <c r="C28" s="306"/>
      <c r="D28" s="305"/>
      <c r="E28" s="319"/>
      <c r="F28" s="319"/>
      <c r="G28" s="244"/>
      <c r="H28" s="244"/>
      <c r="I28" s="244"/>
      <c r="J28" s="244"/>
      <c r="K28" s="244"/>
      <c r="L28" s="244"/>
      <c r="M28" s="244"/>
      <c r="N28" s="244"/>
      <c r="O28" s="244"/>
      <c r="P28" s="244"/>
      <c r="Q28" s="244"/>
    </row>
    <row r="29" spans="2:17" ht="14.25" customHeight="1">
      <c r="B29" s="32"/>
      <c r="C29" s="306"/>
      <c r="D29" s="305"/>
      <c r="E29" s="319"/>
      <c r="F29" s="319"/>
      <c r="G29" s="244"/>
      <c r="H29" s="244"/>
      <c r="I29" s="244"/>
      <c r="J29" s="244"/>
      <c r="K29" s="244"/>
      <c r="L29" s="244"/>
      <c r="M29" s="244"/>
      <c r="N29" s="244"/>
      <c r="O29" s="244"/>
      <c r="P29" s="244"/>
      <c r="Q29" s="244"/>
    </row>
    <row r="30" spans="2:17" ht="14.25" customHeight="1">
      <c r="B30" s="32"/>
      <c r="C30" s="306"/>
      <c r="D30" s="305"/>
      <c r="E30" s="319"/>
      <c r="F30" s="319"/>
      <c r="G30" s="244"/>
      <c r="H30" s="244"/>
      <c r="I30" s="244"/>
      <c r="J30" s="35"/>
      <c r="K30" s="35"/>
      <c r="L30" s="35"/>
      <c r="M30" s="35"/>
      <c r="N30" s="35"/>
      <c r="O30" s="35"/>
      <c r="P30" s="35"/>
      <c r="Q30" s="35"/>
    </row>
    <row r="31" spans="2:17" ht="14.25" customHeight="1">
      <c r="B31" s="32"/>
      <c r="C31" s="306"/>
      <c r="D31" s="305"/>
      <c r="E31" s="319"/>
      <c r="F31" s="319"/>
      <c r="G31" s="244"/>
      <c r="H31" s="244"/>
      <c r="I31" s="244"/>
      <c r="J31" s="35"/>
      <c r="K31" s="35"/>
      <c r="L31" s="35"/>
      <c r="M31" s="35"/>
      <c r="N31" s="35"/>
      <c r="O31" s="35"/>
      <c r="P31" s="35"/>
      <c r="Q31" s="35"/>
    </row>
    <row r="32" spans="2:17" ht="14.25" customHeight="1">
      <c r="B32" s="32"/>
      <c r="C32" s="306"/>
      <c r="D32" s="305"/>
      <c r="E32" s="319"/>
      <c r="F32" s="319"/>
      <c r="G32" s="244"/>
      <c r="H32" s="244"/>
      <c r="I32" s="244"/>
      <c r="J32" s="35"/>
      <c r="K32" s="35"/>
      <c r="L32" s="35"/>
      <c r="M32" s="35"/>
      <c r="N32" s="35"/>
      <c r="O32" s="35"/>
      <c r="P32" s="35"/>
      <c r="Q32" s="35"/>
    </row>
    <row r="33" spans="2:17" ht="14.25" customHeight="1">
      <c r="B33" s="32"/>
      <c r="C33" s="306"/>
      <c r="D33" s="305"/>
      <c r="E33" s="319"/>
      <c r="F33" s="319"/>
      <c r="G33" s="244"/>
      <c r="H33" s="244"/>
      <c r="I33" s="244"/>
      <c r="J33" s="35"/>
      <c r="K33" s="35"/>
      <c r="L33" s="35"/>
      <c r="M33" s="35"/>
      <c r="N33" s="35"/>
      <c r="O33" s="35"/>
      <c r="P33" s="35"/>
      <c r="Q33" s="35"/>
    </row>
    <row r="34" spans="2:17" ht="14.25" customHeight="1">
      <c r="B34" s="32"/>
      <c r="C34" s="306"/>
      <c r="D34" s="305"/>
      <c r="E34" s="319"/>
      <c r="F34" s="319"/>
      <c r="G34" s="244"/>
      <c r="H34" s="244"/>
      <c r="I34" s="244"/>
      <c r="J34" s="35"/>
      <c r="K34" s="35"/>
      <c r="L34" s="35"/>
      <c r="M34" s="35"/>
      <c r="N34" s="35"/>
      <c r="O34" s="35"/>
      <c r="P34" s="35"/>
      <c r="Q34" s="35"/>
    </row>
    <row r="35" spans="2:17" ht="14.25" customHeight="1">
      <c r="B35" s="32"/>
      <c r="C35" s="306"/>
      <c r="D35" s="305"/>
      <c r="E35" s="319"/>
      <c r="F35" s="319"/>
      <c r="G35" s="244"/>
      <c r="H35" s="244"/>
      <c r="I35" s="244"/>
      <c r="J35" s="35"/>
      <c r="K35" s="35"/>
      <c r="L35" s="35"/>
      <c r="M35" s="35"/>
      <c r="N35" s="35"/>
      <c r="O35" s="35"/>
      <c r="P35" s="35"/>
      <c r="Q35" s="35"/>
    </row>
    <row r="36" spans="2:17">
      <c r="B36" s="32"/>
      <c r="C36" s="306"/>
      <c r="D36" s="305"/>
      <c r="E36" s="319"/>
      <c r="F36" s="319"/>
      <c r="G36" s="244"/>
      <c r="H36" s="244"/>
      <c r="I36" s="244"/>
      <c r="J36" s="35"/>
      <c r="K36" s="35"/>
      <c r="L36" s="35"/>
      <c r="M36" s="35"/>
      <c r="N36" s="35"/>
      <c r="O36" s="35"/>
      <c r="P36" s="35"/>
      <c r="Q36" s="35"/>
    </row>
    <row r="37" spans="2:17">
      <c r="B37" s="32"/>
      <c r="C37" s="306"/>
      <c r="E37" s="319"/>
      <c r="F37" s="319"/>
      <c r="G37" s="244"/>
      <c r="H37" s="244"/>
      <c r="I37" s="244"/>
      <c r="J37" s="35"/>
      <c r="K37" s="35"/>
      <c r="L37" s="35"/>
      <c r="M37" s="35"/>
      <c r="N37" s="35"/>
      <c r="O37" s="35"/>
      <c r="P37" s="35"/>
      <c r="Q37" s="35"/>
    </row>
    <row r="38" spans="2:17">
      <c r="C38" s="306"/>
      <c r="D38" s="305"/>
      <c r="E38" s="319"/>
      <c r="F38" s="319"/>
      <c r="G38" s="244"/>
      <c r="H38" s="244"/>
      <c r="I38" s="244"/>
      <c r="J38" s="35"/>
      <c r="K38" s="35"/>
      <c r="L38" s="35"/>
      <c r="M38" s="35"/>
      <c r="N38" s="35"/>
      <c r="O38" s="35"/>
      <c r="P38" s="35"/>
      <c r="Q38" s="35"/>
    </row>
    <row r="39" spans="2:17">
      <c r="D39" s="305"/>
      <c r="E39" s="319"/>
      <c r="F39" s="319"/>
      <c r="G39" s="244"/>
      <c r="H39" s="244"/>
      <c r="I39" s="244"/>
      <c r="J39" s="35"/>
      <c r="K39" s="35"/>
      <c r="L39" s="35"/>
      <c r="M39" s="35"/>
      <c r="N39" s="35"/>
      <c r="O39" s="35"/>
      <c r="P39" s="35"/>
      <c r="Q39" s="35"/>
    </row>
    <row r="40" spans="2:17">
      <c r="D40" s="305"/>
      <c r="E40" s="319"/>
      <c r="F40" s="319"/>
      <c r="G40" s="244"/>
      <c r="H40" s="244"/>
      <c r="I40" s="244"/>
      <c r="J40" s="35"/>
      <c r="K40" s="35"/>
      <c r="L40" s="35"/>
      <c r="M40" s="35"/>
      <c r="N40" s="35"/>
      <c r="O40" s="35"/>
      <c r="P40" s="35"/>
      <c r="Q40" s="35"/>
    </row>
    <row r="41" spans="2:17">
      <c r="D41" s="305"/>
      <c r="E41" s="319"/>
      <c r="F41" s="319"/>
      <c r="G41" s="244"/>
      <c r="H41" s="244"/>
      <c r="I41" s="244"/>
      <c r="J41" s="35"/>
      <c r="K41" s="35"/>
      <c r="L41" s="35"/>
      <c r="M41" s="35"/>
      <c r="N41" s="35"/>
      <c r="O41" s="35"/>
      <c r="P41" s="35"/>
      <c r="Q41" s="35"/>
    </row>
    <row r="42" spans="2:17">
      <c r="E42" s="319"/>
      <c r="F42" s="319"/>
      <c r="G42" s="244"/>
      <c r="H42" s="244"/>
      <c r="I42" s="244"/>
      <c r="J42" s="35"/>
      <c r="K42" s="35"/>
      <c r="L42" s="35"/>
      <c r="M42" s="35"/>
      <c r="N42" s="35"/>
      <c r="O42" s="35"/>
      <c r="P42" s="35"/>
      <c r="Q42" s="35"/>
    </row>
    <row r="43" spans="2:17">
      <c r="E43" s="319"/>
      <c r="F43" s="319"/>
      <c r="G43" s="244"/>
      <c r="H43" s="244"/>
      <c r="I43" s="244"/>
      <c r="J43" s="35"/>
      <c r="K43" s="35"/>
      <c r="L43" s="35"/>
      <c r="M43" s="35"/>
      <c r="N43" s="35"/>
      <c r="O43" s="35"/>
      <c r="P43" s="35"/>
      <c r="Q43" s="35"/>
    </row>
    <row r="44" spans="2:17">
      <c r="G44" s="244"/>
      <c r="H44" s="244"/>
      <c r="I44" s="244"/>
      <c r="J44" s="35"/>
      <c r="K44" s="35"/>
      <c r="L44" s="35"/>
      <c r="M44" s="35"/>
      <c r="N44" s="35"/>
      <c r="O44" s="35"/>
      <c r="P44" s="35"/>
      <c r="Q44" s="35"/>
    </row>
    <row r="45" spans="2:17">
      <c r="G45" s="244"/>
      <c r="H45" s="244"/>
      <c r="I45" s="244"/>
      <c r="J45" s="35"/>
      <c r="K45" s="35"/>
      <c r="L45" s="35"/>
      <c r="M45" s="35"/>
      <c r="N45" s="35"/>
      <c r="O45" s="35"/>
      <c r="P45" s="35"/>
      <c r="Q45" s="35"/>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3314" r:id="rId4" name="CommandButton2">
          <controlPr defaultSize="0" autoLine="0" r:id="rId5">
            <anchor moveWithCells="1">
              <from>
                <xdr:col>11</xdr:col>
                <xdr:colOff>390525</xdr:colOff>
                <xdr:row>4</xdr:row>
                <xdr:rowOff>76200</xdr:rowOff>
              </from>
              <to>
                <xdr:col>17</xdr:col>
                <xdr:colOff>19050</xdr:colOff>
                <xdr:row>7</xdr:row>
                <xdr:rowOff>57150</xdr:rowOff>
              </to>
            </anchor>
          </controlPr>
        </control>
      </mc:Choice>
      <mc:Fallback>
        <control shapeId="13314" r:id="rId4" name="CommandButton2"/>
      </mc:Fallback>
    </mc:AlternateContent>
    <mc:AlternateContent xmlns:mc="http://schemas.openxmlformats.org/markup-compatibility/2006">
      <mc:Choice Requires="x14">
        <control shapeId="13313" r:id="rId6" name="CommandButton1">
          <controlPr defaultSize="0" autoLine="0" r:id="rId7">
            <anchor moveWithCells="1">
              <from>
                <xdr:col>6</xdr:col>
                <xdr:colOff>476250</xdr:colOff>
                <xdr:row>4</xdr:row>
                <xdr:rowOff>47625</xdr:rowOff>
              </from>
              <to>
                <xdr:col>11</xdr:col>
                <xdr:colOff>200025</xdr:colOff>
                <xdr:row>7</xdr:row>
                <xdr:rowOff>47625</xdr:rowOff>
              </to>
            </anchor>
          </controlPr>
        </control>
      </mc:Choice>
      <mc:Fallback>
        <control shapeId="13313" r:id="rId6"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showGridLines="0" workbookViewId="0">
      <selection activeCell="AD16" sqref="AD16"/>
    </sheetView>
  </sheetViews>
  <sheetFormatPr defaultRowHeight="11.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showGridLines="0" workbookViewId="0">
      <selection activeCell="Z30" sqref="Z30"/>
    </sheetView>
  </sheetViews>
  <sheetFormatPr defaultRowHeight="11.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AF1509"/>
  <sheetViews>
    <sheetView showGridLines="0" workbookViewId="0">
      <selection activeCell="N5" sqref="N5"/>
    </sheetView>
  </sheetViews>
  <sheetFormatPr defaultRowHeight="11.25"/>
  <cols>
    <col min="1" max="1" width="16.1640625" customWidth="1"/>
    <col min="2" max="2" width="10.83203125" bestFit="1" customWidth="1"/>
  </cols>
  <sheetData>
    <row r="2" spans="1:32" ht="12.75">
      <c r="A2" s="379" t="s">
        <v>190</v>
      </c>
      <c r="B2" s="380">
        <v>200</v>
      </c>
    </row>
    <row r="5" spans="1:32">
      <c r="A5" s="67" t="s">
        <v>187</v>
      </c>
      <c r="B5" s="366">
        <f>+'Well OPEX-Schedule'!M4</f>
        <v>45658</v>
      </c>
      <c r="C5" s="367">
        <f>+'Well OPEX-Schedule'!N4</f>
        <v>46023</v>
      </c>
      <c r="D5" s="367">
        <f>+'Well OPEX-Schedule'!O4</f>
        <v>46388</v>
      </c>
      <c r="E5" s="367">
        <f>+'Well OPEX-Schedule'!P4</f>
        <v>46753</v>
      </c>
      <c r="F5" s="367">
        <f>+'Well OPEX-Schedule'!Q4</f>
        <v>47119</v>
      </c>
      <c r="G5" s="367">
        <f>+'Well OPEX-Schedule'!R4</f>
        <v>47484</v>
      </c>
      <c r="H5" s="367">
        <f>+'Well OPEX-Schedule'!S4</f>
        <v>47849</v>
      </c>
      <c r="I5" s="367">
        <f>+'Well OPEX-Schedule'!T4</f>
        <v>48214</v>
      </c>
      <c r="J5" s="367">
        <f>+'Well OPEX-Schedule'!U4</f>
        <v>48580</v>
      </c>
      <c r="K5" s="367">
        <f>+'Well OPEX-Schedule'!V4</f>
        <v>48945</v>
      </c>
      <c r="L5" s="367">
        <f>+'Well OPEX-Schedule'!W4</f>
        <v>49310</v>
      </c>
      <c r="M5" s="367">
        <f>+'Well OPEX-Schedule'!X4</f>
        <v>49675</v>
      </c>
      <c r="N5" s="367">
        <f>+'Well OPEX-Schedule'!Y4</f>
        <v>50041</v>
      </c>
      <c r="O5" s="367">
        <f>+'Well OPEX-Schedule'!Z4</f>
        <v>50406</v>
      </c>
      <c r="P5" s="367">
        <f>+'Well OPEX-Schedule'!AA4</f>
        <v>50771</v>
      </c>
      <c r="Q5" s="367">
        <f>+'Well OPEX-Schedule'!AB4</f>
        <v>51136</v>
      </c>
      <c r="R5" s="367">
        <f>+'Well OPEX-Schedule'!AC4</f>
        <v>51502</v>
      </c>
      <c r="S5" s="367">
        <f>+'Well OPEX-Schedule'!AD4</f>
        <v>51867</v>
      </c>
      <c r="T5" s="367">
        <f>+'Well OPEX-Schedule'!AE4</f>
        <v>52232</v>
      </c>
      <c r="U5" s="367">
        <f>+'Well OPEX-Schedule'!AF4</f>
        <v>52597</v>
      </c>
      <c r="V5" s="367">
        <f>+'Well OPEX-Schedule'!AG4</f>
        <v>52963</v>
      </c>
      <c r="W5" s="367">
        <f>+'Well OPEX-Schedule'!AH4</f>
        <v>53328</v>
      </c>
      <c r="X5" s="367">
        <f>+'Well OPEX-Schedule'!AI4</f>
        <v>53693</v>
      </c>
      <c r="Y5" s="367">
        <f>+'Well OPEX-Schedule'!AJ4</f>
        <v>54058</v>
      </c>
      <c r="Z5" s="367">
        <f>+'Well OPEX-Schedule'!AK4</f>
        <v>54424</v>
      </c>
      <c r="AA5" s="367">
        <f>+'Well OPEX-Schedule'!AL4</f>
        <v>54789</v>
      </c>
      <c r="AB5" s="367">
        <f>+'Well OPEX-Schedule'!AM4</f>
        <v>55154</v>
      </c>
      <c r="AC5" s="367">
        <f>+'Well OPEX-Schedule'!AN4</f>
        <v>55519</v>
      </c>
      <c r="AD5" s="367">
        <f>+'Well OPEX-Schedule'!AO4</f>
        <v>55885</v>
      </c>
      <c r="AE5" s="367">
        <f>+'Well OPEX-Schedule'!AP4</f>
        <v>56250</v>
      </c>
      <c r="AF5" s="368">
        <f>+'Well OPEX-Schedule'!AQ4</f>
        <v>56615</v>
      </c>
    </row>
    <row r="6" spans="1:32">
      <c r="A6" s="369" t="s">
        <v>73</v>
      </c>
      <c r="B6" s="370">
        <v>1</v>
      </c>
      <c r="C6" s="371">
        <v>2</v>
      </c>
      <c r="D6" s="371">
        <v>3</v>
      </c>
      <c r="E6" s="371">
        <v>4</v>
      </c>
      <c r="F6" s="371">
        <v>5</v>
      </c>
      <c r="G6" s="371">
        <v>6</v>
      </c>
      <c r="H6" s="371">
        <v>7</v>
      </c>
      <c r="I6" s="371">
        <v>8</v>
      </c>
      <c r="J6" s="371">
        <v>9</v>
      </c>
      <c r="K6" s="371">
        <v>10</v>
      </c>
      <c r="L6" s="371">
        <v>11</v>
      </c>
      <c r="M6" s="371">
        <v>12</v>
      </c>
      <c r="N6" s="371">
        <v>13</v>
      </c>
      <c r="O6" s="371">
        <v>14</v>
      </c>
      <c r="P6" s="371">
        <v>15</v>
      </c>
      <c r="Q6" s="371">
        <v>16</v>
      </c>
      <c r="R6" s="371">
        <v>17</v>
      </c>
      <c r="S6" s="371">
        <v>18</v>
      </c>
      <c r="T6" s="371">
        <v>19</v>
      </c>
      <c r="U6" s="371">
        <v>20</v>
      </c>
      <c r="V6" s="371">
        <v>21</v>
      </c>
      <c r="W6" s="371">
        <v>22</v>
      </c>
      <c r="X6" s="371">
        <v>23</v>
      </c>
      <c r="Y6" s="371">
        <v>24</v>
      </c>
      <c r="Z6" s="371">
        <v>25</v>
      </c>
      <c r="AA6" s="371">
        <v>26</v>
      </c>
      <c r="AB6" s="371">
        <v>27</v>
      </c>
      <c r="AC6" s="371">
        <v>28</v>
      </c>
      <c r="AD6" s="371">
        <v>29</v>
      </c>
      <c r="AE6" s="371">
        <v>30</v>
      </c>
      <c r="AF6" s="372">
        <v>31</v>
      </c>
    </row>
    <row r="7" spans="1:32">
      <c r="A7" s="67" t="s">
        <v>188</v>
      </c>
      <c r="B7" s="373">
        <f>+'Well OPEX-Schedule'!M7</f>
        <v>23.110309524059165</v>
      </c>
      <c r="C7" s="374">
        <f>+'Well OPEX-Schedule'!N7</f>
        <v>18.371512257262623</v>
      </c>
      <c r="D7" s="374">
        <f>+'Well OPEX-Schedule'!O7</f>
        <v>19.45426538494355</v>
      </c>
      <c r="E7" s="374">
        <f>+'Well OPEX-Schedule'!P7</f>
        <v>20.903602425142108</v>
      </c>
      <c r="F7" s="374">
        <f>+'Well OPEX-Schedule'!Q7</f>
        <v>22.385780527869255</v>
      </c>
      <c r="G7" s="374">
        <f>+'Well OPEX-Schedule'!R7</f>
        <v>16.129044091537217</v>
      </c>
      <c r="H7" s="374">
        <f>+'Well OPEX-Schedule'!S7</f>
        <v>13.966408722171868</v>
      </c>
      <c r="I7" s="374">
        <f>+'Well OPEX-Schedule'!T7</f>
        <v>12.573132834858562</v>
      </c>
      <c r="J7" s="374">
        <f>+'Well OPEX-Schedule'!U7</f>
        <v>11.553932246659576</v>
      </c>
      <c r="K7" s="374">
        <f>+'Well OPEX-Schedule'!V7</f>
        <v>10.760096046843135</v>
      </c>
      <c r="L7" s="374">
        <f>+'Well OPEX-Schedule'!W7</f>
        <v>10.116016009459845</v>
      </c>
      <c r="M7" s="374">
        <f>+'Well OPEX-Schedule'!X7</f>
        <v>9.5786854817373968</v>
      </c>
      <c r="N7" s="374">
        <f>+'Well OPEX-Schedule'!Y7</f>
        <v>9.120373111884879</v>
      </c>
      <c r="O7" s="374">
        <f>+'Well OPEX-Schedule'!Z7</f>
        <v>8.7235170895570935</v>
      </c>
      <c r="P7" s="374">
        <f>+'Well OPEX-Schedule'!AA7</f>
        <v>8.3751438967018892</v>
      </c>
      <c r="Q7" s="374">
        <f>+'Well OPEX-Schedule'!AB7</f>
        <v>8.0660968661490315</v>
      </c>
      <c r="R7" s="374">
        <f>+'Well OPEX-Schedule'!AC7</f>
        <v>7.7890928186694506</v>
      </c>
      <c r="S7" s="374">
        <f>+'Well OPEX-Schedule'!AD7</f>
        <v>7.5391907415663111</v>
      </c>
      <c r="T7" s="374">
        <f>+'Well OPEX-Schedule'!AE7</f>
        <v>7.3121075232639612</v>
      </c>
      <c r="U7" s="374">
        <f>+'Well OPEX-Schedule'!AF7</f>
        <v>7.1046189497784518</v>
      </c>
      <c r="V7" s="374">
        <f>+'Well OPEX-Schedule'!AG7</f>
        <v>4.0627495928667843</v>
      </c>
      <c r="W7" s="374">
        <f>+'Well OPEX-Schedule'!AH7</f>
        <v>3.0034444976291694</v>
      </c>
      <c r="X7" s="374">
        <f>+'Well OPEX-Schedule'!AI7</f>
        <v>1.9748513212083068</v>
      </c>
      <c r="Y7" s="374">
        <f>+'Well OPEX-Schedule'!AJ7</f>
        <v>0.9744442767817223</v>
      </c>
      <c r="Z7" s="374">
        <f>+'Well OPEX-Schedule'!AK7</f>
        <v>0</v>
      </c>
      <c r="AA7" s="374">
        <f>+'Well OPEX-Schedule'!AL7</f>
        <v>0</v>
      </c>
      <c r="AB7" s="374">
        <f>+'Well OPEX-Schedule'!AM7</f>
        <v>0</v>
      </c>
      <c r="AC7" s="374">
        <f>+'Well OPEX-Schedule'!AN7</f>
        <v>0</v>
      </c>
      <c r="AD7" s="374">
        <f>+'Well OPEX-Schedule'!AO7</f>
        <v>0</v>
      </c>
      <c r="AE7" s="374">
        <f>+'Well OPEX-Schedule'!AP7</f>
        <v>0</v>
      </c>
      <c r="AF7" s="375">
        <f>+'Well OPEX-Schedule'!AQ7</f>
        <v>0</v>
      </c>
    </row>
    <row r="8" spans="1:32">
      <c r="A8" s="369" t="s">
        <v>191</v>
      </c>
      <c r="B8" s="376">
        <v>46.319512993460613</v>
      </c>
      <c r="C8" s="377">
        <v>40.546129918036883</v>
      </c>
      <c r="D8" s="377">
        <v>42.077057205736168</v>
      </c>
      <c r="E8" s="377">
        <v>42.871860184565143</v>
      </c>
      <c r="F8" s="377">
        <v>43.094412869717004</v>
      </c>
      <c r="G8" s="377">
        <v>42.152034684703843</v>
      </c>
      <c r="H8" s="377">
        <v>40.225122547743304</v>
      </c>
      <c r="I8" s="377">
        <v>37.471792023690021</v>
      </c>
      <c r="J8" s="377">
        <v>33.731303339793321</v>
      </c>
      <c r="K8" s="377">
        <v>31.55109133789303</v>
      </c>
      <c r="L8" s="377">
        <v>29.883666898491018</v>
      </c>
      <c r="M8" s="377">
        <v>28.527504538014774</v>
      </c>
      <c r="N8" s="377">
        <v>27.385458088320444</v>
      </c>
      <c r="O8" s="377">
        <v>26.402228880086678</v>
      </c>
      <c r="P8" s="377">
        <v>25.541309912847357</v>
      </c>
      <c r="Q8" s="377">
        <v>24.77792980945712</v>
      </c>
      <c r="R8" s="377">
        <v>24.093352945236216</v>
      </c>
      <c r="S8" s="377">
        <v>23.47461175089154</v>
      </c>
      <c r="T8" s="377">
        <v>22.911164160885559</v>
      </c>
      <c r="U8" s="377">
        <v>22.39504836303696</v>
      </c>
      <c r="V8" s="377">
        <v>12.950157374299554</v>
      </c>
      <c r="W8" s="377">
        <v>9.6819132820772857</v>
      </c>
      <c r="X8" s="377">
        <v>6.8832979787540873</v>
      </c>
      <c r="Y8" s="377">
        <v>4.6235079911819001</v>
      </c>
      <c r="Z8" s="377">
        <v>2.7636285285099382</v>
      </c>
      <c r="AA8" s="377">
        <v>1.3632185434387223</v>
      </c>
      <c r="AB8" s="377">
        <v>0.46130120797798924</v>
      </c>
      <c r="AC8" s="377">
        <v>0</v>
      </c>
      <c r="AD8" s="377">
        <v>0</v>
      </c>
      <c r="AE8" s="377">
        <v>0</v>
      </c>
      <c r="AF8" s="378">
        <v>0</v>
      </c>
    </row>
    <row r="10" spans="1:32">
      <c r="A10">
        <v>1</v>
      </c>
      <c r="B10" s="35">
        <v>70.365049310177127</v>
      </c>
      <c r="C10" s="35">
        <v>65.244574709093314</v>
      </c>
      <c r="D10" s="35">
        <v>72.205300168807057</v>
      </c>
      <c r="E10" s="35">
        <v>79.941623339428645</v>
      </c>
      <c r="F10" s="35">
        <v>87.660034027990122</v>
      </c>
      <c r="G10" s="35">
        <v>71.745424269400274</v>
      </c>
      <c r="H10" s="35">
        <v>65.139755274254938</v>
      </c>
      <c r="I10" s="35">
        <v>60.643185117019392</v>
      </c>
      <c r="J10" s="35">
        <v>57.232150372811198</v>
      </c>
      <c r="K10" s="35">
        <v>54.50043881897377</v>
      </c>
      <c r="L10" s="35">
        <v>52.233015378274409</v>
      </c>
      <c r="M10" s="35">
        <v>50.304335080173189</v>
      </c>
      <c r="N10" s="35">
        <v>48.631088736085495</v>
      </c>
      <c r="O10" s="35">
        <v>47.160104236919771</v>
      </c>
      <c r="P10" s="35">
        <v>45.851046958352562</v>
      </c>
      <c r="Q10" s="35">
        <v>44.675184396924465</v>
      </c>
      <c r="R10" s="35">
        <v>43.609049917818687</v>
      </c>
      <c r="S10" s="35">
        <v>42.636918382696003</v>
      </c>
      <c r="T10" s="35">
        <v>41.744732458683806</v>
      </c>
      <c r="U10" s="35">
        <v>40.921911873247581</v>
      </c>
      <c r="V10" s="35">
        <v>23.397936658202902</v>
      </c>
      <c r="W10" s="35">
        <v>17.375023381791898</v>
      </c>
      <c r="X10" s="35">
        <v>11.473566326983789</v>
      </c>
      <c r="Y10" s="35">
        <v>5.6845605930754619</v>
      </c>
      <c r="Z10" s="35">
        <v>0</v>
      </c>
      <c r="AA10" s="35">
        <v>0</v>
      </c>
      <c r="AB10" s="35">
        <v>0</v>
      </c>
      <c r="AC10" s="35">
        <v>0</v>
      </c>
      <c r="AD10" s="35">
        <v>0</v>
      </c>
      <c r="AE10" s="35">
        <v>0</v>
      </c>
      <c r="AF10" s="35">
        <v>0</v>
      </c>
    </row>
    <row r="11" spans="1:32">
      <c r="A11">
        <v>5</v>
      </c>
      <c r="B11" s="35">
        <v>27.898803641264106</v>
      </c>
      <c r="C11" s="35">
        <v>26.55702380203865</v>
      </c>
      <c r="D11" s="35">
        <v>29.645142938267963</v>
      </c>
      <c r="E11" s="35">
        <v>33.01190744759532</v>
      </c>
      <c r="F11" s="35">
        <v>27.063857952129151</v>
      </c>
      <c r="G11" s="35">
        <v>24.588783397578325</v>
      </c>
      <c r="H11" s="35">
        <v>22.913937881900623</v>
      </c>
      <c r="I11" s="35">
        <v>21.651803603085476</v>
      </c>
      <c r="J11" s="35">
        <v>20.644942077965506</v>
      </c>
      <c r="K11" s="35">
        <v>19.812620762095111</v>
      </c>
      <c r="L11" s="35">
        <v>19.10653708290274</v>
      </c>
      <c r="M11" s="35">
        <v>18.496034749938417</v>
      </c>
      <c r="N11" s="35">
        <v>17.959827040334709</v>
      </c>
      <c r="O11" s="35">
        <v>17.48352202750106</v>
      </c>
      <c r="P11" s="35">
        <v>17.056042027725876</v>
      </c>
      <c r="Q11" s="35">
        <v>16.669234880698998</v>
      </c>
      <c r="R11" s="35">
        <v>16.316440223177338</v>
      </c>
      <c r="S11" s="35">
        <v>15.99295637721915</v>
      </c>
      <c r="T11" s="35">
        <v>15.694644993847742</v>
      </c>
      <c r="U11" s="35">
        <v>15.418306309887184</v>
      </c>
      <c r="V11" s="35">
        <v>7.7057638039109086</v>
      </c>
      <c r="W11" s="35">
        <v>5.0924769965246988</v>
      </c>
      <c r="X11" s="35">
        <v>2.5249535603671442</v>
      </c>
      <c r="Y11" s="35">
        <v>0</v>
      </c>
      <c r="Z11" s="35">
        <v>0</v>
      </c>
      <c r="AA11" s="35">
        <v>0</v>
      </c>
      <c r="AB11" s="35">
        <v>0</v>
      </c>
      <c r="AC11" s="35">
        <v>0</v>
      </c>
      <c r="AD11" s="35">
        <v>0</v>
      </c>
      <c r="AE11" s="35">
        <v>0</v>
      </c>
      <c r="AF11" s="35">
        <v>0</v>
      </c>
    </row>
    <row r="12" spans="1:32">
      <c r="A12" s="31">
        <v>9</v>
      </c>
      <c r="B12" s="35">
        <v>88.66188294475819</v>
      </c>
      <c r="C12" s="35">
        <v>78.484836551268003</v>
      </c>
      <c r="D12" s="35">
        <v>85.577753579771525</v>
      </c>
      <c r="E12" s="35">
        <v>64.251645429080781</v>
      </c>
      <c r="F12" s="35">
        <v>56.19503908227032</v>
      </c>
      <c r="G12" s="35">
        <v>51.011127480459379</v>
      </c>
      <c r="H12" s="35">
        <v>47.241617504705189</v>
      </c>
      <c r="I12" s="35">
        <v>44.321051787264935</v>
      </c>
      <c r="J12" s="35">
        <v>41.958126559771898</v>
      </c>
      <c r="K12" s="35">
        <v>39.991946432136444</v>
      </c>
      <c r="L12" s="35">
        <v>38.318378571410641</v>
      </c>
      <c r="M12" s="35">
        <v>36.870822230196055</v>
      </c>
      <c r="N12" s="35">
        <v>35.599137241122534</v>
      </c>
      <c r="O12" s="35">
        <v>34.470740879838353</v>
      </c>
      <c r="P12" s="35">
        <v>33.459263045358298</v>
      </c>
      <c r="Q12" s="35">
        <v>32.546213260227049</v>
      </c>
      <c r="R12" s="35">
        <v>31.714779656836729</v>
      </c>
      <c r="S12" s="35">
        <v>30.954115122845721</v>
      </c>
      <c r="T12" s="35">
        <v>30.254026521781753</v>
      </c>
      <c r="U12" s="35">
        <v>29.607329352265204</v>
      </c>
      <c r="V12" s="35">
        <v>11.814368955411828</v>
      </c>
      <c r="W12" s="35">
        <v>5.8455820511692558</v>
      </c>
      <c r="X12" s="35">
        <v>0</v>
      </c>
      <c r="Y12" s="35">
        <v>0</v>
      </c>
      <c r="Z12" s="35">
        <v>0</v>
      </c>
      <c r="AA12" s="35">
        <v>0</v>
      </c>
      <c r="AB12" s="35">
        <v>0</v>
      </c>
      <c r="AC12" s="35">
        <v>0</v>
      </c>
      <c r="AD12" s="35">
        <v>0</v>
      </c>
      <c r="AE12" s="35">
        <v>0</v>
      </c>
      <c r="AF12" s="35">
        <v>0</v>
      </c>
    </row>
    <row r="13" spans="1:32">
      <c r="A13" s="31">
        <v>13</v>
      </c>
      <c r="B13" s="35">
        <v>24.3586981505761</v>
      </c>
      <c r="C13" s="35">
        <v>21.359330641347981</v>
      </c>
      <c r="D13" s="35">
        <v>23.261728017626488</v>
      </c>
      <c r="E13" s="35">
        <v>25.476428389552289</v>
      </c>
      <c r="F13" s="35">
        <v>27.699233123130146</v>
      </c>
      <c r="G13" s="35">
        <v>29.868331566935368</v>
      </c>
      <c r="H13" s="35">
        <v>23.848833594469202</v>
      </c>
      <c r="I13" s="35">
        <v>21.466498638587709</v>
      </c>
      <c r="J13" s="35">
        <v>19.854744064977048</v>
      </c>
      <c r="K13" s="35">
        <v>18.636322975610042</v>
      </c>
      <c r="L13" s="35">
        <v>17.661970488047441</v>
      </c>
      <c r="M13" s="35">
        <v>16.854478959773367</v>
      </c>
      <c r="N13" s="35">
        <v>16.16788039979058</v>
      </c>
      <c r="O13" s="35">
        <v>15.573373219194565</v>
      </c>
      <c r="P13" s="35">
        <v>15.051189424135019</v>
      </c>
      <c r="Q13" s="35">
        <v>14.587166854040952</v>
      </c>
      <c r="R13" s="35">
        <v>14.170482867192407</v>
      </c>
      <c r="S13" s="35">
        <v>13.793460729056292</v>
      </c>
      <c r="T13" s="35">
        <v>13.449997698240393</v>
      </c>
      <c r="U13" s="35">
        <v>13.135260366675489</v>
      </c>
      <c r="V13" s="35">
        <v>8.2219300247566558</v>
      </c>
      <c r="W13" s="35">
        <v>6.4991754199687231</v>
      </c>
      <c r="X13" s="35">
        <v>4.8188675124556939</v>
      </c>
      <c r="Y13" s="35">
        <v>3.1775091981298518</v>
      </c>
      <c r="Z13" s="35">
        <v>1.5721047896612685</v>
      </c>
      <c r="AA13" s="35">
        <v>0</v>
      </c>
      <c r="AB13" s="35">
        <v>0</v>
      </c>
      <c r="AC13" s="35">
        <v>0</v>
      </c>
      <c r="AD13" s="35">
        <v>0</v>
      </c>
      <c r="AE13" s="35">
        <v>0</v>
      </c>
      <c r="AF13" s="35">
        <v>0</v>
      </c>
    </row>
    <row r="14" spans="1:32">
      <c r="A14" s="31">
        <v>17</v>
      </c>
      <c r="B14" s="35">
        <v>57.424446265239609</v>
      </c>
      <c r="C14" s="35">
        <v>45.425030633248696</v>
      </c>
      <c r="D14" s="35">
        <v>48.047175227323443</v>
      </c>
      <c r="E14" s="35">
        <v>51.585609879388969</v>
      </c>
      <c r="F14" s="35">
        <v>55.20805333748617</v>
      </c>
      <c r="G14" s="35">
        <v>39.602658241642551</v>
      </c>
      <c r="H14" s="35">
        <v>34.246664815198308</v>
      </c>
      <c r="I14" s="35">
        <v>30.801599931860608</v>
      </c>
      <c r="J14" s="35">
        <v>28.284080816988102</v>
      </c>
      <c r="K14" s="35">
        <v>26.324756440738184</v>
      </c>
      <c r="L14" s="35">
        <v>24.736059619615727</v>
      </c>
      <c r="M14" s="35">
        <v>23.411381775906754</v>
      </c>
      <c r="N14" s="35">
        <v>22.28203437274248</v>
      </c>
      <c r="O14" s="35">
        <v>21.304529907570469</v>
      </c>
      <c r="P14" s="35">
        <v>20.446765249709156</v>
      </c>
      <c r="Q14" s="35">
        <v>19.686088503902081</v>
      </c>
      <c r="R14" s="35">
        <v>19.004494748088039</v>
      </c>
      <c r="S14" s="35">
        <v>18.389766225091059</v>
      </c>
      <c r="T14" s="35">
        <v>17.831320177716243</v>
      </c>
      <c r="U14" s="35">
        <v>17.321190478432051</v>
      </c>
      <c r="V14" s="35">
        <v>9.9050813125957529</v>
      </c>
      <c r="W14" s="35">
        <v>7.3215808041425792</v>
      </c>
      <c r="X14" s="35">
        <v>4.8135937993225522</v>
      </c>
      <c r="Y14" s="35">
        <v>2.3748934651871871</v>
      </c>
      <c r="Z14" s="35">
        <v>0</v>
      </c>
      <c r="AA14" s="35">
        <v>0</v>
      </c>
      <c r="AB14" s="35">
        <v>0</v>
      </c>
      <c r="AC14" s="35">
        <v>0</v>
      </c>
      <c r="AD14" s="35">
        <v>0</v>
      </c>
      <c r="AE14" s="35">
        <v>0</v>
      </c>
      <c r="AF14" s="35">
        <v>0</v>
      </c>
    </row>
    <row r="15" spans="1:32">
      <c r="A15" s="31">
        <v>21</v>
      </c>
      <c r="B15" s="35">
        <v>62.139108700208276</v>
      </c>
      <c r="C15" s="35">
        <v>55.690156999883563</v>
      </c>
      <c r="D15" s="35">
        <v>60.995732225709283</v>
      </c>
      <c r="E15" s="35">
        <v>67.061280808336704</v>
      </c>
      <c r="F15" s="35">
        <v>73.134362587261933</v>
      </c>
      <c r="G15" s="35">
        <v>79.062347142327567</v>
      </c>
      <c r="H15" s="35">
        <v>64.094819392754374</v>
      </c>
      <c r="I15" s="35">
        <v>57.999354061158847</v>
      </c>
      <c r="J15" s="35">
        <v>53.847322007995807</v>
      </c>
      <c r="K15" s="35">
        <v>50.69476898993765</v>
      </c>
      <c r="L15" s="35">
        <v>48.165346022224576</v>
      </c>
      <c r="M15" s="35">
        <v>46.063443543663745</v>
      </c>
      <c r="N15" s="35">
        <v>44.272132836715876</v>
      </c>
      <c r="O15" s="35">
        <v>42.717994298499995</v>
      </c>
      <c r="P15" s="35">
        <v>41.350498096018413</v>
      </c>
      <c r="Q15" s="35">
        <v>40.133372426486467</v>
      </c>
      <c r="R15" s="35">
        <v>39.038819486573644</v>
      </c>
      <c r="S15" s="35">
        <v>38.047123565318849</v>
      </c>
      <c r="T15" s="35">
        <v>37.14257561010168</v>
      </c>
      <c r="U15" s="35">
        <v>36.312720215829636</v>
      </c>
      <c r="V15" s="35">
        <v>22.728545541520859</v>
      </c>
      <c r="W15" s="35">
        <v>17.976167464932324</v>
      </c>
      <c r="X15" s="35">
        <v>13.335616194543427</v>
      </c>
      <c r="Y15" s="35">
        <v>8.7977923419586297</v>
      </c>
      <c r="Z15" s="35">
        <v>4.3548939739272754</v>
      </c>
      <c r="AA15" s="35">
        <v>0</v>
      </c>
      <c r="AB15" s="35">
        <v>0</v>
      </c>
      <c r="AC15" s="35">
        <v>0</v>
      </c>
      <c r="AD15" s="35">
        <v>0</v>
      </c>
      <c r="AE15" s="35">
        <v>0</v>
      </c>
      <c r="AF15" s="35">
        <v>0</v>
      </c>
    </row>
    <row r="16" spans="1:32">
      <c r="A16" s="31">
        <v>25</v>
      </c>
      <c r="B16" s="35">
        <v>69.745499439820662</v>
      </c>
      <c r="C16" s="35">
        <v>64.890095581932584</v>
      </c>
      <c r="D16" s="35">
        <v>71.893087797349665</v>
      </c>
      <c r="E16" s="35">
        <v>79.655491433184579</v>
      </c>
      <c r="F16" s="35">
        <v>87.397435845269229</v>
      </c>
      <c r="G16" s="35">
        <v>94.961694105052317</v>
      </c>
      <c r="H16" s="35">
        <v>79.062342407327264</v>
      </c>
      <c r="I16" s="35">
        <v>72.318275663115742</v>
      </c>
      <c r="J16" s="35">
        <v>67.663343062964259</v>
      </c>
      <c r="K16" s="35">
        <v>64.097986384053087</v>
      </c>
      <c r="L16" s="35">
        <v>61.218174309842908</v>
      </c>
      <c r="M16" s="35">
        <v>58.811991704067225</v>
      </c>
      <c r="N16" s="35">
        <v>56.75177165414042</v>
      </c>
      <c r="O16" s="35">
        <v>54.957027222004399</v>
      </c>
      <c r="P16" s="35">
        <v>53.37206063927313</v>
      </c>
      <c r="Q16" s="35">
        <v>51.956734704530952</v>
      </c>
      <c r="R16" s="35">
        <v>50.680108175414908</v>
      </c>
      <c r="S16" s="35">
        <v>49.520246018997092</v>
      </c>
      <c r="T16" s="35">
        <v>48.459588191150893</v>
      </c>
      <c r="U16" s="35">
        <v>47.484181207863202</v>
      </c>
      <c r="V16" s="35">
        <v>29.71753912899354</v>
      </c>
      <c r="W16" s="35">
        <v>23.531025341460655</v>
      </c>
      <c r="X16" s="35">
        <v>17.475729319014512</v>
      </c>
      <c r="Y16" s="35">
        <v>11.541250946109647</v>
      </c>
      <c r="Z16" s="35">
        <v>5.7186562010608544</v>
      </c>
      <c r="AA16" s="35">
        <v>0</v>
      </c>
      <c r="AB16" s="35">
        <v>0</v>
      </c>
      <c r="AC16" s="35">
        <v>0</v>
      </c>
      <c r="AD16" s="35">
        <v>0</v>
      </c>
      <c r="AE16" s="35">
        <v>0</v>
      </c>
      <c r="AF16" s="35">
        <v>0</v>
      </c>
    </row>
    <row r="17" spans="1:32">
      <c r="A17" s="31">
        <v>29</v>
      </c>
      <c r="B17" s="35">
        <v>45.350132009902943</v>
      </c>
      <c r="C17" s="35">
        <v>31.61841152039273</v>
      </c>
      <c r="D17" s="35">
        <v>32.21173418846972</v>
      </c>
      <c r="E17" s="35">
        <v>18.594888182507351</v>
      </c>
      <c r="F17" s="35">
        <v>14.728598731786628</v>
      </c>
      <c r="G17" s="35">
        <v>12.474365229710768</v>
      </c>
      <c r="H17" s="35">
        <v>10.941414194267802</v>
      </c>
      <c r="I17" s="35">
        <v>9.8140078722197615</v>
      </c>
      <c r="J17" s="35">
        <v>8.9402972226088782</v>
      </c>
      <c r="K17" s="35">
        <v>8.2395620046467304</v>
      </c>
      <c r="L17" s="35">
        <v>7.6620354759553138</v>
      </c>
      <c r="M17" s="35">
        <v>7.1766595984815167</v>
      </c>
      <c r="N17" s="35">
        <v>6.7611856974620457</v>
      </c>
      <c r="O17" s="35">
        <v>6.4011476749946219</v>
      </c>
      <c r="P17" s="35">
        <v>6.0853583579912991</v>
      </c>
      <c r="Q17" s="35">
        <v>5.805983445175416</v>
      </c>
      <c r="R17" s="35">
        <v>5.5563116004669268</v>
      </c>
      <c r="S17" s="35">
        <v>5.3318644706711638</v>
      </c>
      <c r="T17" s="35">
        <v>5.128668298518714</v>
      </c>
      <c r="U17" s="35">
        <v>4.9438652771330709</v>
      </c>
      <c r="V17" s="35">
        <v>1.96923879892636</v>
      </c>
      <c r="W17" s="35">
        <v>0.96719044803022836</v>
      </c>
      <c r="X17" s="35">
        <v>0</v>
      </c>
      <c r="Y17" s="35">
        <v>0</v>
      </c>
      <c r="Z17" s="35">
        <v>0</v>
      </c>
      <c r="AA17" s="35">
        <v>0</v>
      </c>
      <c r="AB17" s="35">
        <v>0</v>
      </c>
      <c r="AC17" s="35">
        <v>0</v>
      </c>
      <c r="AD17" s="35">
        <v>0</v>
      </c>
      <c r="AE17" s="35">
        <v>0</v>
      </c>
      <c r="AF17" s="35">
        <v>0</v>
      </c>
    </row>
    <row r="18" spans="1:32">
      <c r="A18" s="31">
        <v>33</v>
      </c>
      <c r="B18" s="35">
        <v>43.847880967419982</v>
      </c>
      <c r="C18" s="35">
        <v>34.426281642680813</v>
      </c>
      <c r="D18" s="35">
        <v>36.237875599611542</v>
      </c>
      <c r="E18" s="35">
        <v>24.167847200262603</v>
      </c>
      <c r="F18" s="35">
        <v>20.184457409652996</v>
      </c>
      <c r="G18" s="35">
        <v>17.736937014324376</v>
      </c>
      <c r="H18" s="35">
        <v>16.012340875269388</v>
      </c>
      <c r="I18" s="35">
        <v>14.708496155681063</v>
      </c>
      <c r="J18" s="35">
        <v>13.674760541491272</v>
      </c>
      <c r="K18" s="35">
        <v>12.82937298500574</v>
      </c>
      <c r="L18" s="35">
        <v>12.120640409226482</v>
      </c>
      <c r="M18" s="35">
        <v>11.5158642794543</v>
      </c>
      <c r="N18" s="35">
        <v>10.991023942211713</v>
      </c>
      <c r="O18" s="35">
        <v>10.53048195113619</v>
      </c>
      <c r="P18" s="35">
        <v>10.121865683085726</v>
      </c>
      <c r="Q18" s="35">
        <v>9.7564946731454505</v>
      </c>
      <c r="R18" s="35">
        <v>9.4267112274132216</v>
      </c>
      <c r="S18" s="35">
        <v>9.1274808305873183</v>
      </c>
      <c r="T18" s="35">
        <v>8.8542090340833504</v>
      </c>
      <c r="U18" s="35">
        <v>8.6036198215750002</v>
      </c>
      <c r="V18" s="35">
        <v>3.4302871773570924</v>
      </c>
      <c r="W18" s="35">
        <v>1.6913847002701723</v>
      </c>
      <c r="X18" s="35">
        <v>0</v>
      </c>
      <c r="Y18" s="35">
        <v>0</v>
      </c>
      <c r="Z18" s="35">
        <v>0</v>
      </c>
      <c r="AA18" s="35">
        <v>0</v>
      </c>
      <c r="AB18" s="35">
        <v>0</v>
      </c>
      <c r="AC18" s="35">
        <v>0</v>
      </c>
      <c r="AD18" s="35">
        <v>0</v>
      </c>
      <c r="AE18" s="35">
        <v>0</v>
      </c>
      <c r="AF18" s="35">
        <v>0</v>
      </c>
    </row>
    <row r="19" spans="1:32">
      <c r="A19" s="31">
        <v>37</v>
      </c>
      <c r="B19" s="35">
        <v>63.69087688931841</v>
      </c>
      <c r="C19" s="35">
        <v>44.486891680401619</v>
      </c>
      <c r="D19" s="35">
        <v>45.084844294253713</v>
      </c>
      <c r="E19" s="35">
        <v>47.036068614238317</v>
      </c>
      <c r="F19" s="35">
        <v>27.967004026184412</v>
      </c>
      <c r="G19" s="35">
        <v>22.350985336244594</v>
      </c>
      <c r="H19" s="35">
        <v>19.029755331732321</v>
      </c>
      <c r="I19" s="35">
        <v>16.744405950959955</v>
      </c>
      <c r="J19" s="35">
        <v>15.045468148950144</v>
      </c>
      <c r="K19" s="35">
        <v>13.720294268418641</v>
      </c>
      <c r="L19" s="35">
        <v>12.650655803718218</v>
      </c>
      <c r="M19" s="35">
        <v>11.765249507235451</v>
      </c>
      <c r="N19" s="35">
        <v>11.017337763841708</v>
      </c>
      <c r="O19" s="35">
        <v>10.375959114062937</v>
      </c>
      <c r="P19" s="35">
        <v>9.8185451545979063</v>
      </c>
      <c r="Q19" s="35">
        <v>9.3288684813218659</v>
      </c>
      <c r="R19" s="35">
        <v>8.894364582902913</v>
      </c>
      <c r="S19" s="35">
        <v>8.5060290597948534</v>
      </c>
      <c r="T19" s="35">
        <v>8.1564010899315615</v>
      </c>
      <c r="U19" s="35">
        <v>7.8397450930835202</v>
      </c>
      <c r="V19" s="35">
        <v>3.9148675578226531</v>
      </c>
      <c r="W19" s="35">
        <v>2.5592038319513364</v>
      </c>
      <c r="X19" s="35">
        <v>1.2557994093054445</v>
      </c>
      <c r="Y19" s="35">
        <v>0</v>
      </c>
      <c r="Z19" s="35">
        <v>0</v>
      </c>
      <c r="AA19" s="35">
        <v>0</v>
      </c>
      <c r="AB19" s="35">
        <v>0</v>
      </c>
      <c r="AC19" s="35">
        <v>0</v>
      </c>
      <c r="AD19" s="35">
        <v>0</v>
      </c>
      <c r="AE19" s="35">
        <v>0</v>
      </c>
      <c r="AF19" s="35">
        <v>0</v>
      </c>
    </row>
    <row r="20" spans="1:32">
      <c r="A20" s="31">
        <v>41</v>
      </c>
      <c r="B20" s="35">
        <v>34.874461810788709</v>
      </c>
      <c r="C20" s="35">
        <v>33.73906847375919</v>
      </c>
      <c r="D20" s="35">
        <v>37.85945989698029</v>
      </c>
      <c r="E20" s="35">
        <v>42.306728501657254</v>
      </c>
      <c r="F20" s="35">
        <v>46.729231722611686</v>
      </c>
      <c r="G20" s="35">
        <v>39.431887103520452</v>
      </c>
      <c r="H20" s="35">
        <v>36.276798661288773</v>
      </c>
      <c r="I20" s="35">
        <v>34.096339941782716</v>
      </c>
      <c r="J20" s="35">
        <v>32.42531352841457</v>
      </c>
      <c r="K20" s="35">
        <v>31.076481251665442</v>
      </c>
      <c r="L20" s="35">
        <v>29.949599111881263</v>
      </c>
      <c r="M20" s="35">
        <v>28.985723054824376</v>
      </c>
      <c r="N20" s="35">
        <v>28.145407825720749</v>
      </c>
      <c r="O20" s="35">
        <v>27.403439982715611</v>
      </c>
      <c r="P20" s="35">
        <v>26.740538007500362</v>
      </c>
      <c r="Q20" s="35">
        <v>26.142935159241759</v>
      </c>
      <c r="R20" s="35">
        <v>25.599293793116221</v>
      </c>
      <c r="S20" s="35">
        <v>25.10205429761303</v>
      </c>
      <c r="T20" s="35">
        <v>24.644391087392112</v>
      </c>
      <c r="U20" s="35">
        <v>24.221170278966468</v>
      </c>
      <c r="V20" s="35">
        <v>13.848194848825981</v>
      </c>
      <c r="W20" s="35">
        <v>10.296876325214674</v>
      </c>
      <c r="X20" s="35">
        <v>6.8079769105462411</v>
      </c>
      <c r="Y20" s="35">
        <v>3.3770164745265028</v>
      </c>
      <c r="Z20" s="35">
        <v>0</v>
      </c>
      <c r="AA20" s="35">
        <v>0</v>
      </c>
      <c r="AB20" s="35">
        <v>0</v>
      </c>
      <c r="AC20" s="35">
        <v>0</v>
      </c>
      <c r="AD20" s="35">
        <v>0</v>
      </c>
      <c r="AE20" s="35">
        <v>0</v>
      </c>
      <c r="AF20" s="35">
        <v>0</v>
      </c>
    </row>
    <row r="21" spans="1:32">
      <c r="A21" s="31">
        <v>45</v>
      </c>
      <c r="B21" s="35">
        <v>35.342551078608388</v>
      </c>
      <c r="C21" s="35">
        <v>33.692026929807952</v>
      </c>
      <c r="D21" s="35">
        <v>37.69319553282029</v>
      </c>
      <c r="E21" s="35">
        <v>42.035168213741152</v>
      </c>
      <c r="F21" s="35">
        <v>34.574820565347842</v>
      </c>
      <c r="G21" s="35">
        <v>31.497693458204964</v>
      </c>
      <c r="H21" s="35">
        <v>29.410751703899173</v>
      </c>
      <c r="I21" s="35">
        <v>27.835347220121175</v>
      </c>
      <c r="J21" s="35">
        <v>26.576791716219308</v>
      </c>
      <c r="K21" s="35">
        <v>25.535152514004057</v>
      </c>
      <c r="L21" s="35">
        <v>24.650566005567395</v>
      </c>
      <c r="M21" s="35">
        <v>23.885007207064362</v>
      </c>
      <c r="N21" s="35">
        <v>23.212041958189268</v>
      </c>
      <c r="O21" s="35">
        <v>22.613795573318829</v>
      </c>
      <c r="P21" s="35">
        <v>22.076492634819196</v>
      </c>
      <c r="Q21" s="35">
        <v>21.58999217966883</v>
      </c>
      <c r="R21" s="35">
        <v>21.145998002009133</v>
      </c>
      <c r="S21" s="35">
        <v>20.738658104911519</v>
      </c>
      <c r="T21" s="35">
        <v>20.362813436943355</v>
      </c>
      <c r="U21" s="35">
        <v>20.01447531171182</v>
      </c>
      <c r="V21" s="35">
        <v>10.002993223188982</v>
      </c>
      <c r="W21" s="35">
        <v>6.6123046801321284</v>
      </c>
      <c r="X21" s="35">
        <v>3.279307058846344</v>
      </c>
      <c r="Y21" s="35">
        <v>0</v>
      </c>
      <c r="Z21" s="35">
        <v>0</v>
      </c>
      <c r="AA21" s="35">
        <v>0</v>
      </c>
      <c r="AB21" s="35">
        <v>0</v>
      </c>
      <c r="AC21" s="35">
        <v>0</v>
      </c>
      <c r="AD21" s="35">
        <v>0</v>
      </c>
      <c r="AE21" s="35">
        <v>0</v>
      </c>
      <c r="AF21" s="35">
        <v>0</v>
      </c>
    </row>
    <row r="22" spans="1:32">
      <c r="A22" s="31">
        <v>49</v>
      </c>
      <c r="B22" s="35">
        <v>34.85179572554312</v>
      </c>
      <c r="C22" s="35">
        <v>26.671396478885924</v>
      </c>
      <c r="D22" s="35">
        <v>27.799236484563316</v>
      </c>
      <c r="E22" s="35">
        <v>29.55684033515292</v>
      </c>
      <c r="F22" s="35">
        <v>31.388580802906137</v>
      </c>
      <c r="G22" s="35">
        <v>21.562802279853631</v>
      </c>
      <c r="H22" s="35">
        <v>18.265377168148685</v>
      </c>
      <c r="I22" s="35">
        <v>16.189535506568497</v>
      </c>
      <c r="J22" s="35">
        <v>14.694869854354573</v>
      </c>
      <c r="K22" s="35">
        <v>13.544932877552151</v>
      </c>
      <c r="L22" s="35">
        <v>12.621360573972842</v>
      </c>
      <c r="M22" s="35">
        <v>11.857540867102159</v>
      </c>
      <c r="N22" s="35">
        <v>11.211017068706692</v>
      </c>
      <c r="O22" s="35">
        <v>10.655008785847258</v>
      </c>
      <c r="P22" s="35">
        <v>10.169944107640791</v>
      </c>
      <c r="Q22" s="35">
        <v>9.7420692757888236</v>
      </c>
      <c r="R22" s="35">
        <v>9.3605609263879987</v>
      </c>
      <c r="S22" s="35">
        <v>9.0180486826741628</v>
      </c>
      <c r="T22" s="35">
        <v>8.7082211031628383</v>
      </c>
      <c r="U22" s="35">
        <v>8.4263301777346271</v>
      </c>
      <c r="V22" s="35">
        <v>4.8187300451214625</v>
      </c>
      <c r="W22" s="35">
        <v>3.5548634575584792</v>
      </c>
      <c r="X22" s="35">
        <v>2.3327718325882096</v>
      </c>
      <c r="Y22" s="35">
        <v>1.1488658807430776</v>
      </c>
      <c r="Z22" s="35">
        <v>0</v>
      </c>
      <c r="AA22" s="35">
        <v>0</v>
      </c>
      <c r="AB22" s="35">
        <v>0</v>
      </c>
      <c r="AC22" s="35">
        <v>0</v>
      </c>
      <c r="AD22" s="35">
        <v>0</v>
      </c>
      <c r="AE22" s="35">
        <v>0</v>
      </c>
      <c r="AF22" s="35">
        <v>0</v>
      </c>
    </row>
    <row r="23" spans="1:32">
      <c r="A23" s="31">
        <v>53</v>
      </c>
      <c r="B23" s="35">
        <v>54.11622037570686</v>
      </c>
      <c r="C23" s="35">
        <v>42.793067948809011</v>
      </c>
      <c r="D23" s="35">
        <v>45.219261576559468</v>
      </c>
      <c r="E23" s="35">
        <v>48.519386778257605</v>
      </c>
      <c r="F23" s="35">
        <v>51.9013583327595</v>
      </c>
      <c r="G23" s="35">
        <v>55.202901835531904</v>
      </c>
      <c r="H23" s="35">
        <v>58.381510373760975</v>
      </c>
      <c r="I23" s="35">
        <v>61.432749623122589</v>
      </c>
      <c r="J23" s="35">
        <v>46.321739573318453</v>
      </c>
      <c r="K23" s="35">
        <v>40.885420997197869</v>
      </c>
      <c r="L23" s="35">
        <v>37.287291973860384</v>
      </c>
      <c r="M23" s="35">
        <v>34.598209816123955</v>
      </c>
      <c r="N23" s="35">
        <v>32.463603818693159</v>
      </c>
      <c r="O23" s="35">
        <v>30.704664705409591</v>
      </c>
      <c r="P23" s="35">
        <v>29.217063016407643</v>
      </c>
      <c r="Q23" s="35">
        <v>27.934561587092972</v>
      </c>
      <c r="R23" s="35">
        <v>26.812118686007775</v>
      </c>
      <c r="S23" s="35">
        <v>25.818235119549691</v>
      </c>
      <c r="T23" s="35">
        <v>24.929337652646069</v>
      </c>
      <c r="U23" s="35">
        <v>24.127772766515953</v>
      </c>
      <c r="V23" s="35">
        <v>16.937381155535821</v>
      </c>
      <c r="W23" s="35">
        <v>14.272844237544554</v>
      </c>
      <c r="X23" s="35">
        <v>11.703505945691582</v>
      </c>
      <c r="Y23" s="35">
        <v>9.2198559268368925</v>
      </c>
      <c r="Z23" s="35">
        <v>6.8140946724313727</v>
      </c>
      <c r="AA23" s="35">
        <v>4.4793286599890569</v>
      </c>
      <c r="AB23" s="35">
        <v>2.2096857946139958</v>
      </c>
      <c r="AC23" s="35">
        <v>0</v>
      </c>
      <c r="AD23" s="35">
        <v>0</v>
      </c>
      <c r="AE23" s="35">
        <v>0</v>
      </c>
      <c r="AF23" s="35">
        <v>0</v>
      </c>
    </row>
    <row r="24" spans="1:32">
      <c r="A24" s="31">
        <v>57</v>
      </c>
      <c r="B24" s="35">
        <v>53.31028326337848</v>
      </c>
      <c r="C24" s="35">
        <v>46.23702593900888</v>
      </c>
      <c r="D24" s="35">
        <v>50.061185451204196</v>
      </c>
      <c r="E24" s="35">
        <v>36.844790011122754</v>
      </c>
      <c r="F24" s="35">
        <v>31.939796548733554</v>
      </c>
      <c r="G24" s="35">
        <v>28.810603139808677</v>
      </c>
      <c r="H24" s="35">
        <v>26.548731664230512</v>
      </c>
      <c r="I24" s="35">
        <v>24.804476204387012</v>
      </c>
      <c r="J24" s="35">
        <v>23.39876484522761</v>
      </c>
      <c r="K24" s="35">
        <v>22.232997265161405</v>
      </c>
      <c r="L24" s="35">
        <v>21.243643753693188</v>
      </c>
      <c r="M24" s="35">
        <v>20.390152219450101</v>
      </c>
      <c r="N24" s="35">
        <v>19.642141734615365</v>
      </c>
      <c r="O24" s="35">
        <v>18.979856904465159</v>
      </c>
      <c r="P24" s="35">
        <v>18.38738195317304</v>
      </c>
      <c r="Q24" s="35">
        <v>17.853553103589064</v>
      </c>
      <c r="R24" s="35">
        <v>17.368283003677639</v>
      </c>
      <c r="S24" s="35">
        <v>16.925035921201342</v>
      </c>
      <c r="T24" s="35">
        <v>16.517707424940834</v>
      </c>
      <c r="U24" s="35">
        <v>16.141983539876431</v>
      </c>
      <c r="V24" s="35">
        <v>6.440171342073449</v>
      </c>
      <c r="W24" s="35">
        <v>3.1843281146177387</v>
      </c>
      <c r="X24" s="35">
        <v>0</v>
      </c>
      <c r="Y24" s="35">
        <v>0</v>
      </c>
      <c r="Z24" s="35">
        <v>0</v>
      </c>
      <c r="AA24" s="35">
        <v>0</v>
      </c>
      <c r="AB24" s="35">
        <v>0</v>
      </c>
      <c r="AC24" s="35">
        <v>0</v>
      </c>
      <c r="AD24" s="35">
        <v>0</v>
      </c>
      <c r="AE24" s="35">
        <v>0</v>
      </c>
      <c r="AF24" s="35">
        <v>0</v>
      </c>
    </row>
    <row r="25" spans="1:32">
      <c r="A25" s="31">
        <v>61</v>
      </c>
      <c r="B25" s="35">
        <v>53.054211878334485</v>
      </c>
      <c r="C25" s="35">
        <v>49.207429801633737</v>
      </c>
      <c r="D25" s="35">
        <v>54.476352300111571</v>
      </c>
      <c r="E25" s="35">
        <v>60.327101129686149</v>
      </c>
      <c r="F25" s="35">
        <v>66.163728324895871</v>
      </c>
      <c r="G25" s="35">
        <v>54.181319027822802</v>
      </c>
      <c r="H25" s="35">
        <v>49.213123006841549</v>
      </c>
      <c r="I25" s="35">
        <v>45.829936476049895</v>
      </c>
      <c r="J25" s="35">
        <v>43.26277505667057</v>
      </c>
      <c r="K25" s="35">
        <v>41.206406005611861</v>
      </c>
      <c r="L25" s="35">
        <v>39.49921243243427</v>
      </c>
      <c r="M25" s="35">
        <v>38.046821809727071</v>
      </c>
      <c r="N25" s="35">
        <v>36.786596912105878</v>
      </c>
      <c r="O25" s="35">
        <v>35.67855841489704</v>
      </c>
      <c r="P25" s="35">
        <v>34.692372522831285</v>
      </c>
      <c r="Q25" s="35">
        <v>33.806429571521647</v>
      </c>
      <c r="R25" s="35">
        <v>33.003076099042246</v>
      </c>
      <c r="S25" s="35">
        <v>32.270484216307104</v>
      </c>
      <c r="T25" s="35">
        <v>31.598077384124895</v>
      </c>
      <c r="U25" s="35">
        <v>30.977895333233523</v>
      </c>
      <c r="V25" s="35">
        <v>17.71221237640307</v>
      </c>
      <c r="W25" s="35">
        <v>13.153438008235886</v>
      </c>
      <c r="X25" s="35">
        <v>8.6862060195263719</v>
      </c>
      <c r="Y25" s="35">
        <v>4.3037362584323304</v>
      </c>
      <c r="Z25" s="35">
        <v>0</v>
      </c>
      <c r="AA25" s="35">
        <v>0</v>
      </c>
      <c r="AB25" s="35">
        <v>0</v>
      </c>
      <c r="AC25" s="35">
        <v>0</v>
      </c>
      <c r="AD25" s="35">
        <v>0</v>
      </c>
      <c r="AE25" s="35">
        <v>0</v>
      </c>
      <c r="AF25" s="35">
        <v>0</v>
      </c>
    </row>
    <row r="26" spans="1:32">
      <c r="A26" s="31">
        <v>65</v>
      </c>
      <c r="B26" s="35">
        <v>40.161254612442107</v>
      </c>
      <c r="C26" s="35">
        <v>29.605836442123575</v>
      </c>
      <c r="D26" s="35">
        <v>30.532547203395612</v>
      </c>
      <c r="E26" s="35">
        <v>32.229543596092981</v>
      </c>
      <c r="F26" s="35">
        <v>34.029158483536669</v>
      </c>
      <c r="G26" s="35">
        <v>22.40691784916751</v>
      </c>
      <c r="H26" s="35">
        <v>18.693497453761442</v>
      </c>
      <c r="I26" s="35">
        <v>16.39514283374643</v>
      </c>
      <c r="J26" s="35">
        <v>14.75866426165325</v>
      </c>
      <c r="K26" s="35">
        <v>13.510322148730816</v>
      </c>
      <c r="L26" s="35">
        <v>12.514684462073669</v>
      </c>
      <c r="M26" s="35">
        <v>11.696137961752751</v>
      </c>
      <c r="N26" s="35">
        <v>11.006881121570329</v>
      </c>
      <c r="O26" s="35">
        <v>10.416859154610663</v>
      </c>
      <c r="P26" s="35">
        <v>9.9042664115060841</v>
      </c>
      <c r="Q26" s="35">
        <v>9.4538286766349131</v>
      </c>
      <c r="R26" s="35">
        <v>9.0536102931296476</v>
      </c>
      <c r="S26" s="35">
        <v>8.6954681811978709</v>
      </c>
      <c r="T26" s="35">
        <v>8.3724837366418718</v>
      </c>
      <c r="U26" s="35">
        <v>8.0794560487824896</v>
      </c>
      <c r="V26" s="35">
        <v>4.620421444606241</v>
      </c>
      <c r="W26" s="35">
        <v>3.4038464579175169</v>
      </c>
      <c r="X26" s="35">
        <v>2.2307305670528175</v>
      </c>
      <c r="Y26" s="35">
        <v>1.0972336069130479</v>
      </c>
      <c r="Z26" s="35">
        <v>0</v>
      </c>
      <c r="AA26" s="35">
        <v>0</v>
      </c>
      <c r="AB26" s="35">
        <v>0</v>
      </c>
      <c r="AC26" s="35">
        <v>0</v>
      </c>
      <c r="AD26" s="35">
        <v>0</v>
      </c>
      <c r="AE26" s="35">
        <v>0</v>
      </c>
      <c r="AF26" s="35">
        <v>0</v>
      </c>
    </row>
    <row r="27" spans="1:32">
      <c r="A27" s="31">
        <v>69</v>
      </c>
      <c r="B27" s="35">
        <v>37.050979923931848</v>
      </c>
      <c r="C27" s="35">
        <v>29.689456501641228</v>
      </c>
      <c r="D27" s="35">
        <v>31.427448803415789</v>
      </c>
      <c r="E27" s="35">
        <v>33.764497426175495</v>
      </c>
      <c r="F27" s="35">
        <v>36.155927367974449</v>
      </c>
      <c r="G27" s="35">
        <v>38.489976807068309</v>
      </c>
      <c r="H27" s="35">
        <v>40.737419138348656</v>
      </c>
      <c r="I27" s="35">
        <v>42.895333135183492</v>
      </c>
      <c r="J27" s="35">
        <v>32.616167965429774</v>
      </c>
      <c r="K27" s="35">
        <v>28.828533345384351</v>
      </c>
      <c r="L27" s="35">
        <v>26.315402295554957</v>
      </c>
      <c r="M27" s="35">
        <v>24.434614407961593</v>
      </c>
      <c r="N27" s="35">
        <v>22.940200636862674</v>
      </c>
      <c r="O27" s="35">
        <v>21.707875500880945</v>
      </c>
      <c r="P27" s="35">
        <v>20.665020171925406</v>
      </c>
      <c r="Q27" s="35">
        <v>19.765485075320189</v>
      </c>
      <c r="R27" s="35">
        <v>18.977860552774711</v>
      </c>
      <c r="S27" s="35">
        <v>18.28016996001752</v>
      </c>
      <c r="T27" s="35">
        <v>17.655954882131027</v>
      </c>
      <c r="U27" s="35">
        <v>17.092884922995673</v>
      </c>
      <c r="V27" s="35">
        <v>11.998830788159639</v>
      </c>
      <c r="W27" s="35">
        <v>10.112668729372423</v>
      </c>
      <c r="X27" s="35">
        <v>8.2933523310613815</v>
      </c>
      <c r="Y27" s="35">
        <v>6.5342225633376101</v>
      </c>
      <c r="Z27" s="35">
        <v>4.8298170392740563</v>
      </c>
      <c r="AA27" s="35">
        <v>3.1753059483757249</v>
      </c>
      <c r="AB27" s="35">
        <v>1.5665741002899602</v>
      </c>
      <c r="AC27" s="35">
        <v>0</v>
      </c>
      <c r="AD27" s="35">
        <v>0</v>
      </c>
      <c r="AE27" s="35">
        <v>0</v>
      </c>
      <c r="AF27" s="35">
        <v>0</v>
      </c>
    </row>
    <row r="28" spans="1:32">
      <c r="A28" s="31">
        <v>73</v>
      </c>
      <c r="B28" s="35">
        <v>54.323494971434492</v>
      </c>
      <c r="C28" s="35">
        <v>46.764484703351577</v>
      </c>
      <c r="D28" s="35">
        <v>50.769532347637565</v>
      </c>
      <c r="E28" s="35">
        <v>55.480386015172272</v>
      </c>
      <c r="F28" s="35">
        <v>60.215220814021748</v>
      </c>
      <c r="G28" s="35">
        <v>46.727758946522172</v>
      </c>
      <c r="H28" s="35">
        <v>41.646932168562948</v>
      </c>
      <c r="I28" s="35">
        <v>38.265530740708058</v>
      </c>
      <c r="J28" s="35">
        <v>35.737822670300176</v>
      </c>
      <c r="K28" s="35">
        <v>33.735980765305364</v>
      </c>
      <c r="L28" s="35">
        <v>32.089428391255481</v>
      </c>
      <c r="M28" s="35">
        <v>30.699651895381468</v>
      </c>
      <c r="N28" s="35">
        <v>29.50205855806195</v>
      </c>
      <c r="O28" s="35">
        <v>28.455542618943667</v>
      </c>
      <c r="P28" s="35">
        <v>27.529265210666242</v>
      </c>
      <c r="Q28" s="35">
        <v>26.701337345373449</v>
      </c>
      <c r="R28" s="35">
        <v>25.954078120601476</v>
      </c>
      <c r="S28" s="35">
        <v>25.275572484615498</v>
      </c>
      <c r="T28" s="35">
        <v>24.655305971486403</v>
      </c>
      <c r="U28" s="35">
        <v>24.085362048933511</v>
      </c>
      <c r="V28" s="35">
        <v>13.772144704024239</v>
      </c>
      <c r="W28" s="35">
        <v>10.209102701063145</v>
      </c>
      <c r="X28" s="35">
        <v>6.7302833846778487</v>
      </c>
      <c r="Y28" s="35">
        <v>3.32917213845267</v>
      </c>
      <c r="Z28" s="35">
        <v>0</v>
      </c>
      <c r="AA28" s="35">
        <v>0</v>
      </c>
      <c r="AB28" s="35">
        <v>0</v>
      </c>
      <c r="AC28" s="35">
        <v>0</v>
      </c>
      <c r="AD28" s="35">
        <v>0</v>
      </c>
      <c r="AE28" s="35">
        <v>0</v>
      </c>
      <c r="AF28" s="35">
        <v>0</v>
      </c>
    </row>
    <row r="29" spans="1:32">
      <c r="A29" s="31">
        <v>77</v>
      </c>
      <c r="B29" s="35">
        <v>45.61928170443673</v>
      </c>
      <c r="C29" s="35">
        <v>39.14014218631872</v>
      </c>
      <c r="D29" s="35">
        <v>42.205332477054291</v>
      </c>
      <c r="E29" s="35">
        <v>30.712720578789845</v>
      </c>
      <c r="F29" s="35">
        <v>26.482093684288571</v>
      </c>
      <c r="G29" s="35">
        <v>23.796631323200536</v>
      </c>
      <c r="H29" s="35">
        <v>21.862368524913478</v>
      </c>
      <c r="I29" s="35">
        <v>20.374926024969085</v>
      </c>
      <c r="J29" s="35">
        <v>19.178983135464229</v>
      </c>
      <c r="K29" s="35">
        <v>18.189172807191269</v>
      </c>
      <c r="L29" s="35">
        <v>17.350635785825403</v>
      </c>
      <c r="M29" s="35">
        <v>16.628395629843332</v>
      </c>
      <c r="N29" s="35">
        <v>15.996323492843548</v>
      </c>
      <c r="O29" s="35">
        <v>15.437423095818673</v>
      </c>
      <c r="P29" s="35">
        <v>14.93803819257786</v>
      </c>
      <c r="Q29" s="35">
        <v>14.488588325295051</v>
      </c>
      <c r="R29" s="35">
        <v>14.08044832148741</v>
      </c>
      <c r="S29" s="35">
        <v>13.708016349739637</v>
      </c>
      <c r="T29" s="35">
        <v>13.36607887027276</v>
      </c>
      <c r="U29" s="35">
        <v>13.050945948259246</v>
      </c>
      <c r="V29" s="35">
        <v>5.2064229765313925</v>
      </c>
      <c r="W29" s="35">
        <v>2.5732369724013151</v>
      </c>
      <c r="X29" s="35">
        <v>0</v>
      </c>
      <c r="Y29" s="35">
        <v>0</v>
      </c>
      <c r="Z29" s="35">
        <v>0</v>
      </c>
      <c r="AA29" s="35">
        <v>0</v>
      </c>
      <c r="AB29" s="35">
        <v>0</v>
      </c>
      <c r="AC29" s="35">
        <v>0</v>
      </c>
      <c r="AD29" s="35">
        <v>0</v>
      </c>
      <c r="AE29" s="35">
        <v>0</v>
      </c>
      <c r="AF29" s="35">
        <v>0</v>
      </c>
    </row>
    <row r="30" spans="1:32">
      <c r="A30" s="31">
        <v>81</v>
      </c>
      <c r="B30" s="35">
        <v>64.444053284307529</v>
      </c>
      <c r="C30" s="35">
        <v>56.073090100854536</v>
      </c>
      <c r="D30" s="35">
        <v>39.46762649686157</v>
      </c>
      <c r="E30" s="35">
        <v>33.651573181612697</v>
      </c>
      <c r="F30" s="35">
        <v>30.079843009618557</v>
      </c>
      <c r="G30" s="35">
        <v>27.568300531355082</v>
      </c>
      <c r="H30" s="35">
        <v>25.667376615037796</v>
      </c>
      <c r="I30" s="35">
        <v>24.159215230670522</v>
      </c>
      <c r="J30" s="35">
        <v>22.919863295663358</v>
      </c>
      <c r="K30" s="35">
        <v>21.877390114536119</v>
      </c>
      <c r="L30" s="35">
        <v>20.983649138236789</v>
      </c>
      <c r="M30" s="35">
        <v>20.205910286877771</v>
      </c>
      <c r="N30" s="35">
        <v>19.519267695924878</v>
      </c>
      <c r="O30" s="35">
        <v>18.907608129217564</v>
      </c>
      <c r="P30" s="35">
        <v>18.357956537913239</v>
      </c>
      <c r="Q30" s="35">
        <v>17.860492149783976</v>
      </c>
      <c r="R30" s="35">
        <v>17.406403404351607</v>
      </c>
      <c r="S30" s="35">
        <v>16.990146998291102</v>
      </c>
      <c r="T30" s="35">
        <v>16.606652610136781</v>
      </c>
      <c r="U30" s="35">
        <v>16.251905452465092</v>
      </c>
      <c r="V30" s="35">
        <v>4.0412397989387392</v>
      </c>
      <c r="W30" s="35">
        <v>0</v>
      </c>
      <c r="X30" s="35">
        <v>0</v>
      </c>
      <c r="Y30" s="35">
        <v>0</v>
      </c>
      <c r="Z30" s="35">
        <v>0</v>
      </c>
      <c r="AA30" s="35">
        <v>0</v>
      </c>
      <c r="AB30" s="35">
        <v>0</v>
      </c>
      <c r="AC30" s="35">
        <v>0</v>
      </c>
      <c r="AD30" s="35">
        <v>0</v>
      </c>
      <c r="AE30" s="35">
        <v>0</v>
      </c>
      <c r="AF30" s="35">
        <v>0</v>
      </c>
    </row>
    <row r="31" spans="1:32">
      <c r="A31" s="31">
        <v>85</v>
      </c>
      <c r="B31" s="35">
        <v>28.257916670027697</v>
      </c>
      <c r="C31" s="35">
        <v>24.579277099195984</v>
      </c>
      <c r="D31" s="35">
        <v>26.681159884378665</v>
      </c>
      <c r="E31" s="35">
        <v>29.157686859188761</v>
      </c>
      <c r="F31" s="35">
        <v>31.647225520430165</v>
      </c>
      <c r="G31" s="35">
        <v>34.07614129999277</v>
      </c>
      <c r="H31" s="35">
        <v>36.426044150616818</v>
      </c>
      <c r="I31" s="35">
        <v>29.277261981133101</v>
      </c>
      <c r="J31" s="35">
        <v>26.418204358756157</v>
      </c>
      <c r="K31" s="35">
        <v>24.473421397221411</v>
      </c>
      <c r="L31" s="35">
        <v>22.995544039343027</v>
      </c>
      <c r="M31" s="35">
        <v>21.808836437763507</v>
      </c>
      <c r="N31" s="35">
        <v>20.821147116027131</v>
      </c>
      <c r="O31" s="35">
        <v>19.979252789103121</v>
      </c>
      <c r="P31" s="35">
        <v>19.248208135406152</v>
      </c>
      <c r="Q31" s="35">
        <v>18.604784519741305</v>
      </c>
      <c r="R31" s="35">
        <v>18.031482761416388</v>
      </c>
      <c r="S31" s="35">
        <v>17.516147509822215</v>
      </c>
      <c r="T31" s="35">
        <v>17.049068474161114</v>
      </c>
      <c r="U31" s="35">
        <v>16.623113114013496</v>
      </c>
      <c r="V31" s="35">
        <v>11.10562372283362</v>
      </c>
      <c r="W31" s="35">
        <v>9.1354956174250628</v>
      </c>
      <c r="X31" s="35">
        <v>7.2185823771547097</v>
      </c>
      <c r="Y31" s="35">
        <v>5.3503473086552056</v>
      </c>
      <c r="Z31" s="35">
        <v>3.5267468608905519</v>
      </c>
      <c r="AA31" s="35">
        <v>1.7443193470901077</v>
      </c>
      <c r="AB31" s="35">
        <v>0</v>
      </c>
      <c r="AC31" s="35">
        <v>0</v>
      </c>
      <c r="AD31" s="35">
        <v>0</v>
      </c>
      <c r="AE31" s="35">
        <v>0</v>
      </c>
      <c r="AF31" s="35">
        <v>0</v>
      </c>
    </row>
    <row r="32" spans="1:32">
      <c r="A32" s="31">
        <v>89</v>
      </c>
      <c r="B32" s="35">
        <v>56.377075392056078</v>
      </c>
      <c r="C32" s="35">
        <v>50.472362661465404</v>
      </c>
      <c r="D32" s="35">
        <v>55.230322979760352</v>
      </c>
      <c r="E32" s="35">
        <v>60.685975617846836</v>
      </c>
      <c r="F32" s="35">
        <v>66.150419370167157</v>
      </c>
      <c r="G32" s="35">
        <v>71.483772217505049</v>
      </c>
      <c r="H32" s="35">
        <v>76.651695716385092</v>
      </c>
      <c r="I32" s="35">
        <v>81.65456065679227</v>
      </c>
      <c r="J32" s="35">
        <v>67.706822252157863</v>
      </c>
      <c r="K32" s="35">
        <v>61.847099338976193</v>
      </c>
      <c r="L32" s="35">
        <v>57.788267771297484</v>
      </c>
      <c r="M32" s="35">
        <v>54.66458469039874</v>
      </c>
      <c r="N32" s="35">
        <v>52.129449592378847</v>
      </c>
      <c r="O32" s="35">
        <v>50.002704878915196</v>
      </c>
      <c r="P32" s="35">
        <v>48.176538881132146</v>
      </c>
      <c r="Q32" s="35">
        <v>46.581240652885469</v>
      </c>
      <c r="R32" s="35">
        <v>45.168520043285078</v>
      </c>
      <c r="S32" s="35">
        <v>43.904300058939931</v>
      </c>
      <c r="T32" s="35">
        <v>42.762654082456777</v>
      </c>
      <c r="U32" s="35">
        <v>41.723998822449083</v>
      </c>
      <c r="V32" s="35">
        <v>29.27582621872153</v>
      </c>
      <c r="W32" s="35">
        <v>24.77618447710503</v>
      </c>
      <c r="X32" s="35">
        <v>20.398443113054316</v>
      </c>
      <c r="Y32" s="35">
        <v>16.131372929345904</v>
      </c>
      <c r="Z32" s="35">
        <v>11.965713880970947</v>
      </c>
      <c r="AA32" s="35">
        <v>7.8931930367711454</v>
      </c>
      <c r="AB32" s="35">
        <v>3.9067183574388151</v>
      </c>
      <c r="AC32" s="35">
        <v>0</v>
      </c>
      <c r="AD32" s="35">
        <v>0</v>
      </c>
      <c r="AE32" s="35">
        <v>0</v>
      </c>
      <c r="AF32" s="35">
        <v>0</v>
      </c>
    </row>
    <row r="33" spans="1:32">
      <c r="A33" s="31">
        <v>93</v>
      </c>
      <c r="B33" s="35">
        <v>55.126694833925725</v>
      </c>
      <c r="C33" s="35">
        <v>49.365057292499223</v>
      </c>
      <c r="D33" s="35">
        <v>53.99878838819194</v>
      </c>
      <c r="E33" s="35">
        <v>59.318688366147384</v>
      </c>
      <c r="F33" s="35">
        <v>64.647966472126996</v>
      </c>
      <c r="G33" s="35">
        <v>69.849115660750016</v>
      </c>
      <c r="H33" s="35">
        <v>74.888345128742969</v>
      </c>
      <c r="I33" s="35">
        <v>61.390404841704381</v>
      </c>
      <c r="J33" s="35">
        <v>55.783253126409264</v>
      </c>
      <c r="K33" s="35">
        <v>51.933474524070249</v>
      </c>
      <c r="L33" s="35">
        <v>48.990438435455623</v>
      </c>
      <c r="M33" s="35">
        <v>46.616587781634266</v>
      </c>
      <c r="N33" s="35">
        <v>44.63363024086587</v>
      </c>
      <c r="O33" s="35">
        <v>42.938162722615296</v>
      </c>
      <c r="P33" s="35">
        <v>41.461975292370596</v>
      </c>
      <c r="Q33" s="35">
        <v>40.159615162989397</v>
      </c>
      <c r="R33" s="35">
        <v>38.996687328891333</v>
      </c>
      <c r="S33" s="35">
        <v>37.949291354192958</v>
      </c>
      <c r="T33" s="35">
        <v>36.998260422152846</v>
      </c>
      <c r="U33" s="35">
        <v>36.129510861090573</v>
      </c>
      <c r="V33" s="35">
        <v>24.135231783747969</v>
      </c>
      <c r="W33" s="35">
        <v>19.869573163152296</v>
      </c>
      <c r="X33" s="35">
        <v>15.712257209026451</v>
      </c>
      <c r="Y33" s="35">
        <v>11.654207652556021</v>
      </c>
      <c r="Z33" s="35">
        <v>7.6873169376747743</v>
      </c>
      <c r="AA33" s="35">
        <v>3.8046353637106636</v>
      </c>
      <c r="AB33" s="35">
        <v>0</v>
      </c>
      <c r="AC33" s="35">
        <v>0</v>
      </c>
      <c r="AD33" s="35">
        <v>0</v>
      </c>
      <c r="AE33" s="35">
        <v>0</v>
      </c>
      <c r="AF33" s="35">
        <v>0</v>
      </c>
    </row>
    <row r="34" spans="1:32">
      <c r="A34" s="31">
        <v>97</v>
      </c>
      <c r="B34" s="35">
        <v>38.976980677080796</v>
      </c>
      <c r="C34" s="35">
        <v>32.421580934187361</v>
      </c>
      <c r="D34" s="35">
        <v>34.621168122340954</v>
      </c>
      <c r="E34" s="35">
        <v>37.420503539325303</v>
      </c>
      <c r="F34" s="35">
        <v>40.263999170564183</v>
      </c>
      <c r="G34" s="35">
        <v>43.037603035497</v>
      </c>
      <c r="H34" s="35">
        <v>45.711881831509764</v>
      </c>
      <c r="I34" s="35">
        <v>35.292303329180172</v>
      </c>
      <c r="J34" s="35">
        <v>31.290591654451632</v>
      </c>
      <c r="K34" s="35">
        <v>28.625124800756875</v>
      </c>
      <c r="L34" s="35">
        <v>26.62791363992967</v>
      </c>
      <c r="M34" s="35">
        <v>25.041454290032874</v>
      </c>
      <c r="N34" s="35">
        <v>23.73272868514778</v>
      </c>
      <c r="O34" s="35">
        <v>22.625598083729351</v>
      </c>
      <c r="P34" s="35">
        <v>21.670590081379775</v>
      </c>
      <c r="Q34" s="35">
        <v>20.835006598534882</v>
      </c>
      <c r="R34" s="35">
        <v>20.094466432099072</v>
      </c>
      <c r="S34" s="35">
        <v>19.432051151020826</v>
      </c>
      <c r="T34" s="35">
        <v>18.834366699374861</v>
      </c>
      <c r="U34" s="35">
        <v>18.291584463910461</v>
      </c>
      <c r="V34" s="35">
        <v>12.223044695333598</v>
      </c>
      <c r="W34" s="35">
        <v>10.034034716994601</v>
      </c>
      <c r="X34" s="35">
        <v>7.9131317100438601</v>
      </c>
      <c r="Y34" s="35">
        <v>5.8542779854416533</v>
      </c>
      <c r="Z34" s="35">
        <v>3.8521032119956229</v>
      </c>
      <c r="AA34" s="35">
        <v>1.9020243126772149</v>
      </c>
      <c r="AB34" s="35">
        <v>0</v>
      </c>
      <c r="AC34" s="35">
        <v>0</v>
      </c>
      <c r="AD34" s="35">
        <v>0</v>
      </c>
      <c r="AE34" s="35">
        <v>0</v>
      </c>
      <c r="AF34" s="35">
        <v>0</v>
      </c>
    </row>
    <row r="35" spans="1:32">
      <c r="A35" s="31">
        <v>101</v>
      </c>
      <c r="B35" s="35">
        <v>29.186871050362104</v>
      </c>
      <c r="C35" s="35">
        <v>26.96205748954501</v>
      </c>
      <c r="D35" s="35">
        <v>29.877477818657471</v>
      </c>
      <c r="E35" s="35">
        <v>33.106006956460313</v>
      </c>
      <c r="F35" s="35">
        <v>36.32593979001367</v>
      </c>
      <c r="G35" s="35">
        <v>39.472566841384484</v>
      </c>
      <c r="H35" s="35">
        <v>42.530508815913663</v>
      </c>
      <c r="I35" s="35">
        <v>45.500775954720552</v>
      </c>
      <c r="J35" s="35">
        <v>38.658244675118652</v>
      </c>
      <c r="K35" s="35">
        <v>35.723769540426197</v>
      </c>
      <c r="L35" s="35">
        <v>33.661594644511808</v>
      </c>
      <c r="M35" s="35">
        <v>32.058995183587946</v>
      </c>
      <c r="N35" s="35">
        <v>30.748522759089443</v>
      </c>
      <c r="O35" s="35">
        <v>29.642353171163347</v>
      </c>
      <c r="P35" s="35">
        <v>28.687500118924856</v>
      </c>
      <c r="Q35" s="35">
        <v>27.849502113114021</v>
      </c>
      <c r="R35" s="35">
        <v>27.104335275996881</v>
      </c>
      <c r="S35" s="35">
        <v>26.435002507479986</v>
      </c>
      <c r="T35" s="35">
        <v>25.828495599024802</v>
      </c>
      <c r="U35" s="35">
        <v>25.274962129935158</v>
      </c>
      <c r="V35" s="35">
        <v>17.730577813567287</v>
      </c>
      <c r="W35" s="35">
        <v>15.028503642311795</v>
      </c>
      <c r="X35" s="35">
        <v>12.39111178880813</v>
      </c>
      <c r="Y35" s="35">
        <v>9.8126245907110885</v>
      </c>
      <c r="Z35" s="35">
        <v>7.2882690128660244</v>
      </c>
      <c r="AA35" s="35">
        <v>4.8137639906442136</v>
      </c>
      <c r="AB35" s="35">
        <v>2.3854314872840816</v>
      </c>
      <c r="AC35" s="35">
        <v>0</v>
      </c>
      <c r="AD35" s="35">
        <v>0</v>
      </c>
      <c r="AE35" s="35">
        <v>0</v>
      </c>
      <c r="AF35" s="35">
        <v>0</v>
      </c>
    </row>
    <row r="36" spans="1:32">
      <c r="A36" s="31">
        <v>105</v>
      </c>
      <c r="B36" s="35">
        <v>41.584174313404155</v>
      </c>
      <c r="C36" s="35">
        <v>37.380971480480795</v>
      </c>
      <c r="D36" s="35">
        <v>27.006503132512744</v>
      </c>
      <c r="E36" s="35">
        <v>23.178218451570778</v>
      </c>
      <c r="F36" s="35">
        <v>20.808855683298841</v>
      </c>
      <c r="G36" s="35">
        <v>19.134673173974647</v>
      </c>
      <c r="H36" s="35">
        <v>17.86297477734465</v>
      </c>
      <c r="I36" s="35">
        <v>16.851152836917475</v>
      </c>
      <c r="J36" s="35">
        <v>16.017702104242076</v>
      </c>
      <c r="K36" s="35">
        <v>15.315227500030367</v>
      </c>
      <c r="L36" s="35">
        <v>14.711907117785287</v>
      </c>
      <c r="M36" s="35">
        <v>14.186066257835165</v>
      </c>
      <c r="N36" s="35">
        <v>13.721157673704859</v>
      </c>
      <c r="O36" s="35">
        <v>13.306483919114033</v>
      </c>
      <c r="P36" s="35">
        <v>12.933407386444346</v>
      </c>
      <c r="Q36" s="35">
        <v>12.595384417757243</v>
      </c>
      <c r="R36" s="35">
        <v>12.286521826876307</v>
      </c>
      <c r="S36" s="35">
        <v>12.003124136934417</v>
      </c>
      <c r="T36" s="35">
        <v>11.741799836865157</v>
      </c>
      <c r="U36" s="35">
        <v>11.499862911630462</v>
      </c>
      <c r="V36" s="35">
        <v>2.8601382103445605</v>
      </c>
      <c r="W36" s="35">
        <v>0</v>
      </c>
      <c r="X36" s="35">
        <v>0</v>
      </c>
      <c r="Y36" s="35">
        <v>0</v>
      </c>
      <c r="Z36" s="35">
        <v>0</v>
      </c>
      <c r="AA36" s="35">
        <v>0</v>
      </c>
      <c r="AB36" s="35">
        <v>0</v>
      </c>
      <c r="AC36" s="35">
        <v>0</v>
      </c>
      <c r="AD36" s="35">
        <v>0</v>
      </c>
      <c r="AE36" s="35">
        <v>0</v>
      </c>
      <c r="AF36" s="35">
        <v>0</v>
      </c>
    </row>
    <row r="37" spans="1:32">
      <c r="A37" s="31">
        <v>109</v>
      </c>
      <c r="B37" s="35">
        <v>21.648631222343116</v>
      </c>
      <c r="C37" s="35">
        <v>18.616977977944273</v>
      </c>
      <c r="D37" s="35">
        <v>20.121016040699899</v>
      </c>
      <c r="E37" s="35">
        <v>21.924481182102237</v>
      </c>
      <c r="F37" s="35">
        <v>23.741684356337135</v>
      </c>
      <c r="G37" s="35">
        <v>25.51430855708557</v>
      </c>
      <c r="H37" s="35">
        <v>27.227652552125907</v>
      </c>
      <c r="I37" s="35">
        <v>28.881193582306452</v>
      </c>
      <c r="J37" s="35">
        <v>23.261003497492826</v>
      </c>
      <c r="K37" s="35">
        <v>21.004323475349288</v>
      </c>
      <c r="L37" s="35">
        <v>19.464736159592857</v>
      </c>
      <c r="M37" s="35">
        <v>18.291549066449114</v>
      </c>
      <c r="N37" s="35">
        <v>17.346550845536935</v>
      </c>
      <c r="O37" s="35">
        <v>16.558617307888728</v>
      </c>
      <c r="P37" s="35">
        <v>15.885548427331777</v>
      </c>
      <c r="Q37" s="35">
        <v>15.3002247446504</v>
      </c>
      <c r="R37" s="35">
        <v>14.783979323030403</v>
      </c>
      <c r="S37" s="35">
        <v>14.323677630732334</v>
      </c>
      <c r="T37" s="35">
        <v>13.909383896906851</v>
      </c>
      <c r="U37" s="35">
        <v>13.533614675893382</v>
      </c>
      <c r="V37" s="35">
        <v>9.4976394801077326</v>
      </c>
      <c r="W37" s="35">
        <v>8.0260099480043046</v>
      </c>
      <c r="X37" s="35">
        <v>6.5986655595894348</v>
      </c>
      <c r="Y37" s="35">
        <v>5.2114075289433188</v>
      </c>
      <c r="Z37" s="35">
        <v>3.8607797248065694</v>
      </c>
      <c r="AA37" s="35">
        <v>2.5437060439075729</v>
      </c>
      <c r="AB37" s="35">
        <v>1.2575551831211771</v>
      </c>
      <c r="AC37" s="35">
        <v>0</v>
      </c>
      <c r="AD37" s="35">
        <v>0</v>
      </c>
      <c r="AE37" s="35">
        <v>0</v>
      </c>
      <c r="AF37" s="35">
        <v>0</v>
      </c>
    </row>
    <row r="38" spans="1:32">
      <c r="A38" s="31">
        <v>113</v>
      </c>
      <c r="B38" s="35">
        <v>23.263686714126376</v>
      </c>
      <c r="C38" s="35">
        <v>21.292965356620144</v>
      </c>
      <c r="D38" s="35">
        <v>15.798991857669106</v>
      </c>
      <c r="E38" s="35">
        <v>13.799500112249534</v>
      </c>
      <c r="F38" s="35">
        <v>12.545321658511504</v>
      </c>
      <c r="G38" s="35">
        <v>11.650036423089498</v>
      </c>
      <c r="H38" s="35">
        <v>10.964307513497818</v>
      </c>
      <c r="I38" s="35">
        <v>10.414865160724728</v>
      </c>
      <c r="J38" s="35">
        <v>9.9595143078959989</v>
      </c>
      <c r="K38" s="35">
        <v>9.5736489562450426</v>
      </c>
      <c r="L38" s="35">
        <v>9.2406437308216098</v>
      </c>
      <c r="M38" s="35">
        <v>8.9491313818311848</v>
      </c>
      <c r="N38" s="35">
        <v>8.6903644108506022</v>
      </c>
      <c r="O38" s="35">
        <v>8.4587056258601478</v>
      </c>
      <c r="P38" s="35">
        <v>8.2495712258600609</v>
      </c>
      <c r="Q38" s="35">
        <v>8.0594821809241246</v>
      </c>
      <c r="R38" s="35">
        <v>7.8852722794527006</v>
      </c>
      <c r="S38" s="35">
        <v>7.7249763741011837</v>
      </c>
      <c r="T38" s="35">
        <v>7.576773487537305</v>
      </c>
      <c r="U38" s="35">
        <v>7.439221291242057</v>
      </c>
      <c r="V38" s="35">
        <v>1.8513696995077666</v>
      </c>
      <c r="W38" s="35">
        <v>0</v>
      </c>
      <c r="X38" s="35">
        <v>0</v>
      </c>
      <c r="Y38" s="35">
        <v>0</v>
      </c>
      <c r="Z38" s="35">
        <v>0</v>
      </c>
      <c r="AA38" s="35">
        <v>0</v>
      </c>
      <c r="AB38" s="35">
        <v>0</v>
      </c>
      <c r="AC38" s="35">
        <v>0</v>
      </c>
      <c r="AD38" s="35">
        <v>0</v>
      </c>
      <c r="AE38" s="35">
        <v>0</v>
      </c>
      <c r="AF38" s="35">
        <v>0</v>
      </c>
    </row>
    <row r="39" spans="1:32">
      <c r="A39" s="31">
        <v>117</v>
      </c>
      <c r="B39" s="35">
        <v>65.049768533261783</v>
      </c>
      <c r="C39" s="35">
        <v>60.781554949778432</v>
      </c>
      <c r="D39" s="35">
        <v>67.627393094870285</v>
      </c>
      <c r="E39" s="35">
        <v>75.138792371583932</v>
      </c>
      <c r="F39" s="35">
        <v>82.622297492290983</v>
      </c>
      <c r="G39" s="35">
        <v>89.938832992048418</v>
      </c>
      <c r="H39" s="35">
        <v>97.055713274556311</v>
      </c>
      <c r="I39" s="35">
        <v>82.292469840927851</v>
      </c>
      <c r="J39" s="35">
        <v>75.991588666041139</v>
      </c>
      <c r="K39" s="35">
        <v>71.581240701126944</v>
      </c>
      <c r="L39" s="35">
        <v>68.165201790631869</v>
      </c>
      <c r="M39" s="35">
        <v>65.38175034895211</v>
      </c>
      <c r="N39" s="35">
        <v>63.03712659377566</v>
      </c>
      <c r="O39" s="35">
        <v>61.018054304008473</v>
      </c>
      <c r="P39" s="35">
        <v>59.249058230437583</v>
      </c>
      <c r="Q39" s="35">
        <v>57.679591233618574</v>
      </c>
      <c r="R39" s="35">
        <v>56.271007905479962</v>
      </c>
      <c r="S39" s="35">
        <v>54.996451287593828</v>
      </c>
      <c r="T39" s="35">
        <v>53.83418597030871</v>
      </c>
      <c r="U39" s="35">
        <v>52.768236133167626</v>
      </c>
      <c r="V39" s="35">
        <v>35.241350151357665</v>
      </c>
      <c r="W39" s="35">
        <v>29.06942161535018</v>
      </c>
      <c r="X39" s="35">
        <v>23.029862221529072</v>
      </c>
      <c r="Y39" s="35">
        <v>17.112052053448792</v>
      </c>
      <c r="Z39" s="35">
        <v>11.306454273770797</v>
      </c>
      <c r="AA39" s="35">
        <v>5.6048699750500299</v>
      </c>
      <c r="AB39" s="35">
        <v>0</v>
      </c>
      <c r="AC39" s="35">
        <v>0</v>
      </c>
      <c r="AD39" s="35">
        <v>0</v>
      </c>
      <c r="AE39" s="35">
        <v>0</v>
      </c>
      <c r="AF39" s="35">
        <v>0</v>
      </c>
    </row>
    <row r="40" spans="1:32">
      <c r="A40" s="31">
        <v>121</v>
      </c>
      <c r="B40" s="35">
        <v>50.112099387969813</v>
      </c>
      <c r="C40" s="35">
        <v>39.698796101559694</v>
      </c>
      <c r="D40" s="35">
        <v>42.013820972060969</v>
      </c>
      <c r="E40" s="35">
        <v>45.124789825138258</v>
      </c>
      <c r="F40" s="35">
        <v>31.603849148762826</v>
      </c>
      <c r="G40" s="35">
        <v>27.046008923525125</v>
      </c>
      <c r="H40" s="35">
        <v>24.156762520405092</v>
      </c>
      <c r="I40" s="35">
        <v>22.072496343598225</v>
      </c>
      <c r="J40" s="35">
        <v>20.464991545362068</v>
      </c>
      <c r="K40" s="35">
        <v>19.172507614079368</v>
      </c>
      <c r="L40" s="35">
        <v>18.101754960703371</v>
      </c>
      <c r="M40" s="35">
        <v>17.194966508441048</v>
      </c>
      <c r="N40" s="35">
        <v>16.413172680033934</v>
      </c>
      <c r="O40" s="35">
        <v>15.730242842547327</v>
      </c>
      <c r="P40" s="35">
        <v>15.126612293609794</v>
      </c>
      <c r="Q40" s="35">
        <v>14.588032066498318</v>
      </c>
      <c r="R40" s="35">
        <v>14.103178300234093</v>
      </c>
      <c r="S40" s="35">
        <v>13.663971767248356</v>
      </c>
      <c r="T40" s="35">
        <v>13.263522828078429</v>
      </c>
      <c r="U40" s="35">
        <v>12.896511372918287</v>
      </c>
      <c r="V40" s="35">
        <v>6.4431369790228539</v>
      </c>
      <c r="W40" s="35">
        <v>4.2363372954042839</v>
      </c>
      <c r="X40" s="35">
        <v>2.090222450976003</v>
      </c>
      <c r="Y40" s="35">
        <v>0</v>
      </c>
      <c r="Z40" s="35">
        <v>0</v>
      </c>
      <c r="AA40" s="35">
        <v>0</v>
      </c>
      <c r="AB40" s="35">
        <v>0</v>
      </c>
      <c r="AC40" s="35">
        <v>0</v>
      </c>
      <c r="AD40" s="35">
        <v>0</v>
      </c>
      <c r="AE40" s="35">
        <v>0</v>
      </c>
      <c r="AF40" s="35">
        <v>0</v>
      </c>
    </row>
    <row r="41" spans="1:32">
      <c r="A41" s="31">
        <v>125</v>
      </c>
      <c r="B41" s="35">
        <v>52.444629397776666</v>
      </c>
      <c r="C41" s="35">
        <v>46.995589449422809</v>
      </c>
      <c r="D41" s="35">
        <v>51.572048606467547</v>
      </c>
      <c r="E41" s="35">
        <v>56.771303170198323</v>
      </c>
      <c r="F41" s="35">
        <v>61.97309431921601</v>
      </c>
      <c r="G41" s="35">
        <v>67.051945133068784</v>
      </c>
      <c r="H41" s="35">
        <v>71.977292592347752</v>
      </c>
      <c r="I41" s="35">
        <v>59.268284110993221</v>
      </c>
      <c r="J41" s="35">
        <v>54.056386876660909</v>
      </c>
      <c r="K41" s="35">
        <v>50.464756316233647</v>
      </c>
      <c r="L41" s="35">
        <v>47.711511360531198</v>
      </c>
      <c r="M41" s="35">
        <v>45.485838342776518</v>
      </c>
      <c r="N41" s="35">
        <v>43.623200414638333</v>
      </c>
      <c r="O41" s="35">
        <v>42.028041879375287</v>
      </c>
      <c r="P41" s="35">
        <v>40.637206965663005</v>
      </c>
      <c r="Q41" s="35">
        <v>39.408570170808041</v>
      </c>
      <c r="R41" s="35">
        <v>38.3101857681037</v>
      </c>
      <c r="S41" s="35">
        <v>37.319855783825389</v>
      </c>
      <c r="T41" s="35">
        <v>36.419743699665041</v>
      </c>
      <c r="U41" s="35">
        <v>35.596742772485747</v>
      </c>
      <c r="V41" s="35">
        <v>23.777935905875591</v>
      </c>
      <c r="W41" s="35">
        <v>19.584617796105658</v>
      </c>
      <c r="X41" s="35">
        <v>15.493834861818199</v>
      </c>
      <c r="Y41" s="35">
        <v>11.497081979760791</v>
      </c>
      <c r="Z41" s="35">
        <v>7.5867526654305655</v>
      </c>
      <c r="AA41" s="35">
        <v>3.756322363789713</v>
      </c>
      <c r="AB41" s="35">
        <v>0</v>
      </c>
      <c r="AC41" s="35">
        <v>0</v>
      </c>
      <c r="AD41" s="35">
        <v>0</v>
      </c>
      <c r="AE41" s="35">
        <v>0</v>
      </c>
      <c r="AF41" s="35">
        <v>0</v>
      </c>
    </row>
    <row r="42" spans="1:32">
      <c r="A42" s="31">
        <v>129</v>
      </c>
      <c r="B42" s="35">
        <v>46.849627368557378</v>
      </c>
      <c r="C42" s="35">
        <v>43.803065798341322</v>
      </c>
      <c r="D42" s="35">
        <v>48.638192788241703</v>
      </c>
      <c r="E42" s="35">
        <v>38.352956902136157</v>
      </c>
      <c r="F42" s="35">
        <v>34.271536516824376</v>
      </c>
      <c r="G42" s="35">
        <v>31.589727589218509</v>
      </c>
      <c r="H42" s="35">
        <v>29.610993777806332</v>
      </c>
      <c r="I42" s="35">
        <v>28.060242371946249</v>
      </c>
      <c r="J42" s="35">
        <v>26.793594533842239</v>
      </c>
      <c r="K42" s="35">
        <v>25.730985782264298</v>
      </c>
      <c r="L42" s="35">
        <v>24.820014541540054</v>
      </c>
      <c r="M42" s="35">
        <v>24.027010050119156</v>
      </c>
      <c r="N42" s="35">
        <v>23.326308672483318</v>
      </c>
      <c r="O42" s="35">
        <v>22.701269134321208</v>
      </c>
      <c r="P42" s="35">
        <v>22.138266249283902</v>
      </c>
      <c r="Q42" s="35">
        <v>21.627758187219591</v>
      </c>
      <c r="R42" s="35">
        <v>21.16092987611141</v>
      </c>
      <c r="S42" s="35">
        <v>20.732157715109803</v>
      </c>
      <c r="T42" s="35">
        <v>20.336073665564538</v>
      </c>
      <c r="U42" s="35">
        <v>19.968921287897114</v>
      </c>
      <c r="V42" s="35">
        <v>7.9714174165879506</v>
      </c>
      <c r="W42" s="35">
        <v>3.9506573901322608</v>
      </c>
      <c r="X42" s="35">
        <v>0</v>
      </c>
      <c r="Y42" s="35">
        <v>0</v>
      </c>
      <c r="Z42" s="35">
        <v>0</v>
      </c>
      <c r="AA42" s="35">
        <v>0</v>
      </c>
      <c r="AB42" s="35">
        <v>0</v>
      </c>
      <c r="AC42" s="35">
        <v>0</v>
      </c>
      <c r="AD42" s="35">
        <v>0</v>
      </c>
      <c r="AE42" s="35">
        <v>0</v>
      </c>
      <c r="AF42" s="35">
        <v>0</v>
      </c>
    </row>
    <row r="43" spans="1:32">
      <c r="A43" s="31">
        <v>133</v>
      </c>
      <c r="B43" s="35">
        <v>38.355194845067167</v>
      </c>
      <c r="C43" s="35">
        <v>36.865833808893008</v>
      </c>
      <c r="D43" s="35">
        <v>41.270749296602347</v>
      </c>
      <c r="E43" s="35">
        <v>33.26115669972274</v>
      </c>
      <c r="F43" s="35">
        <v>29.985218818463935</v>
      </c>
      <c r="G43" s="35">
        <v>27.81303812410124</v>
      </c>
      <c r="H43" s="35">
        <v>26.20037063821923</v>
      </c>
      <c r="I43" s="35">
        <v>24.930403176489232</v>
      </c>
      <c r="J43" s="35">
        <v>23.888960978843485</v>
      </c>
      <c r="K43" s="35">
        <v>23.012302796879069</v>
      </c>
      <c r="L43" s="35">
        <v>22.258504880434895</v>
      </c>
      <c r="M43" s="35">
        <v>21.600576730274657</v>
      </c>
      <c r="N43" s="35">
        <v>21.017834751522923</v>
      </c>
      <c r="O43" s="35">
        <v>20.49688183721797</v>
      </c>
      <c r="P43" s="35">
        <v>20.026693218151365</v>
      </c>
      <c r="Q43" s="35">
        <v>19.599553520674462</v>
      </c>
      <c r="R43" s="35">
        <v>19.20828487617224</v>
      </c>
      <c r="S43" s="35">
        <v>18.848331775662018</v>
      </c>
      <c r="T43" s="35">
        <v>18.51531558085253</v>
      </c>
      <c r="U43" s="35">
        <v>18.206182395730973</v>
      </c>
      <c r="V43" s="35">
        <v>7.2688966617145452</v>
      </c>
      <c r="W43" s="35">
        <v>3.6049091921187517</v>
      </c>
      <c r="X43" s="35">
        <v>0</v>
      </c>
      <c r="Y43" s="35">
        <v>0</v>
      </c>
      <c r="Z43" s="35">
        <v>0</v>
      </c>
      <c r="AA43" s="35">
        <v>0</v>
      </c>
      <c r="AB43" s="35">
        <v>0</v>
      </c>
      <c r="AC43" s="35">
        <v>0</v>
      </c>
      <c r="AD43" s="35">
        <v>0</v>
      </c>
      <c r="AE43" s="35">
        <v>0</v>
      </c>
      <c r="AF43" s="35">
        <v>0</v>
      </c>
    </row>
    <row r="44" spans="1:32">
      <c r="A44" s="31">
        <v>137</v>
      </c>
      <c r="B44" s="35">
        <v>19.183005668484846</v>
      </c>
      <c r="C44" s="35">
        <v>16.058541823186644</v>
      </c>
      <c r="D44" s="35">
        <v>17.194926526307661</v>
      </c>
      <c r="E44" s="35">
        <v>18.619129251336695</v>
      </c>
      <c r="F44" s="35">
        <v>20.062804865379171</v>
      </c>
      <c r="G44" s="35">
        <v>21.470951506014835</v>
      </c>
      <c r="H44" s="35">
        <v>22.829449049510778</v>
      </c>
      <c r="I44" s="35">
        <v>17.743024615223145</v>
      </c>
      <c r="J44" s="35">
        <v>15.780732124084068</v>
      </c>
      <c r="K44" s="35">
        <v>14.468960769969954</v>
      </c>
      <c r="L44" s="35">
        <v>13.483641424559046</v>
      </c>
      <c r="M44" s="35">
        <v>12.699474740051743</v>
      </c>
      <c r="N44" s="35">
        <v>12.051573637339839</v>
      </c>
      <c r="O44" s="35">
        <v>11.502740308026885</v>
      </c>
      <c r="P44" s="35">
        <v>11.028761752768212</v>
      </c>
      <c r="Q44" s="35">
        <v>10.613618847416133</v>
      </c>
      <c r="R44" s="35">
        <v>10.245345888161896</v>
      </c>
      <c r="S44" s="35">
        <v>9.9156380171463141</v>
      </c>
      <c r="T44" s="35">
        <v>9.6179101871109491</v>
      </c>
      <c r="U44" s="35">
        <v>9.3473293153011241</v>
      </c>
      <c r="V44" s="35">
        <v>6.2459575111934624</v>
      </c>
      <c r="W44" s="35">
        <v>5.129269037310844</v>
      </c>
      <c r="X44" s="35">
        <v>4.0465061653484993</v>
      </c>
      <c r="Y44" s="35">
        <v>2.9946736637227618</v>
      </c>
      <c r="Z44" s="35">
        <v>1.9711136661030124</v>
      </c>
      <c r="AA44" s="35">
        <v>0.97355665925735635</v>
      </c>
      <c r="AB44" s="35">
        <v>0</v>
      </c>
      <c r="AC44" s="35">
        <v>0</v>
      </c>
      <c r="AD44" s="35">
        <v>0</v>
      </c>
      <c r="AE44" s="35">
        <v>0</v>
      </c>
      <c r="AF44" s="35">
        <v>0</v>
      </c>
    </row>
    <row r="45" spans="1:32">
      <c r="A45" s="31">
        <v>141</v>
      </c>
      <c r="B45" s="35">
        <v>64.34037235922348</v>
      </c>
      <c r="C45" s="35">
        <v>63.761461553550717</v>
      </c>
      <c r="D45" s="35">
        <v>72.241918903701773</v>
      </c>
      <c r="E45" s="35">
        <v>81.248605993901691</v>
      </c>
      <c r="F45" s="35">
        <v>90.192724996881594</v>
      </c>
      <c r="G45" s="35">
        <v>98.957731119139694</v>
      </c>
      <c r="H45" s="35">
        <v>86.070939444378368</v>
      </c>
      <c r="I45" s="35">
        <v>80.325906867195116</v>
      </c>
      <c r="J45" s="35">
        <v>76.264922686205082</v>
      </c>
      <c r="K45" s="35">
        <v>73.104005542635988</v>
      </c>
      <c r="L45" s="35">
        <v>70.518817239037986</v>
      </c>
      <c r="M45" s="35">
        <v>68.336500832718045</v>
      </c>
      <c r="N45" s="35">
        <v>66.451420613568573</v>
      </c>
      <c r="O45" s="35">
        <v>64.796517193153974</v>
      </c>
      <c r="P45" s="35">
        <v>63.324905921850579</v>
      </c>
      <c r="Q45" s="35">
        <v>62.002559835822595</v>
      </c>
      <c r="R45" s="35">
        <v>60.80294500252316</v>
      </c>
      <c r="S45" s="35">
        <v>59.707284843107146</v>
      </c>
      <c r="T45" s="35">
        <v>58.700407580348212</v>
      </c>
      <c r="U45" s="35">
        <v>57.770209991262305</v>
      </c>
      <c r="V45" s="35">
        <v>36.146331228749382</v>
      </c>
      <c r="W45" s="35">
        <v>28.68517012109108</v>
      </c>
      <c r="X45" s="35">
        <v>21.348731948593468</v>
      </c>
      <c r="Y45" s="35">
        <v>14.127637688702467</v>
      </c>
      <c r="Z45" s="35">
        <v>7.0138020158406684</v>
      </c>
      <c r="AA45" s="35">
        <v>0</v>
      </c>
      <c r="AB45" s="35">
        <v>0</v>
      </c>
      <c r="AC45" s="35">
        <v>0</v>
      </c>
      <c r="AD45" s="35">
        <v>0</v>
      </c>
      <c r="AE45" s="35">
        <v>0</v>
      </c>
      <c r="AF45" s="35">
        <v>0</v>
      </c>
    </row>
    <row r="46" spans="1:32">
      <c r="A46" s="31">
        <v>145</v>
      </c>
      <c r="B46" s="35">
        <v>68.617320923081635</v>
      </c>
      <c r="C46" s="35">
        <v>58.60303160263723</v>
      </c>
      <c r="D46" s="35">
        <v>62.982559593471848</v>
      </c>
      <c r="E46" s="35">
        <v>68.374438042908125</v>
      </c>
      <c r="F46" s="35">
        <v>73.826595552560306</v>
      </c>
      <c r="G46" s="35">
        <v>79.143614120381969</v>
      </c>
      <c r="H46" s="35">
        <v>84.275603590949402</v>
      </c>
      <c r="I46" s="35">
        <v>89.219832847927236</v>
      </c>
      <c r="J46" s="35">
        <v>71.11071990504071</v>
      </c>
      <c r="K46" s="35">
        <v>63.798960347460614</v>
      </c>
      <c r="L46" s="35">
        <v>58.84562296904803</v>
      </c>
      <c r="M46" s="35">
        <v>55.090020092539781</v>
      </c>
      <c r="N46" s="35">
        <v>52.076859106913844</v>
      </c>
      <c r="O46" s="35">
        <v>49.572749469837618</v>
      </c>
      <c r="P46" s="35">
        <v>47.439733559600363</v>
      </c>
      <c r="Q46" s="35">
        <v>45.589404785738829</v>
      </c>
      <c r="R46" s="35">
        <v>43.961098684332178</v>
      </c>
      <c r="S46" s="35">
        <v>42.512190183728045</v>
      </c>
      <c r="T46" s="35">
        <v>41.210529070509786</v>
      </c>
      <c r="U46" s="35">
        <v>40.031935722986965</v>
      </c>
      <c r="V46" s="35">
        <v>28.096446524640452</v>
      </c>
      <c r="W46" s="35">
        <v>23.72252629310476</v>
      </c>
      <c r="X46" s="35">
        <v>19.487829414846317</v>
      </c>
      <c r="Y46" s="35">
        <v>15.378945373865623</v>
      </c>
      <c r="Z46" s="35">
        <v>11.384846753082856</v>
      </c>
      <c r="AA46" s="35">
        <v>7.4957388056155621</v>
      </c>
      <c r="AB46" s="35">
        <v>3.7032531131594308</v>
      </c>
      <c r="AC46" s="35">
        <v>0</v>
      </c>
      <c r="AD46" s="35">
        <v>0</v>
      </c>
      <c r="AE46" s="35">
        <v>0</v>
      </c>
      <c r="AF46" s="35">
        <v>0</v>
      </c>
    </row>
    <row r="47" spans="1:32">
      <c r="A47" s="31">
        <v>149</v>
      </c>
      <c r="B47" s="35">
        <v>52.664823767080001</v>
      </c>
      <c r="C47" s="35">
        <v>43.209264802086729</v>
      </c>
      <c r="D47" s="35">
        <v>46.032183888759448</v>
      </c>
      <c r="E47" s="35">
        <v>49.671741178862291</v>
      </c>
      <c r="F47" s="35">
        <v>53.375241146008811</v>
      </c>
      <c r="G47" s="35">
        <v>56.988347928447659</v>
      </c>
      <c r="H47" s="35">
        <v>60.471107192570237</v>
      </c>
      <c r="I47" s="35">
        <v>63.820252407445381</v>
      </c>
      <c r="J47" s="35">
        <v>49.48531947235913</v>
      </c>
      <c r="K47" s="35">
        <v>44.036169694764858</v>
      </c>
      <c r="L47" s="35">
        <v>40.388213970853663</v>
      </c>
      <c r="M47" s="35">
        <v>37.64248183303183</v>
      </c>
      <c r="N47" s="35">
        <v>35.451399465473159</v>
      </c>
      <c r="O47" s="35">
        <v>33.638299431150983</v>
      </c>
      <c r="P47" s="35">
        <v>32.099450805709729</v>
      </c>
      <c r="Q47" s="35">
        <v>30.768696802155056</v>
      </c>
      <c r="R47" s="35">
        <v>29.600851102911239</v>
      </c>
      <c r="S47" s="35">
        <v>28.564239737255779</v>
      </c>
      <c r="T47" s="35">
        <v>27.635067853122017</v>
      </c>
      <c r="U47" s="35">
        <v>26.795478361148056</v>
      </c>
      <c r="V47" s="35">
        <v>18.808323274600685</v>
      </c>
      <c r="W47" s="35">
        <v>15.864877383450125</v>
      </c>
      <c r="X47" s="35">
        <v>13.020880194482675</v>
      </c>
      <c r="Y47" s="35">
        <v>10.266573176915916</v>
      </c>
      <c r="Z47" s="35">
        <v>7.5939426563696655</v>
      </c>
      <c r="AA47" s="35">
        <v>4.9958885583312052</v>
      </c>
      <c r="AB47" s="35">
        <v>2.4663538620808372</v>
      </c>
      <c r="AC47" s="35">
        <v>0</v>
      </c>
      <c r="AD47" s="35">
        <v>0</v>
      </c>
      <c r="AE47" s="35">
        <v>0</v>
      </c>
      <c r="AF47" s="35">
        <v>0</v>
      </c>
    </row>
    <row r="48" spans="1:32">
      <c r="A48" s="31">
        <v>153</v>
      </c>
      <c r="B48" s="35">
        <v>27.742221917920318</v>
      </c>
      <c r="C48" s="35">
        <v>23.306447088526127</v>
      </c>
      <c r="D48" s="35">
        <v>25.006890107192483</v>
      </c>
      <c r="E48" s="35">
        <v>27.114803099878849</v>
      </c>
      <c r="F48" s="35">
        <v>29.248387956233948</v>
      </c>
      <c r="G48" s="35">
        <v>31.329507958652567</v>
      </c>
      <c r="H48" s="35">
        <v>33.3381879184452</v>
      </c>
      <c r="I48" s="35">
        <v>35.27323323646263</v>
      </c>
      <c r="J48" s="35">
        <v>27.889885365063456</v>
      </c>
      <c r="K48" s="35">
        <v>25.002886616268817</v>
      </c>
      <c r="L48" s="35">
        <v>23.051612630347769</v>
      </c>
      <c r="M48" s="35">
        <v>21.573775284621654</v>
      </c>
      <c r="N48" s="35">
        <v>20.388898090832026</v>
      </c>
      <c r="O48" s="35">
        <v>19.404672524650497</v>
      </c>
      <c r="P48" s="35">
        <v>18.566613234212362</v>
      </c>
      <c r="Q48" s="35">
        <v>17.839837382709508</v>
      </c>
      <c r="R48" s="35">
        <v>17.200426767352862</v>
      </c>
      <c r="S48" s="35">
        <v>16.631583093223725</v>
      </c>
      <c r="T48" s="35">
        <v>16.120643040284445</v>
      </c>
      <c r="U48" s="35">
        <v>15.658085842088957</v>
      </c>
      <c r="V48" s="35">
        <v>10.989684347930625</v>
      </c>
      <c r="W48" s="35">
        <v>9.2783877694763586</v>
      </c>
      <c r="X48" s="35">
        <v>7.6217424575532728</v>
      </c>
      <c r="Y48" s="35">
        <v>6.0144764827038184</v>
      </c>
      <c r="Z48" s="35">
        <v>4.4522554002581369</v>
      </c>
      <c r="AA48" s="35">
        <v>2.9312301620730423</v>
      </c>
      <c r="AB48" s="35">
        <v>1.4481127027060725</v>
      </c>
      <c r="AC48" s="35">
        <v>0</v>
      </c>
      <c r="AD48" s="35">
        <v>0</v>
      </c>
      <c r="AE48" s="35">
        <v>0</v>
      </c>
      <c r="AF48" s="35">
        <v>0</v>
      </c>
    </row>
    <row r="49" spans="1:32">
      <c r="A49" s="31">
        <v>157</v>
      </c>
      <c r="B49" s="35">
        <v>33.20845397524819</v>
      </c>
      <c r="C49" s="35">
        <v>22.47924803645898</v>
      </c>
      <c r="D49" s="35">
        <v>22.551221522796816</v>
      </c>
      <c r="E49" s="35">
        <v>12.299242582980044</v>
      </c>
      <c r="F49" s="35">
        <v>9.4372068415600552</v>
      </c>
      <c r="G49" s="35">
        <v>7.8150379931525125</v>
      </c>
      <c r="H49" s="35">
        <v>6.7340855864093703</v>
      </c>
      <c r="I49" s="35">
        <v>5.9518535832976811</v>
      </c>
      <c r="J49" s="35">
        <v>5.3538030155811134</v>
      </c>
      <c r="K49" s="35">
        <v>4.8797325597472669</v>
      </c>
      <c r="L49" s="35">
        <v>4.4930288299392869</v>
      </c>
      <c r="M49" s="35">
        <v>4.1710221023395411</v>
      </c>
      <c r="N49" s="35">
        <v>3.8976946322275423</v>
      </c>
      <c r="O49" s="35">
        <v>3.6626490445868263</v>
      </c>
      <c r="P49" s="35">
        <v>3.4579452518295231</v>
      </c>
      <c r="Q49" s="35">
        <v>3.278033266557471</v>
      </c>
      <c r="R49" s="35">
        <v>3.118233768931689</v>
      </c>
      <c r="S49" s="35">
        <v>2.9754031046274751</v>
      </c>
      <c r="T49" s="35">
        <v>2.8467938888135595</v>
      </c>
      <c r="U49" s="35">
        <v>2.7304230963603415</v>
      </c>
      <c r="V49" s="35">
        <v>1.0869082692146155</v>
      </c>
      <c r="W49" s="35">
        <v>0.53251543263057433</v>
      </c>
      <c r="X49" s="35">
        <v>0</v>
      </c>
      <c r="Y49" s="35">
        <v>0</v>
      </c>
      <c r="Z49" s="35">
        <v>0</v>
      </c>
      <c r="AA49" s="35">
        <v>0</v>
      </c>
      <c r="AB49" s="35">
        <v>0</v>
      </c>
      <c r="AC49" s="35">
        <v>0</v>
      </c>
      <c r="AD49" s="35">
        <v>0</v>
      </c>
      <c r="AE49" s="35">
        <v>0</v>
      </c>
      <c r="AF49" s="35">
        <v>0</v>
      </c>
    </row>
    <row r="50" spans="1:32">
      <c r="A50" s="31">
        <v>161</v>
      </c>
      <c r="B50" s="35">
        <v>55.969996474799672</v>
      </c>
      <c r="C50" s="35">
        <v>50.872201504848682</v>
      </c>
      <c r="D50" s="35">
        <v>56.099856953303188</v>
      </c>
      <c r="E50" s="35">
        <v>61.958705731228477</v>
      </c>
      <c r="F50" s="35">
        <v>67.810470417827489</v>
      </c>
      <c r="G50" s="35">
        <v>73.52641953007705</v>
      </c>
      <c r="H50" s="35">
        <v>79.075575330356344</v>
      </c>
      <c r="I50" s="35">
        <v>84.45928804994486</v>
      </c>
      <c r="J50" s="35">
        <v>71.027978551661135</v>
      </c>
      <c r="K50" s="35">
        <v>65.370305012560891</v>
      </c>
      <c r="L50" s="35">
        <v>61.416180033130111</v>
      </c>
      <c r="M50" s="35">
        <v>58.354246090668219</v>
      </c>
      <c r="N50" s="35">
        <v>55.857255126593209</v>
      </c>
      <c r="O50" s="35">
        <v>53.754200230239789</v>
      </c>
      <c r="P50" s="35">
        <v>51.942235783072434</v>
      </c>
      <c r="Q50" s="35">
        <v>50.354621754360508</v>
      </c>
      <c r="R50" s="35">
        <v>48.944942416860869</v>
      </c>
      <c r="S50" s="35">
        <v>47.680390319786319</v>
      </c>
      <c r="T50" s="35">
        <v>46.535911591591208</v>
      </c>
      <c r="U50" s="35">
        <v>45.492549409888234</v>
      </c>
      <c r="V50" s="35">
        <v>31.915735802028973</v>
      </c>
      <c r="W50" s="35">
        <v>27.03753544387861</v>
      </c>
      <c r="X50" s="35">
        <v>22.281442637310892</v>
      </c>
      <c r="Y50" s="35">
        <v>17.636430217977697</v>
      </c>
      <c r="Z50" s="35">
        <v>13.093394235314536</v>
      </c>
      <c r="AA50" s="35">
        <v>8.6441805726793337</v>
      </c>
      <c r="AB50" s="35">
        <v>4.2817891426572734</v>
      </c>
      <c r="AC50" s="35">
        <v>0</v>
      </c>
      <c r="AD50" s="35">
        <v>0</v>
      </c>
      <c r="AE50" s="35">
        <v>0</v>
      </c>
      <c r="AF50" s="35">
        <v>0</v>
      </c>
    </row>
    <row r="51" spans="1:32">
      <c r="A51" s="31">
        <v>165</v>
      </c>
      <c r="B51" s="35">
        <v>66.258079246390636</v>
      </c>
      <c r="C51" s="35">
        <v>58.484879703466255</v>
      </c>
      <c r="D51" s="35">
        <v>63.908827675829933</v>
      </c>
      <c r="E51" s="35">
        <v>70.150088361114541</v>
      </c>
      <c r="F51" s="35">
        <v>54.318755110055811</v>
      </c>
      <c r="G51" s="35">
        <v>48.291022466518683</v>
      </c>
      <c r="H51" s="35">
        <v>44.310086815187617</v>
      </c>
      <c r="I51" s="35">
        <v>41.358287352561142</v>
      </c>
      <c r="J51" s="35">
        <v>39.032744289508265</v>
      </c>
      <c r="K51" s="35">
        <v>37.129947484082663</v>
      </c>
      <c r="L51" s="35">
        <v>35.529824051541581</v>
      </c>
      <c r="M51" s="35">
        <v>34.156863284346954</v>
      </c>
      <c r="N51" s="35">
        <v>32.959208912219303</v>
      </c>
      <c r="O51" s="35">
        <v>31.901893871466115</v>
      </c>
      <c r="P51" s="35">
        <v>30.958288985725421</v>
      </c>
      <c r="Q51" s="35">
        <v>30.108869231887873</v>
      </c>
      <c r="R51" s="35">
        <v>29.337853366901903</v>
      </c>
      <c r="S51" s="35">
        <v>28.63404696949322</v>
      </c>
      <c r="T51" s="35">
        <v>27.987718837364074</v>
      </c>
      <c r="U51" s="35">
        <v>27.391345587632571</v>
      </c>
      <c r="V51" s="35">
        <v>13.687988697863364</v>
      </c>
      <c r="W51" s="35">
        <v>9.0290252529858179</v>
      </c>
      <c r="X51" s="35">
        <v>4.4687700115396858</v>
      </c>
      <c r="Y51" s="35">
        <v>0</v>
      </c>
      <c r="Z51" s="35">
        <v>0</v>
      </c>
      <c r="AA51" s="35">
        <v>0</v>
      </c>
      <c r="AB51" s="35">
        <v>0</v>
      </c>
      <c r="AC51" s="35">
        <v>0</v>
      </c>
      <c r="AD51" s="35">
        <v>0</v>
      </c>
      <c r="AE51" s="35">
        <v>0</v>
      </c>
      <c r="AF51" s="35">
        <v>0</v>
      </c>
    </row>
    <row r="52" spans="1:32">
      <c r="A52" s="31">
        <v>169</v>
      </c>
      <c r="B52" s="35">
        <v>47.124284588544782</v>
      </c>
      <c r="C52" s="35">
        <v>39.376501741136167</v>
      </c>
      <c r="D52" s="35">
        <v>42.12292014367187</v>
      </c>
      <c r="E52" s="35">
        <v>45.583100603527441</v>
      </c>
      <c r="F52" s="35">
        <v>49.093081042620675</v>
      </c>
      <c r="G52" s="35">
        <v>52.51668240547081</v>
      </c>
      <c r="H52" s="35">
        <v>40.11078344469508</v>
      </c>
      <c r="I52" s="35">
        <v>35.399673683718902</v>
      </c>
      <c r="J52" s="35">
        <v>32.283408937807096</v>
      </c>
      <c r="K52" s="35">
        <v>29.963191344120066</v>
      </c>
      <c r="L52" s="35">
        <v>28.129436429554559</v>
      </c>
      <c r="M52" s="35">
        <v>26.62433466723159</v>
      </c>
      <c r="N52" s="35">
        <v>25.355122044747457</v>
      </c>
      <c r="O52" s="35">
        <v>24.264085008121992</v>
      </c>
      <c r="P52" s="35">
        <v>23.311973909866595</v>
      </c>
      <c r="Q52" s="35">
        <v>22.470858094731533</v>
      </c>
      <c r="R52" s="35">
        <v>21.719600270209316</v>
      </c>
      <c r="S52" s="35">
        <v>21.043205240566383</v>
      </c>
      <c r="T52" s="35">
        <v>20.429845971618768</v>
      </c>
      <c r="U52" s="35">
        <v>19.870192273627527</v>
      </c>
      <c r="V52" s="35">
        <v>12.439852334445169</v>
      </c>
      <c r="W52" s="35">
        <v>9.8126265899320586</v>
      </c>
      <c r="X52" s="35">
        <v>7.2611032005319966</v>
      </c>
      <c r="Y52" s="35">
        <v>4.7787602283977488</v>
      </c>
      <c r="Z52" s="35">
        <v>2.3600297976823406</v>
      </c>
      <c r="AA52" s="35">
        <v>0</v>
      </c>
      <c r="AB52" s="35">
        <v>0</v>
      </c>
      <c r="AC52" s="35">
        <v>0</v>
      </c>
      <c r="AD52" s="35">
        <v>0</v>
      </c>
      <c r="AE52" s="35">
        <v>0</v>
      </c>
      <c r="AF52" s="35">
        <v>0</v>
      </c>
    </row>
    <row r="53" spans="1:32">
      <c r="A53" s="31">
        <v>173</v>
      </c>
      <c r="B53" s="35">
        <v>20.983028630050697</v>
      </c>
      <c r="C53" s="35">
        <v>18.442497332139464</v>
      </c>
      <c r="D53" s="35">
        <v>20.112085647592149</v>
      </c>
      <c r="E53" s="35">
        <v>22.04649202801183</v>
      </c>
      <c r="F53" s="35">
        <v>23.986777640840792</v>
      </c>
      <c r="G53" s="35">
        <v>25.880387916506344</v>
      </c>
      <c r="H53" s="35">
        <v>27.714335588062941</v>
      </c>
      <c r="I53" s="35">
        <v>29.488588531474065</v>
      </c>
      <c r="J53" s="35">
        <v>24.211219324704953</v>
      </c>
      <c r="K53" s="35">
        <v>22.059896579092552</v>
      </c>
      <c r="L53" s="35">
        <v>20.575887840566484</v>
      </c>
      <c r="M53" s="35">
        <v>19.436600131958862</v>
      </c>
      <c r="N53" s="35">
        <v>18.51362394049465</v>
      </c>
      <c r="O53" s="35">
        <v>17.740425895288951</v>
      </c>
      <c r="P53" s="35">
        <v>17.077287873880202</v>
      </c>
      <c r="Q53" s="35">
        <v>16.498571573173745</v>
      </c>
      <c r="R53" s="35">
        <v>15.986546087872853</v>
      </c>
      <c r="S53" s="35">
        <v>15.528709022373192</v>
      </c>
      <c r="T53" s="35">
        <v>15.115561625318211</v>
      </c>
      <c r="U53" s="35">
        <v>14.739934274556218</v>
      </c>
      <c r="V53" s="35">
        <v>10.34273105290675</v>
      </c>
      <c r="W53" s="35">
        <v>8.7504182077353576</v>
      </c>
      <c r="X53" s="35">
        <v>7.2022298461482297</v>
      </c>
      <c r="Y53" s="35">
        <v>5.6940755080960965</v>
      </c>
      <c r="Z53" s="35">
        <v>4.2225834607959012</v>
      </c>
      <c r="AA53" s="35">
        <v>2.784743935347437</v>
      </c>
      <c r="AB53" s="35">
        <v>1.3779780376354398</v>
      </c>
      <c r="AC53" s="35">
        <v>0</v>
      </c>
      <c r="AD53" s="35">
        <v>0</v>
      </c>
      <c r="AE53" s="35">
        <v>0</v>
      </c>
      <c r="AF53" s="35">
        <v>0</v>
      </c>
    </row>
    <row r="54" spans="1:32">
      <c r="A54" s="31">
        <v>177</v>
      </c>
      <c r="B54" s="35">
        <v>61.860382354438968</v>
      </c>
      <c r="C54" s="35">
        <v>58.094636355541184</v>
      </c>
      <c r="D54" s="35">
        <v>64.54625289132899</v>
      </c>
      <c r="E54" s="35">
        <v>71.651196925692489</v>
      </c>
      <c r="F54" s="35">
        <v>78.731959538293793</v>
      </c>
      <c r="G54" s="35">
        <v>85.652174223013049</v>
      </c>
      <c r="H54" s="35">
        <v>71.759500253106225</v>
      </c>
      <c r="I54" s="35">
        <v>65.805217330127789</v>
      </c>
      <c r="J54" s="35">
        <v>61.682411514826661</v>
      </c>
      <c r="K54" s="35">
        <v>58.518050547312754</v>
      </c>
      <c r="L54" s="35">
        <v>55.958057107825717</v>
      </c>
      <c r="M54" s="35">
        <v>53.81630762999422</v>
      </c>
      <c r="N54" s="35">
        <v>51.980461206970972</v>
      </c>
      <c r="O54" s="35">
        <v>50.379625274446745</v>
      </c>
      <c r="P54" s="35">
        <v>48.964676588167769</v>
      </c>
      <c r="Q54" s="35">
        <v>47.700182825082216</v>
      </c>
      <c r="R54" s="35">
        <v>46.558790646763008</v>
      </c>
      <c r="S54" s="35">
        <v>45.521111446381234</v>
      </c>
      <c r="T54" s="35">
        <v>44.571605900433262</v>
      </c>
      <c r="U54" s="35">
        <v>43.697919853392598</v>
      </c>
      <c r="V54" s="35">
        <v>27.347180780425653</v>
      </c>
      <c r="W54" s="35">
        <v>21.660062240639526</v>
      </c>
      <c r="X54" s="35">
        <v>16.090429588680948</v>
      </c>
      <c r="Y54" s="35">
        <v>10.629030216932183</v>
      </c>
      <c r="Z54" s="35">
        <v>5.2679122958894995</v>
      </c>
      <c r="AA54" s="35">
        <v>0</v>
      </c>
      <c r="AB54" s="35">
        <v>0</v>
      </c>
      <c r="AC54" s="35">
        <v>0</v>
      </c>
      <c r="AD54" s="35">
        <v>0</v>
      </c>
      <c r="AE54" s="35">
        <v>0</v>
      </c>
      <c r="AF54" s="35">
        <v>0</v>
      </c>
    </row>
    <row r="55" spans="1:32">
      <c r="A55" s="31">
        <v>181</v>
      </c>
      <c r="B55" s="35">
        <v>55.325526025422398</v>
      </c>
      <c r="C55" s="35">
        <v>50.278746909842312</v>
      </c>
      <c r="D55" s="35">
        <v>55.400849935130644</v>
      </c>
      <c r="E55" s="35">
        <v>61.15472353854021</v>
      </c>
      <c r="F55" s="35">
        <v>66.903164700826579</v>
      </c>
      <c r="G55" s="35">
        <v>72.517519752408276</v>
      </c>
      <c r="H55" s="35">
        <v>59.524915000538506</v>
      </c>
      <c r="I55" s="35">
        <v>54.197973242625899</v>
      </c>
      <c r="J55" s="35">
        <v>50.544215886162029</v>
      </c>
      <c r="K55" s="35">
        <v>47.756751831538857</v>
      </c>
      <c r="L55" s="35">
        <v>45.511931836963328</v>
      </c>
      <c r="M55" s="35">
        <v>43.640793427597735</v>
      </c>
      <c r="N55" s="35">
        <v>42.041931809939676</v>
      </c>
      <c r="O55" s="35">
        <v>40.651542889971239</v>
      </c>
      <c r="P55" s="35">
        <v>39.425585806298947</v>
      </c>
      <c r="Q55" s="35">
        <v>38.3323805790317</v>
      </c>
      <c r="R55" s="35">
        <v>37.347569865825349</v>
      </c>
      <c r="S55" s="35">
        <v>36.453883313446347</v>
      </c>
      <c r="T55" s="35">
        <v>35.637524130097077</v>
      </c>
      <c r="U55" s="35">
        <v>34.887539887803669</v>
      </c>
      <c r="V55" s="35">
        <v>21.835078038629756</v>
      </c>
      <c r="W55" s="35">
        <v>17.281245532779586</v>
      </c>
      <c r="X55" s="35">
        <v>12.828377830059294</v>
      </c>
      <c r="Y55" s="35">
        <v>8.4683824553005937</v>
      </c>
      <c r="Z55" s="35">
        <v>4.1943133688642389</v>
      </c>
      <c r="AA55" s="35">
        <v>0</v>
      </c>
      <c r="AB55" s="35">
        <v>0</v>
      </c>
      <c r="AC55" s="35">
        <v>0</v>
      </c>
      <c r="AD55" s="35">
        <v>0</v>
      </c>
      <c r="AE55" s="35">
        <v>0</v>
      </c>
      <c r="AF55" s="35">
        <v>0</v>
      </c>
    </row>
    <row r="56" spans="1:32">
      <c r="A56" s="31">
        <v>185</v>
      </c>
      <c r="B56" s="35">
        <v>43.324048121848868</v>
      </c>
      <c r="C56" s="35">
        <v>38.254080329419331</v>
      </c>
      <c r="D56" s="35">
        <v>41.702967447118326</v>
      </c>
      <c r="E56" s="35">
        <v>31.264373048444174</v>
      </c>
      <c r="F56" s="35">
        <v>27.342448696747635</v>
      </c>
      <c r="G56" s="35">
        <v>24.819667473660292</v>
      </c>
      <c r="H56" s="35">
        <v>22.985441136331126</v>
      </c>
      <c r="I56" s="35">
        <v>21.564407280441277</v>
      </c>
      <c r="J56" s="35">
        <v>20.414751346268243</v>
      </c>
      <c r="K56" s="35">
        <v>19.458156894824949</v>
      </c>
      <c r="L56" s="35">
        <v>18.643943308101257</v>
      </c>
      <c r="M56" s="35">
        <v>17.939698800298213</v>
      </c>
      <c r="N56" s="35">
        <v>17.321024242446608</v>
      </c>
      <c r="O56" s="35">
        <v>16.772064662069791</v>
      </c>
      <c r="P56" s="35">
        <v>16.279988900428553</v>
      </c>
      <c r="Q56" s="35">
        <v>15.835800026157061</v>
      </c>
      <c r="R56" s="35">
        <v>15.431318259835564</v>
      </c>
      <c r="S56" s="35">
        <v>15.06126594116123</v>
      </c>
      <c r="T56" s="35">
        <v>14.720683781846548</v>
      </c>
      <c r="U56" s="35">
        <v>14.406076299977451</v>
      </c>
      <c r="V56" s="35">
        <v>5.7485351740767667</v>
      </c>
      <c r="W56" s="35">
        <v>2.8442990570484001</v>
      </c>
      <c r="X56" s="35">
        <v>0</v>
      </c>
      <c r="Y56" s="35">
        <v>0</v>
      </c>
      <c r="Z56" s="35">
        <v>0</v>
      </c>
      <c r="AA56" s="35">
        <v>0</v>
      </c>
      <c r="AB56" s="35">
        <v>0</v>
      </c>
      <c r="AC56" s="35">
        <v>0</v>
      </c>
      <c r="AD56" s="35">
        <v>0</v>
      </c>
      <c r="AE56" s="35">
        <v>0</v>
      </c>
      <c r="AF56" s="35">
        <v>0</v>
      </c>
    </row>
    <row r="57" spans="1:32">
      <c r="A57" s="31">
        <v>189</v>
      </c>
      <c r="B57" s="35">
        <v>64.134396838230913</v>
      </c>
      <c r="C57" s="35">
        <v>56.992578311742129</v>
      </c>
      <c r="D57" s="35">
        <v>62.052761927360159</v>
      </c>
      <c r="E57" s="35">
        <v>67.955982943648806</v>
      </c>
      <c r="F57" s="35">
        <v>52.503626549132441</v>
      </c>
      <c r="G57" s="35">
        <v>46.413019352978679</v>
      </c>
      <c r="H57" s="35">
        <v>42.406318609748325</v>
      </c>
      <c r="I57" s="35">
        <v>39.445334564807965</v>
      </c>
      <c r="J57" s="35">
        <v>37.119184642376574</v>
      </c>
      <c r="K57" s="35">
        <v>35.220578671245946</v>
      </c>
      <c r="L57" s="35">
        <v>33.627459808655118</v>
      </c>
      <c r="M57" s="35">
        <v>32.263181609786706</v>
      </c>
      <c r="N57" s="35">
        <v>31.075220092993131</v>
      </c>
      <c r="O57" s="35">
        <v>30.028170624283028</v>
      </c>
      <c r="P57" s="35">
        <v>29.095133313532688</v>
      </c>
      <c r="Q57" s="35">
        <v>28.256399230555726</v>
      </c>
      <c r="R57" s="35">
        <v>27.496078489843292</v>
      </c>
      <c r="S57" s="35">
        <v>26.802885338249954</v>
      </c>
      <c r="T57" s="35">
        <v>26.167038681826519</v>
      </c>
      <c r="U57" s="35">
        <v>25.580976420466257</v>
      </c>
      <c r="V57" s="35">
        <v>12.782835930160296</v>
      </c>
      <c r="W57" s="35">
        <v>8.4273002420729419</v>
      </c>
      <c r="X57" s="35">
        <v>4.1687511338453529</v>
      </c>
      <c r="Y57" s="35">
        <v>0</v>
      </c>
      <c r="Z57" s="35">
        <v>0</v>
      </c>
      <c r="AA57" s="35">
        <v>0</v>
      </c>
      <c r="AB57" s="35">
        <v>0</v>
      </c>
      <c r="AC57" s="35">
        <v>0</v>
      </c>
      <c r="AD57" s="35">
        <v>0</v>
      </c>
      <c r="AE57" s="35">
        <v>0</v>
      </c>
      <c r="AF57" s="35">
        <v>0</v>
      </c>
    </row>
    <row r="58" spans="1:32">
      <c r="A58" s="31">
        <v>193</v>
      </c>
      <c r="B58" s="35">
        <v>96.854750059864884</v>
      </c>
      <c r="C58" s="35">
        <v>86.108870656178041</v>
      </c>
      <c r="D58" s="35">
        <v>94.204613022454794</v>
      </c>
      <c r="E58" s="35">
        <v>103.48917653885887</v>
      </c>
      <c r="F58" s="35">
        <v>112.78942317585168</v>
      </c>
      <c r="G58" s="35">
        <v>121.86753905834635</v>
      </c>
      <c r="H58" s="35">
        <v>130.6651664785746</v>
      </c>
      <c r="I58" s="35">
        <v>139.18288941080556</v>
      </c>
      <c r="J58" s="35">
        <v>115.14732319810125</v>
      </c>
      <c r="K58" s="35">
        <v>105.21054234708669</v>
      </c>
      <c r="L58" s="35">
        <v>98.32981943345527</v>
      </c>
      <c r="M58" s="35">
        <v>93.034406312387901</v>
      </c>
      <c r="N58" s="35">
        <v>88.736421805855315</v>
      </c>
      <c r="O58" s="35">
        <v>85.130476964632805</v>
      </c>
      <c r="P58" s="35">
        <v>82.033867566667723</v>
      </c>
      <c r="Q58" s="35">
        <v>79.328474209504407</v>
      </c>
      <c r="R58" s="35">
        <v>76.932477117824746</v>
      </c>
      <c r="S58" s="35">
        <v>74.788142275062683</v>
      </c>
      <c r="T58" s="35">
        <v>72.851542795759215</v>
      </c>
      <c r="U58" s="35">
        <v>71.089499475693984</v>
      </c>
      <c r="V58" s="35">
        <v>49.8798682970844</v>
      </c>
      <c r="W58" s="35">
        <v>42.215750090661714</v>
      </c>
      <c r="X58" s="35">
        <v>34.758405920332152</v>
      </c>
      <c r="Y58" s="35">
        <v>27.488803823117181</v>
      </c>
      <c r="Z58" s="35">
        <v>20.391248889954205</v>
      </c>
      <c r="AA58" s="35">
        <v>13.451718045175696</v>
      </c>
      <c r="AB58" s="35">
        <v>6.6581893576942806</v>
      </c>
      <c r="AC58" s="35">
        <v>0</v>
      </c>
      <c r="AD58" s="35">
        <v>0</v>
      </c>
      <c r="AE58" s="35">
        <v>0</v>
      </c>
      <c r="AF58" s="35">
        <v>0</v>
      </c>
    </row>
    <row r="59" spans="1:32">
      <c r="A59" s="31">
        <v>197</v>
      </c>
      <c r="B59" s="35">
        <v>47.906642088667105</v>
      </c>
      <c r="C59" s="35">
        <v>44.487010002324361</v>
      </c>
      <c r="D59" s="35">
        <v>49.306167268679779</v>
      </c>
      <c r="E59" s="35">
        <v>38.673463763188323</v>
      </c>
      <c r="F59" s="35">
        <v>34.489062133722278</v>
      </c>
      <c r="G59" s="35">
        <v>31.745375849681761</v>
      </c>
      <c r="H59" s="35">
        <v>29.723855339220478</v>
      </c>
      <c r="I59" s="35">
        <v>28.141307941641951</v>
      </c>
      <c r="J59" s="35">
        <v>26.849855108302005</v>
      </c>
      <c r="K59" s="35">
        <v>25.767270128458218</v>
      </c>
      <c r="L59" s="35">
        <v>24.839796792579413</v>
      </c>
      <c r="M59" s="35">
        <v>24.032909786525849</v>
      </c>
      <c r="N59" s="35">
        <v>23.320326106627412</v>
      </c>
      <c r="O59" s="35">
        <v>22.684999100268779</v>
      </c>
      <c r="P59" s="35">
        <v>22.112987455986907</v>
      </c>
      <c r="Q59" s="35">
        <v>21.59452665489329</v>
      </c>
      <c r="R59" s="35">
        <v>21.120609866244781</v>
      </c>
      <c r="S59" s="35">
        <v>20.685484744572378</v>
      </c>
      <c r="T59" s="35">
        <v>20.283668705795638</v>
      </c>
      <c r="U59" s="35">
        <v>19.911322417868362</v>
      </c>
      <c r="V59" s="35">
        <v>7.9481433127829382</v>
      </c>
      <c r="W59" s="35">
        <v>3.9385317206990131</v>
      </c>
      <c r="X59" s="35">
        <v>0</v>
      </c>
      <c r="Y59" s="35">
        <v>0</v>
      </c>
      <c r="Z59" s="35">
        <v>0</v>
      </c>
      <c r="AA59" s="35">
        <v>0</v>
      </c>
      <c r="AB59" s="35">
        <v>0</v>
      </c>
      <c r="AC59" s="35">
        <v>0</v>
      </c>
      <c r="AD59" s="35">
        <v>0</v>
      </c>
      <c r="AE59" s="35">
        <v>0</v>
      </c>
      <c r="AF59" s="35">
        <v>0</v>
      </c>
    </row>
    <row r="60" spans="1:32">
      <c r="A60" s="31"/>
    </row>
    <row r="61" spans="1:32">
      <c r="A61" s="31"/>
    </row>
    <row r="62" spans="1:32">
      <c r="A62" s="31"/>
    </row>
    <row r="63" spans="1:32">
      <c r="A63" s="31"/>
    </row>
    <row r="64" spans="1:32">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row r="124" spans="1:1">
      <c r="A124" s="31"/>
    </row>
    <row r="125" spans="1:1">
      <c r="A125" s="31"/>
    </row>
    <row r="126" spans="1:1">
      <c r="A126" s="31"/>
    </row>
    <row r="127" spans="1:1">
      <c r="A127" s="31"/>
    </row>
    <row r="128" spans="1:1">
      <c r="A128" s="31"/>
    </row>
    <row r="129" spans="1:1">
      <c r="A129" s="31"/>
    </row>
    <row r="130" spans="1:1">
      <c r="A130" s="31"/>
    </row>
    <row r="131" spans="1:1">
      <c r="A131" s="31"/>
    </row>
    <row r="132" spans="1:1">
      <c r="A132" s="31"/>
    </row>
    <row r="133" spans="1:1">
      <c r="A133" s="31"/>
    </row>
    <row r="134" spans="1:1">
      <c r="A134" s="31"/>
    </row>
    <row r="135" spans="1:1">
      <c r="A135" s="31"/>
    </row>
    <row r="136" spans="1:1">
      <c r="A136" s="31"/>
    </row>
    <row r="137" spans="1:1">
      <c r="A137" s="31"/>
    </row>
    <row r="138" spans="1:1">
      <c r="A138" s="31"/>
    </row>
    <row r="139" spans="1:1">
      <c r="A139" s="31"/>
    </row>
    <row r="140" spans="1:1">
      <c r="A140" s="31"/>
    </row>
    <row r="141" spans="1:1">
      <c r="A141" s="31"/>
    </row>
    <row r="142" spans="1:1">
      <c r="A142" s="31"/>
    </row>
    <row r="143" spans="1:1">
      <c r="A143" s="31"/>
    </row>
    <row r="144" spans="1:1">
      <c r="A144" s="31"/>
    </row>
    <row r="145" spans="1:1">
      <c r="A145" s="31"/>
    </row>
    <row r="146" spans="1:1">
      <c r="A146" s="31"/>
    </row>
    <row r="147" spans="1:1">
      <c r="A147" s="31"/>
    </row>
    <row r="148" spans="1:1">
      <c r="A148" s="31"/>
    </row>
    <row r="149" spans="1:1">
      <c r="A149" s="31"/>
    </row>
    <row r="150" spans="1:1">
      <c r="A150" s="31"/>
    </row>
    <row r="151" spans="1:1">
      <c r="A151" s="31"/>
    </row>
    <row r="152" spans="1:1">
      <c r="A152" s="31"/>
    </row>
    <row r="153" spans="1:1">
      <c r="A153" s="31"/>
    </row>
    <row r="154" spans="1:1">
      <c r="A154" s="31"/>
    </row>
    <row r="155" spans="1:1">
      <c r="A155" s="31"/>
    </row>
    <row r="156" spans="1:1">
      <c r="A156" s="31"/>
    </row>
    <row r="157" spans="1:1">
      <c r="A157" s="31"/>
    </row>
    <row r="158" spans="1:1">
      <c r="A158" s="31"/>
    </row>
    <row r="159" spans="1:1">
      <c r="A159" s="31"/>
    </row>
    <row r="160" spans="1:1">
      <c r="A160" s="31"/>
    </row>
    <row r="161" spans="1:1">
      <c r="A161" s="31"/>
    </row>
    <row r="162" spans="1:1">
      <c r="A162" s="31"/>
    </row>
    <row r="163" spans="1:1">
      <c r="A163" s="31"/>
    </row>
    <row r="164" spans="1:1">
      <c r="A164" s="31"/>
    </row>
    <row r="165" spans="1:1">
      <c r="A165" s="31"/>
    </row>
    <row r="166" spans="1:1">
      <c r="A166" s="31"/>
    </row>
    <row r="167" spans="1:1">
      <c r="A167" s="31"/>
    </row>
    <row r="168" spans="1:1">
      <c r="A168" s="31"/>
    </row>
    <row r="169" spans="1:1">
      <c r="A169" s="31"/>
    </row>
    <row r="170" spans="1:1">
      <c r="A170" s="31"/>
    </row>
    <row r="171" spans="1:1">
      <c r="A171" s="31"/>
    </row>
    <row r="172" spans="1:1">
      <c r="A172" s="31"/>
    </row>
    <row r="173" spans="1:1">
      <c r="A173" s="31"/>
    </row>
    <row r="174" spans="1:1">
      <c r="A174" s="31"/>
    </row>
    <row r="175" spans="1:1">
      <c r="A175" s="31"/>
    </row>
    <row r="176" spans="1:1">
      <c r="A176" s="31"/>
    </row>
    <row r="177" spans="1:1">
      <c r="A177" s="31"/>
    </row>
    <row r="178" spans="1:1">
      <c r="A178" s="31"/>
    </row>
    <row r="179" spans="1:1">
      <c r="A179" s="31"/>
    </row>
    <row r="180" spans="1:1">
      <c r="A180" s="31"/>
    </row>
    <row r="181" spans="1:1">
      <c r="A181" s="31"/>
    </row>
    <row r="182" spans="1:1">
      <c r="A182" s="31"/>
    </row>
    <row r="183" spans="1:1">
      <c r="A183" s="31"/>
    </row>
    <row r="184" spans="1:1">
      <c r="A184" s="31"/>
    </row>
    <row r="185" spans="1:1">
      <c r="A185" s="31"/>
    </row>
    <row r="186" spans="1:1">
      <c r="A186" s="31"/>
    </row>
    <row r="187" spans="1:1">
      <c r="A187" s="31"/>
    </row>
    <row r="188" spans="1:1">
      <c r="A188" s="31"/>
    </row>
    <row r="189" spans="1:1">
      <c r="A189" s="31"/>
    </row>
    <row r="190" spans="1:1">
      <c r="A190" s="31"/>
    </row>
    <row r="191" spans="1:1">
      <c r="A191" s="31"/>
    </row>
    <row r="192" spans="1:1">
      <c r="A192" s="31"/>
    </row>
    <row r="193" spans="1:1">
      <c r="A193" s="31"/>
    </row>
    <row r="194" spans="1:1">
      <c r="A194" s="31"/>
    </row>
    <row r="195" spans="1:1">
      <c r="A195" s="31"/>
    </row>
    <row r="196" spans="1:1">
      <c r="A196" s="31"/>
    </row>
    <row r="197" spans="1:1">
      <c r="A197" s="31"/>
    </row>
    <row r="198" spans="1:1">
      <c r="A198" s="31"/>
    </row>
    <row r="199" spans="1:1">
      <c r="A199" s="31"/>
    </row>
    <row r="200" spans="1:1">
      <c r="A200" s="31"/>
    </row>
    <row r="201" spans="1:1">
      <c r="A201" s="31"/>
    </row>
    <row r="202" spans="1:1">
      <c r="A202" s="31"/>
    </row>
    <row r="203" spans="1:1">
      <c r="A203" s="31"/>
    </row>
    <row r="204" spans="1:1">
      <c r="A204" s="31"/>
    </row>
    <row r="205" spans="1:1">
      <c r="A205" s="31"/>
    </row>
    <row r="206" spans="1:1">
      <c r="A206" s="31"/>
    </row>
    <row r="207" spans="1:1">
      <c r="A207" s="31"/>
    </row>
    <row r="208" spans="1:1">
      <c r="A208" s="31"/>
    </row>
    <row r="209" spans="1:1">
      <c r="A209" s="31"/>
    </row>
    <row r="210" spans="1:1">
      <c r="A210" s="31"/>
    </row>
    <row r="211" spans="1:1">
      <c r="A211" s="31"/>
    </row>
    <row r="212" spans="1:1">
      <c r="A212" s="31"/>
    </row>
    <row r="213" spans="1:1">
      <c r="A213" s="31"/>
    </row>
    <row r="214" spans="1:1">
      <c r="A214" s="31"/>
    </row>
    <row r="215" spans="1:1">
      <c r="A215" s="31"/>
    </row>
    <row r="216" spans="1:1">
      <c r="A216" s="31"/>
    </row>
    <row r="217" spans="1:1">
      <c r="A217" s="31"/>
    </row>
    <row r="218" spans="1:1">
      <c r="A218" s="31"/>
    </row>
    <row r="219" spans="1:1">
      <c r="A219" s="31"/>
    </row>
    <row r="220" spans="1:1">
      <c r="A220" s="31"/>
    </row>
    <row r="221" spans="1:1">
      <c r="A221" s="31"/>
    </row>
    <row r="222" spans="1:1">
      <c r="A222" s="31"/>
    </row>
    <row r="223" spans="1:1">
      <c r="A223" s="31"/>
    </row>
    <row r="224" spans="1:1">
      <c r="A224" s="31"/>
    </row>
    <row r="225" spans="1:1">
      <c r="A225" s="31"/>
    </row>
    <row r="226" spans="1:1">
      <c r="A226" s="31"/>
    </row>
    <row r="227" spans="1:1">
      <c r="A227" s="31"/>
    </row>
    <row r="228" spans="1:1">
      <c r="A228" s="31"/>
    </row>
    <row r="229" spans="1:1">
      <c r="A229" s="31"/>
    </row>
    <row r="230" spans="1:1">
      <c r="A230" s="31"/>
    </row>
    <row r="231" spans="1:1">
      <c r="A231" s="31"/>
    </row>
    <row r="232" spans="1:1">
      <c r="A232" s="31"/>
    </row>
    <row r="233" spans="1:1">
      <c r="A233" s="31"/>
    </row>
    <row r="234" spans="1:1">
      <c r="A234" s="31"/>
    </row>
    <row r="235" spans="1:1">
      <c r="A235" s="31"/>
    </row>
    <row r="236" spans="1:1">
      <c r="A236" s="31"/>
    </row>
    <row r="237" spans="1:1">
      <c r="A237" s="31"/>
    </row>
    <row r="238" spans="1:1">
      <c r="A238" s="31"/>
    </row>
    <row r="239" spans="1:1">
      <c r="A239" s="31"/>
    </row>
    <row r="240" spans="1:1">
      <c r="A240" s="31"/>
    </row>
    <row r="241" spans="1:1">
      <c r="A241" s="31"/>
    </row>
    <row r="242" spans="1:1">
      <c r="A242" s="31"/>
    </row>
    <row r="243" spans="1:1">
      <c r="A243" s="31"/>
    </row>
    <row r="244" spans="1:1">
      <c r="A244" s="31"/>
    </row>
    <row r="245" spans="1:1">
      <c r="A245" s="31"/>
    </row>
    <row r="246" spans="1:1">
      <c r="A246" s="31"/>
    </row>
    <row r="247" spans="1:1">
      <c r="A247" s="31"/>
    </row>
    <row r="248" spans="1:1">
      <c r="A248" s="31"/>
    </row>
    <row r="249" spans="1:1">
      <c r="A249" s="31"/>
    </row>
    <row r="250" spans="1:1">
      <c r="A250" s="31"/>
    </row>
    <row r="251" spans="1:1">
      <c r="A251" s="31"/>
    </row>
    <row r="252" spans="1:1">
      <c r="A252" s="31"/>
    </row>
    <row r="253" spans="1:1">
      <c r="A253" s="31"/>
    </row>
    <row r="254" spans="1:1">
      <c r="A254" s="31"/>
    </row>
    <row r="255" spans="1:1">
      <c r="A255" s="31"/>
    </row>
    <row r="256" spans="1:1">
      <c r="A256" s="31"/>
    </row>
    <row r="257" spans="1:1">
      <c r="A257" s="31"/>
    </row>
    <row r="258" spans="1:1">
      <c r="A258" s="31"/>
    </row>
    <row r="259" spans="1:1">
      <c r="A259" s="31"/>
    </row>
    <row r="260" spans="1:1">
      <c r="A260" s="31"/>
    </row>
    <row r="261" spans="1:1">
      <c r="A261" s="31"/>
    </row>
    <row r="262" spans="1:1">
      <c r="A262" s="31"/>
    </row>
    <row r="263" spans="1:1">
      <c r="A263" s="31"/>
    </row>
    <row r="264" spans="1:1">
      <c r="A264" s="31"/>
    </row>
    <row r="265" spans="1:1">
      <c r="A265" s="31"/>
    </row>
    <row r="266" spans="1:1">
      <c r="A266" s="31"/>
    </row>
    <row r="267" spans="1:1">
      <c r="A267" s="31"/>
    </row>
    <row r="268" spans="1:1">
      <c r="A268" s="31"/>
    </row>
    <row r="269" spans="1:1">
      <c r="A269" s="31"/>
    </row>
    <row r="270" spans="1:1">
      <c r="A270" s="31"/>
    </row>
    <row r="271" spans="1:1">
      <c r="A271" s="31"/>
    </row>
    <row r="272" spans="1:1">
      <c r="A272" s="31"/>
    </row>
    <row r="273" spans="1:1">
      <c r="A273" s="31"/>
    </row>
    <row r="274" spans="1:1">
      <c r="A274" s="31"/>
    </row>
    <row r="275" spans="1:1">
      <c r="A275" s="31"/>
    </row>
    <row r="276" spans="1:1">
      <c r="A276" s="31"/>
    </row>
    <row r="277" spans="1:1">
      <c r="A277" s="31"/>
    </row>
    <row r="278" spans="1:1">
      <c r="A278" s="31"/>
    </row>
    <row r="279" spans="1:1">
      <c r="A279" s="31"/>
    </row>
    <row r="280" spans="1:1">
      <c r="A280" s="31"/>
    </row>
    <row r="281" spans="1:1">
      <c r="A281" s="31"/>
    </row>
    <row r="282" spans="1:1">
      <c r="A282" s="31"/>
    </row>
    <row r="283" spans="1:1">
      <c r="A283" s="31"/>
    </row>
    <row r="284" spans="1:1">
      <c r="A284" s="31"/>
    </row>
    <row r="285" spans="1:1">
      <c r="A285" s="31"/>
    </row>
    <row r="286" spans="1:1">
      <c r="A286" s="31"/>
    </row>
    <row r="287" spans="1:1">
      <c r="A287" s="31"/>
    </row>
    <row r="288" spans="1:1">
      <c r="A288" s="31"/>
    </row>
    <row r="289" spans="1:1">
      <c r="A289" s="31"/>
    </row>
    <row r="290" spans="1:1">
      <c r="A290" s="31"/>
    </row>
    <row r="291" spans="1:1">
      <c r="A291" s="31"/>
    </row>
    <row r="292" spans="1:1">
      <c r="A292" s="31"/>
    </row>
    <row r="293" spans="1:1">
      <c r="A293" s="31"/>
    </row>
    <row r="294" spans="1:1">
      <c r="A294" s="31"/>
    </row>
    <row r="295" spans="1:1">
      <c r="A295" s="31"/>
    </row>
    <row r="296" spans="1:1">
      <c r="A296" s="31"/>
    </row>
    <row r="297" spans="1:1">
      <c r="A297" s="31"/>
    </row>
    <row r="298" spans="1:1">
      <c r="A298" s="31"/>
    </row>
    <row r="299" spans="1:1">
      <c r="A299" s="31"/>
    </row>
    <row r="300" spans="1:1">
      <c r="A300" s="31"/>
    </row>
    <row r="301" spans="1:1">
      <c r="A301" s="31"/>
    </row>
    <row r="302" spans="1:1">
      <c r="A302" s="31"/>
    </row>
    <row r="303" spans="1:1">
      <c r="A303" s="31"/>
    </row>
    <row r="304" spans="1:1">
      <c r="A304" s="31"/>
    </row>
    <row r="305" spans="1:1">
      <c r="A305" s="31"/>
    </row>
    <row r="306" spans="1:1">
      <c r="A306" s="31"/>
    </row>
    <row r="307" spans="1:1">
      <c r="A307" s="31"/>
    </row>
    <row r="308" spans="1:1">
      <c r="A308" s="31"/>
    </row>
    <row r="309" spans="1:1">
      <c r="A309" s="31"/>
    </row>
    <row r="310" spans="1:1">
      <c r="A310" s="31"/>
    </row>
    <row r="311" spans="1:1">
      <c r="A311" s="31"/>
    </row>
    <row r="312" spans="1:1">
      <c r="A312" s="31"/>
    </row>
    <row r="313" spans="1:1">
      <c r="A313" s="31"/>
    </row>
    <row r="314" spans="1:1">
      <c r="A314" s="31"/>
    </row>
    <row r="315" spans="1:1">
      <c r="A315" s="31"/>
    </row>
    <row r="316" spans="1:1">
      <c r="A316" s="31"/>
    </row>
    <row r="317" spans="1:1">
      <c r="A317" s="31"/>
    </row>
    <row r="318" spans="1:1">
      <c r="A318" s="31"/>
    </row>
    <row r="319" spans="1:1">
      <c r="A319" s="31"/>
    </row>
    <row r="320" spans="1:1">
      <c r="A320" s="31"/>
    </row>
    <row r="321" spans="1:1">
      <c r="A321" s="31"/>
    </row>
    <row r="322" spans="1:1">
      <c r="A322" s="31"/>
    </row>
    <row r="323" spans="1:1">
      <c r="A323" s="31"/>
    </row>
    <row r="324" spans="1:1">
      <c r="A324" s="31"/>
    </row>
    <row r="325" spans="1:1">
      <c r="A325" s="31"/>
    </row>
    <row r="326" spans="1:1">
      <c r="A326" s="31"/>
    </row>
    <row r="327" spans="1:1">
      <c r="A327" s="31"/>
    </row>
    <row r="328" spans="1:1">
      <c r="A328" s="31"/>
    </row>
    <row r="329" spans="1:1">
      <c r="A329" s="31"/>
    </row>
    <row r="330" spans="1:1">
      <c r="A330" s="31"/>
    </row>
    <row r="331" spans="1:1">
      <c r="A331" s="31"/>
    </row>
    <row r="332" spans="1:1">
      <c r="A332" s="31"/>
    </row>
    <row r="333" spans="1:1">
      <c r="A333" s="31"/>
    </row>
    <row r="334" spans="1:1">
      <c r="A334" s="31"/>
    </row>
    <row r="335" spans="1:1">
      <c r="A335" s="31"/>
    </row>
    <row r="336" spans="1:1">
      <c r="A336" s="31"/>
    </row>
    <row r="337" spans="1:1">
      <c r="A337" s="31"/>
    </row>
    <row r="338" spans="1:1">
      <c r="A338" s="31"/>
    </row>
    <row r="339" spans="1:1">
      <c r="A339" s="31"/>
    </row>
    <row r="340" spans="1:1">
      <c r="A340" s="31"/>
    </row>
    <row r="341" spans="1:1">
      <c r="A341" s="31"/>
    </row>
    <row r="342" spans="1:1">
      <c r="A342" s="31"/>
    </row>
    <row r="343" spans="1:1">
      <c r="A343" s="31"/>
    </row>
    <row r="344" spans="1:1">
      <c r="A344" s="31"/>
    </row>
    <row r="345" spans="1:1">
      <c r="A345" s="31"/>
    </row>
    <row r="346" spans="1:1">
      <c r="A346" s="31"/>
    </row>
    <row r="347" spans="1:1">
      <c r="A347" s="31"/>
    </row>
    <row r="348" spans="1:1">
      <c r="A348" s="31"/>
    </row>
    <row r="349" spans="1:1">
      <c r="A349" s="31"/>
    </row>
    <row r="350" spans="1:1">
      <c r="A350" s="31"/>
    </row>
    <row r="351" spans="1:1">
      <c r="A351" s="31"/>
    </row>
    <row r="352" spans="1:1">
      <c r="A352" s="31"/>
    </row>
    <row r="353" spans="1:1">
      <c r="A353" s="31"/>
    </row>
    <row r="354" spans="1:1">
      <c r="A354" s="31"/>
    </row>
    <row r="355" spans="1:1">
      <c r="A355" s="31"/>
    </row>
    <row r="356" spans="1:1">
      <c r="A356" s="31"/>
    </row>
    <row r="357" spans="1:1">
      <c r="A357" s="31"/>
    </row>
    <row r="358" spans="1:1">
      <c r="A358" s="31"/>
    </row>
    <row r="359" spans="1:1">
      <c r="A359" s="31"/>
    </row>
    <row r="360" spans="1:1">
      <c r="A360" s="31"/>
    </row>
    <row r="361" spans="1:1">
      <c r="A361" s="31"/>
    </row>
    <row r="362" spans="1:1">
      <c r="A362" s="31"/>
    </row>
    <row r="363" spans="1:1">
      <c r="A363" s="31"/>
    </row>
    <row r="364" spans="1:1">
      <c r="A364" s="31"/>
    </row>
    <row r="365" spans="1:1">
      <c r="A365" s="31"/>
    </row>
    <row r="366" spans="1:1">
      <c r="A366" s="31"/>
    </row>
    <row r="367" spans="1:1">
      <c r="A367" s="31"/>
    </row>
    <row r="368" spans="1:1">
      <c r="A368" s="31"/>
    </row>
    <row r="369" spans="1:1">
      <c r="A369" s="31"/>
    </row>
    <row r="370" spans="1:1">
      <c r="A370" s="31"/>
    </row>
    <row r="371" spans="1:1">
      <c r="A371" s="31"/>
    </row>
    <row r="372" spans="1:1">
      <c r="A372" s="31"/>
    </row>
    <row r="373" spans="1:1">
      <c r="A373" s="31"/>
    </row>
    <row r="374" spans="1:1">
      <c r="A374" s="31"/>
    </row>
    <row r="375" spans="1:1">
      <c r="A375" s="31"/>
    </row>
    <row r="376" spans="1:1">
      <c r="A376" s="31"/>
    </row>
    <row r="377" spans="1:1">
      <c r="A377" s="31"/>
    </row>
    <row r="378" spans="1:1">
      <c r="A378" s="31"/>
    </row>
    <row r="379" spans="1:1">
      <c r="A379" s="31"/>
    </row>
    <row r="380" spans="1:1">
      <c r="A380" s="31"/>
    </row>
    <row r="381" spans="1:1">
      <c r="A381" s="31"/>
    </row>
    <row r="382" spans="1:1">
      <c r="A382" s="31"/>
    </row>
    <row r="383" spans="1:1">
      <c r="A383" s="31"/>
    </row>
    <row r="384" spans="1:1">
      <c r="A384" s="31"/>
    </row>
    <row r="385" spans="1:1">
      <c r="A385" s="31"/>
    </row>
    <row r="386" spans="1:1">
      <c r="A386" s="31"/>
    </row>
    <row r="387" spans="1:1">
      <c r="A387" s="31"/>
    </row>
    <row r="388" spans="1:1">
      <c r="A388" s="31"/>
    </row>
    <row r="389" spans="1:1">
      <c r="A389" s="31"/>
    </row>
    <row r="390" spans="1:1">
      <c r="A390" s="31"/>
    </row>
    <row r="391" spans="1:1">
      <c r="A391" s="31"/>
    </row>
    <row r="392" spans="1:1">
      <c r="A392" s="31"/>
    </row>
    <row r="393" spans="1:1">
      <c r="A393" s="31"/>
    </row>
    <row r="394" spans="1:1">
      <c r="A394" s="31"/>
    </row>
    <row r="395" spans="1:1">
      <c r="A395" s="31"/>
    </row>
    <row r="396" spans="1:1">
      <c r="A396" s="31"/>
    </row>
    <row r="397" spans="1:1">
      <c r="A397" s="31"/>
    </row>
    <row r="398" spans="1:1">
      <c r="A398" s="31"/>
    </row>
    <row r="399" spans="1:1">
      <c r="A399" s="31"/>
    </row>
    <row r="400" spans="1:1">
      <c r="A400" s="31"/>
    </row>
    <row r="401" spans="1:1">
      <c r="A401" s="31"/>
    </row>
    <row r="402" spans="1:1">
      <c r="A402" s="31"/>
    </row>
    <row r="403" spans="1:1">
      <c r="A403" s="31"/>
    </row>
    <row r="404" spans="1:1">
      <c r="A404" s="31"/>
    </row>
    <row r="405" spans="1:1">
      <c r="A405" s="31"/>
    </row>
    <row r="406" spans="1:1">
      <c r="A406" s="31"/>
    </row>
    <row r="407" spans="1:1">
      <c r="A407" s="31"/>
    </row>
    <row r="408" spans="1:1">
      <c r="A408" s="31"/>
    </row>
    <row r="409" spans="1:1">
      <c r="A409" s="31"/>
    </row>
    <row r="410" spans="1:1">
      <c r="A410" s="31"/>
    </row>
    <row r="411" spans="1:1">
      <c r="A411" s="31"/>
    </row>
    <row r="412" spans="1:1">
      <c r="A412" s="31"/>
    </row>
    <row r="413" spans="1:1">
      <c r="A413" s="31"/>
    </row>
    <row r="414" spans="1:1">
      <c r="A414" s="31"/>
    </row>
    <row r="415" spans="1:1">
      <c r="A415" s="31"/>
    </row>
    <row r="416" spans="1:1">
      <c r="A416" s="31"/>
    </row>
    <row r="417" spans="1:1">
      <c r="A417" s="31"/>
    </row>
    <row r="418" spans="1:1">
      <c r="A418" s="31"/>
    </row>
    <row r="419" spans="1:1">
      <c r="A419" s="31"/>
    </row>
    <row r="420" spans="1:1">
      <c r="A420" s="31"/>
    </row>
    <row r="421" spans="1:1">
      <c r="A421" s="31"/>
    </row>
    <row r="422" spans="1:1">
      <c r="A422" s="31"/>
    </row>
    <row r="423" spans="1:1">
      <c r="A423" s="31"/>
    </row>
    <row r="424" spans="1:1">
      <c r="A424" s="31"/>
    </row>
    <row r="425" spans="1:1">
      <c r="A425" s="31"/>
    </row>
    <row r="426" spans="1:1">
      <c r="A426" s="31"/>
    </row>
    <row r="427" spans="1:1">
      <c r="A427" s="31"/>
    </row>
    <row r="428" spans="1:1">
      <c r="A428" s="31"/>
    </row>
    <row r="429" spans="1:1">
      <c r="A429" s="31"/>
    </row>
    <row r="430" spans="1:1">
      <c r="A430" s="31"/>
    </row>
    <row r="431" spans="1:1">
      <c r="A431" s="31"/>
    </row>
    <row r="432" spans="1:1">
      <c r="A432" s="31"/>
    </row>
    <row r="433" spans="1:1">
      <c r="A433" s="31"/>
    </row>
    <row r="434" spans="1:1">
      <c r="A434" s="31"/>
    </row>
    <row r="435" spans="1:1">
      <c r="A435" s="31"/>
    </row>
    <row r="436" spans="1:1">
      <c r="A436" s="31"/>
    </row>
    <row r="437" spans="1:1">
      <c r="A437" s="31"/>
    </row>
    <row r="438" spans="1:1">
      <c r="A438" s="31"/>
    </row>
    <row r="439" spans="1:1">
      <c r="A439" s="31"/>
    </row>
    <row r="440" spans="1:1">
      <c r="A440" s="31"/>
    </row>
    <row r="441" spans="1:1">
      <c r="A441" s="31"/>
    </row>
    <row r="442" spans="1:1">
      <c r="A442" s="31"/>
    </row>
    <row r="443" spans="1:1">
      <c r="A443" s="31"/>
    </row>
    <row r="444" spans="1:1">
      <c r="A444" s="31"/>
    </row>
    <row r="445" spans="1:1">
      <c r="A445" s="31"/>
    </row>
    <row r="446" spans="1:1">
      <c r="A446" s="31"/>
    </row>
    <row r="447" spans="1:1">
      <c r="A447" s="31"/>
    </row>
    <row r="448" spans="1:1">
      <c r="A448" s="31"/>
    </row>
    <row r="449" spans="1:1">
      <c r="A449" s="31"/>
    </row>
    <row r="450" spans="1:1">
      <c r="A450" s="31"/>
    </row>
    <row r="451" spans="1:1">
      <c r="A451" s="31"/>
    </row>
    <row r="452" spans="1:1">
      <c r="A452" s="31"/>
    </row>
    <row r="453" spans="1:1">
      <c r="A453" s="31"/>
    </row>
    <row r="454" spans="1:1">
      <c r="A454" s="31"/>
    </row>
    <row r="455" spans="1:1">
      <c r="A455" s="31"/>
    </row>
    <row r="456" spans="1:1">
      <c r="A456" s="31"/>
    </row>
    <row r="457" spans="1:1">
      <c r="A457" s="31"/>
    </row>
    <row r="458" spans="1:1">
      <c r="A458" s="31"/>
    </row>
    <row r="459" spans="1:1">
      <c r="A459" s="31"/>
    </row>
    <row r="460" spans="1:1">
      <c r="A460" s="31"/>
    </row>
    <row r="461" spans="1:1">
      <c r="A461" s="31"/>
    </row>
    <row r="462" spans="1:1">
      <c r="A462" s="31"/>
    </row>
    <row r="463" spans="1:1">
      <c r="A463" s="31"/>
    </row>
    <row r="464" spans="1:1">
      <c r="A464" s="31"/>
    </row>
    <row r="465" spans="1:1">
      <c r="A465" s="31"/>
    </row>
    <row r="466" spans="1:1">
      <c r="A466" s="31"/>
    </row>
    <row r="467" spans="1:1">
      <c r="A467" s="31"/>
    </row>
    <row r="468" spans="1:1">
      <c r="A468" s="31"/>
    </row>
    <row r="469" spans="1:1">
      <c r="A469" s="31"/>
    </row>
    <row r="470" spans="1:1">
      <c r="A470" s="31"/>
    </row>
    <row r="471" spans="1:1">
      <c r="A471" s="31"/>
    </row>
    <row r="472" spans="1:1">
      <c r="A472" s="31"/>
    </row>
    <row r="473" spans="1:1">
      <c r="A473" s="31"/>
    </row>
    <row r="474" spans="1:1">
      <c r="A474" s="31"/>
    </row>
    <row r="475" spans="1:1">
      <c r="A475" s="31"/>
    </row>
    <row r="476" spans="1:1">
      <c r="A476" s="31"/>
    </row>
    <row r="477" spans="1:1">
      <c r="A477" s="31"/>
    </row>
    <row r="478" spans="1:1">
      <c r="A478" s="31"/>
    </row>
    <row r="479" spans="1:1">
      <c r="A479" s="31"/>
    </row>
    <row r="480" spans="1:1">
      <c r="A480" s="31"/>
    </row>
    <row r="481" spans="1:1">
      <c r="A481" s="31"/>
    </row>
    <row r="482" spans="1:1">
      <c r="A482" s="31"/>
    </row>
    <row r="483" spans="1:1">
      <c r="A483" s="31"/>
    </row>
    <row r="484" spans="1:1">
      <c r="A484" s="31"/>
    </row>
    <row r="485" spans="1:1">
      <c r="A485" s="31"/>
    </row>
    <row r="486" spans="1:1">
      <c r="A486" s="31"/>
    </row>
    <row r="487" spans="1:1">
      <c r="A487" s="31"/>
    </row>
    <row r="488" spans="1:1">
      <c r="A488" s="31"/>
    </row>
    <row r="489" spans="1:1">
      <c r="A489" s="31"/>
    </row>
    <row r="490" spans="1:1">
      <c r="A490" s="31"/>
    </row>
    <row r="491" spans="1:1">
      <c r="A491" s="31"/>
    </row>
    <row r="492" spans="1:1">
      <c r="A492" s="31"/>
    </row>
    <row r="493" spans="1:1">
      <c r="A493" s="31"/>
    </row>
    <row r="494" spans="1:1">
      <c r="A494" s="31"/>
    </row>
    <row r="495" spans="1:1">
      <c r="A495" s="31"/>
    </row>
    <row r="496" spans="1:1">
      <c r="A496" s="31"/>
    </row>
    <row r="497" spans="1:1">
      <c r="A497" s="31"/>
    </row>
    <row r="498" spans="1:1">
      <c r="A498" s="31"/>
    </row>
    <row r="499" spans="1:1">
      <c r="A499" s="31"/>
    </row>
    <row r="500" spans="1:1">
      <c r="A500" s="31"/>
    </row>
    <row r="501" spans="1:1">
      <c r="A501" s="31"/>
    </row>
    <row r="502" spans="1:1">
      <c r="A502" s="31"/>
    </row>
    <row r="503" spans="1:1">
      <c r="A503" s="31"/>
    </row>
    <row r="504" spans="1:1">
      <c r="A504" s="31"/>
    </row>
    <row r="505" spans="1:1">
      <c r="A505" s="31"/>
    </row>
    <row r="506" spans="1:1">
      <c r="A506" s="31"/>
    </row>
    <row r="507" spans="1:1">
      <c r="A507" s="31"/>
    </row>
    <row r="508" spans="1:1">
      <c r="A508" s="31"/>
    </row>
    <row r="509" spans="1:1">
      <c r="A509" s="31"/>
    </row>
    <row r="510" spans="1:1">
      <c r="A510" s="31"/>
    </row>
    <row r="511" spans="1:1">
      <c r="A511" s="31"/>
    </row>
    <row r="512" spans="1:1">
      <c r="A512" s="31"/>
    </row>
    <row r="513" spans="1:1">
      <c r="A513" s="31"/>
    </row>
    <row r="514" spans="1:1">
      <c r="A514" s="31"/>
    </row>
    <row r="515" spans="1:1">
      <c r="A515" s="31"/>
    </row>
    <row r="516" spans="1:1">
      <c r="A516" s="31"/>
    </row>
    <row r="517" spans="1:1">
      <c r="A517" s="31"/>
    </row>
    <row r="518" spans="1:1">
      <c r="A518" s="31"/>
    </row>
    <row r="519" spans="1:1">
      <c r="A519" s="31"/>
    </row>
    <row r="520" spans="1:1">
      <c r="A520" s="31"/>
    </row>
    <row r="521" spans="1:1">
      <c r="A521" s="31"/>
    </row>
    <row r="522" spans="1:1">
      <c r="A522" s="31"/>
    </row>
    <row r="523" spans="1:1">
      <c r="A523" s="31"/>
    </row>
    <row r="524" spans="1:1">
      <c r="A524" s="31"/>
    </row>
    <row r="525" spans="1:1">
      <c r="A525" s="31"/>
    </row>
    <row r="526" spans="1:1">
      <c r="A526" s="31"/>
    </row>
    <row r="527" spans="1:1">
      <c r="A527" s="31"/>
    </row>
    <row r="528" spans="1:1">
      <c r="A528" s="31"/>
    </row>
    <row r="529" spans="1:1">
      <c r="A529" s="31"/>
    </row>
    <row r="530" spans="1:1">
      <c r="A530" s="31"/>
    </row>
    <row r="531" spans="1:1">
      <c r="A531" s="31"/>
    </row>
    <row r="532" spans="1:1">
      <c r="A532" s="31"/>
    </row>
    <row r="533" spans="1:1">
      <c r="A533" s="31"/>
    </row>
    <row r="534" spans="1:1">
      <c r="A534" s="31"/>
    </row>
    <row r="535" spans="1:1">
      <c r="A535" s="31"/>
    </row>
    <row r="536" spans="1:1">
      <c r="A536" s="31"/>
    </row>
    <row r="537" spans="1:1">
      <c r="A537" s="31"/>
    </row>
    <row r="538" spans="1:1">
      <c r="A538" s="31"/>
    </row>
    <row r="539" spans="1:1">
      <c r="A539" s="31"/>
    </row>
    <row r="540" spans="1:1">
      <c r="A540" s="31"/>
    </row>
    <row r="541" spans="1:1">
      <c r="A541" s="31"/>
    </row>
    <row r="542" spans="1:1">
      <c r="A542" s="31"/>
    </row>
    <row r="543" spans="1:1">
      <c r="A543" s="31"/>
    </row>
    <row r="544" spans="1:1">
      <c r="A544" s="31"/>
    </row>
    <row r="545" spans="1:1">
      <c r="A545" s="31"/>
    </row>
    <row r="546" spans="1:1">
      <c r="A546" s="31"/>
    </row>
    <row r="547" spans="1:1">
      <c r="A547" s="31"/>
    </row>
    <row r="548" spans="1:1">
      <c r="A548" s="31"/>
    </row>
    <row r="549" spans="1:1">
      <c r="A549" s="31"/>
    </row>
    <row r="550" spans="1:1">
      <c r="A550" s="31"/>
    </row>
    <row r="551" spans="1:1">
      <c r="A551" s="31"/>
    </row>
    <row r="552" spans="1:1">
      <c r="A552" s="31"/>
    </row>
    <row r="553" spans="1:1">
      <c r="A553" s="31"/>
    </row>
    <row r="554" spans="1:1">
      <c r="A554" s="31"/>
    </row>
    <row r="555" spans="1:1">
      <c r="A555" s="31"/>
    </row>
    <row r="556" spans="1:1">
      <c r="A556" s="31"/>
    </row>
    <row r="557" spans="1:1">
      <c r="A557" s="31"/>
    </row>
    <row r="558" spans="1:1">
      <c r="A558" s="31"/>
    </row>
    <row r="559" spans="1:1">
      <c r="A559" s="31"/>
    </row>
    <row r="560" spans="1:1">
      <c r="A560" s="31"/>
    </row>
    <row r="561" spans="1:1">
      <c r="A561" s="31"/>
    </row>
    <row r="562" spans="1:1">
      <c r="A562" s="31"/>
    </row>
    <row r="563" spans="1:1">
      <c r="A563" s="31"/>
    </row>
    <row r="564" spans="1:1">
      <c r="A564" s="31"/>
    </row>
    <row r="565" spans="1:1">
      <c r="A565" s="31"/>
    </row>
    <row r="566" spans="1:1">
      <c r="A566" s="31"/>
    </row>
    <row r="567" spans="1:1">
      <c r="A567" s="31"/>
    </row>
    <row r="568" spans="1:1">
      <c r="A568" s="31"/>
    </row>
    <row r="569" spans="1:1">
      <c r="A569" s="31"/>
    </row>
    <row r="570" spans="1:1">
      <c r="A570" s="31"/>
    </row>
    <row r="571" spans="1:1">
      <c r="A571" s="31"/>
    </row>
    <row r="572" spans="1:1">
      <c r="A572" s="31"/>
    </row>
    <row r="573" spans="1:1">
      <c r="A573" s="31"/>
    </row>
    <row r="574" spans="1:1">
      <c r="A574" s="31"/>
    </row>
    <row r="575" spans="1:1">
      <c r="A575" s="31"/>
    </row>
    <row r="576" spans="1:1">
      <c r="A576" s="31"/>
    </row>
    <row r="577" spans="1:1">
      <c r="A577" s="31"/>
    </row>
    <row r="578" spans="1:1">
      <c r="A578" s="31"/>
    </row>
    <row r="579" spans="1:1">
      <c r="A579" s="31"/>
    </row>
    <row r="580" spans="1:1">
      <c r="A580" s="31"/>
    </row>
    <row r="581" spans="1:1">
      <c r="A581" s="31"/>
    </row>
    <row r="582" spans="1:1">
      <c r="A582" s="31"/>
    </row>
    <row r="583" spans="1:1">
      <c r="A583" s="31"/>
    </row>
    <row r="584" spans="1:1">
      <c r="A584" s="31"/>
    </row>
    <row r="585" spans="1:1">
      <c r="A585" s="31"/>
    </row>
    <row r="586" spans="1:1">
      <c r="A586" s="31"/>
    </row>
    <row r="587" spans="1:1">
      <c r="A587" s="31"/>
    </row>
    <row r="588" spans="1:1">
      <c r="A588" s="31"/>
    </row>
    <row r="589" spans="1:1">
      <c r="A589" s="31"/>
    </row>
    <row r="590" spans="1:1">
      <c r="A590" s="31"/>
    </row>
    <row r="591" spans="1:1">
      <c r="A591" s="31"/>
    </row>
    <row r="592" spans="1:1">
      <c r="A592" s="31"/>
    </row>
    <row r="593" spans="1:1">
      <c r="A593" s="31"/>
    </row>
    <row r="594" spans="1:1">
      <c r="A594" s="31"/>
    </row>
    <row r="595" spans="1:1">
      <c r="A595" s="31"/>
    </row>
    <row r="596" spans="1:1">
      <c r="A596" s="31"/>
    </row>
    <row r="597" spans="1:1">
      <c r="A597" s="31"/>
    </row>
    <row r="598" spans="1:1">
      <c r="A598" s="31"/>
    </row>
    <row r="599" spans="1:1">
      <c r="A599" s="31"/>
    </row>
    <row r="600" spans="1:1">
      <c r="A600" s="31"/>
    </row>
    <row r="601" spans="1:1">
      <c r="A601" s="31"/>
    </row>
    <row r="602" spans="1:1">
      <c r="A602" s="31"/>
    </row>
    <row r="603" spans="1:1">
      <c r="A603" s="31"/>
    </row>
    <row r="604" spans="1:1">
      <c r="A604" s="31"/>
    </row>
    <row r="605" spans="1:1">
      <c r="A605" s="31"/>
    </row>
    <row r="606" spans="1:1">
      <c r="A606" s="31"/>
    </row>
    <row r="607" spans="1:1">
      <c r="A607" s="31"/>
    </row>
    <row r="608" spans="1:1">
      <c r="A608" s="31"/>
    </row>
    <row r="609" spans="1:1">
      <c r="A609" s="31"/>
    </row>
    <row r="610" spans="1:1">
      <c r="A610" s="31"/>
    </row>
    <row r="611" spans="1:1">
      <c r="A611" s="31"/>
    </row>
    <row r="612" spans="1:1">
      <c r="A612" s="31"/>
    </row>
    <row r="613" spans="1:1">
      <c r="A613" s="31"/>
    </row>
    <row r="614" spans="1:1">
      <c r="A614" s="31"/>
    </row>
    <row r="615" spans="1:1">
      <c r="A615" s="31"/>
    </row>
    <row r="616" spans="1:1">
      <c r="A616" s="31"/>
    </row>
    <row r="617" spans="1:1">
      <c r="A617" s="31"/>
    </row>
    <row r="618" spans="1:1">
      <c r="A618" s="31"/>
    </row>
    <row r="619" spans="1:1">
      <c r="A619" s="31"/>
    </row>
    <row r="620" spans="1:1">
      <c r="A620" s="31"/>
    </row>
    <row r="621" spans="1:1">
      <c r="A621" s="31"/>
    </row>
    <row r="622" spans="1:1">
      <c r="A622" s="31"/>
    </row>
    <row r="623" spans="1:1">
      <c r="A623" s="31"/>
    </row>
    <row r="624" spans="1:1">
      <c r="A624" s="31"/>
    </row>
    <row r="625" spans="1:1">
      <c r="A625" s="31"/>
    </row>
    <row r="626" spans="1:1">
      <c r="A626" s="31"/>
    </row>
    <row r="627" spans="1:1">
      <c r="A627" s="31"/>
    </row>
    <row r="628" spans="1:1">
      <c r="A628" s="31"/>
    </row>
    <row r="629" spans="1:1">
      <c r="A629" s="31"/>
    </row>
    <row r="630" spans="1:1">
      <c r="A630" s="31"/>
    </row>
    <row r="631" spans="1:1">
      <c r="A631" s="31"/>
    </row>
    <row r="632" spans="1:1">
      <c r="A632" s="31"/>
    </row>
    <row r="633" spans="1:1">
      <c r="A633" s="31"/>
    </row>
    <row r="634" spans="1:1">
      <c r="A634" s="31"/>
    </row>
    <row r="635" spans="1:1">
      <c r="A635" s="31"/>
    </row>
    <row r="636" spans="1:1">
      <c r="A636" s="31"/>
    </row>
    <row r="637" spans="1:1">
      <c r="A637" s="31"/>
    </row>
    <row r="638" spans="1:1">
      <c r="A638" s="31"/>
    </row>
    <row r="639" spans="1:1">
      <c r="A639" s="31"/>
    </row>
    <row r="640" spans="1:1">
      <c r="A640" s="31"/>
    </row>
    <row r="641" spans="1:1">
      <c r="A641" s="31"/>
    </row>
    <row r="642" spans="1:1">
      <c r="A642" s="31"/>
    </row>
    <row r="643" spans="1:1">
      <c r="A643" s="31"/>
    </row>
    <row r="644" spans="1:1">
      <c r="A644" s="31"/>
    </row>
    <row r="645" spans="1:1">
      <c r="A645" s="31"/>
    </row>
    <row r="646" spans="1:1">
      <c r="A646" s="31"/>
    </row>
    <row r="647" spans="1:1">
      <c r="A647" s="31"/>
    </row>
    <row r="648" spans="1:1">
      <c r="A648" s="31"/>
    </row>
    <row r="649" spans="1:1">
      <c r="A649" s="31"/>
    </row>
    <row r="650" spans="1:1">
      <c r="A650" s="31"/>
    </row>
    <row r="651" spans="1:1">
      <c r="A651" s="31"/>
    </row>
    <row r="652" spans="1:1">
      <c r="A652" s="31"/>
    </row>
    <row r="653" spans="1:1">
      <c r="A653" s="31"/>
    </row>
    <row r="654" spans="1:1">
      <c r="A654" s="31"/>
    </row>
    <row r="655" spans="1:1">
      <c r="A655" s="31"/>
    </row>
    <row r="656" spans="1:1">
      <c r="A656" s="31"/>
    </row>
    <row r="657" spans="1:1">
      <c r="A657" s="31"/>
    </row>
    <row r="658" spans="1:1">
      <c r="A658" s="31"/>
    </row>
    <row r="659" spans="1:1">
      <c r="A659" s="31"/>
    </row>
    <row r="660" spans="1:1">
      <c r="A660" s="31"/>
    </row>
    <row r="661" spans="1:1">
      <c r="A661" s="31"/>
    </row>
    <row r="662" spans="1:1">
      <c r="A662" s="31"/>
    </row>
    <row r="663" spans="1:1">
      <c r="A663" s="31"/>
    </row>
    <row r="664" spans="1:1">
      <c r="A664" s="31"/>
    </row>
    <row r="665" spans="1:1">
      <c r="A665" s="31"/>
    </row>
    <row r="666" spans="1:1">
      <c r="A666" s="31"/>
    </row>
    <row r="667" spans="1:1">
      <c r="A667" s="31"/>
    </row>
    <row r="668" spans="1:1">
      <c r="A668" s="31"/>
    </row>
    <row r="669" spans="1:1">
      <c r="A669" s="31"/>
    </row>
    <row r="670" spans="1:1">
      <c r="A670" s="31"/>
    </row>
    <row r="671" spans="1:1">
      <c r="A671" s="31"/>
    </row>
    <row r="672" spans="1:1">
      <c r="A672" s="31"/>
    </row>
    <row r="673" spans="1:1">
      <c r="A673" s="31"/>
    </row>
    <row r="674" spans="1:1">
      <c r="A674" s="31"/>
    </row>
    <row r="675" spans="1:1">
      <c r="A675" s="31"/>
    </row>
    <row r="676" spans="1:1">
      <c r="A676" s="31"/>
    </row>
    <row r="677" spans="1:1">
      <c r="A677" s="31"/>
    </row>
    <row r="678" spans="1:1">
      <c r="A678" s="31"/>
    </row>
    <row r="679" spans="1:1">
      <c r="A679" s="31"/>
    </row>
    <row r="680" spans="1:1">
      <c r="A680" s="31"/>
    </row>
    <row r="681" spans="1:1">
      <c r="A681" s="31"/>
    </row>
    <row r="682" spans="1:1">
      <c r="A682" s="31"/>
    </row>
    <row r="683" spans="1:1">
      <c r="A683" s="31"/>
    </row>
    <row r="684" spans="1:1">
      <c r="A684" s="31"/>
    </row>
    <row r="685" spans="1:1">
      <c r="A685" s="31"/>
    </row>
    <row r="686" spans="1:1">
      <c r="A686" s="31"/>
    </row>
    <row r="687" spans="1:1">
      <c r="A687" s="31"/>
    </row>
    <row r="688" spans="1:1">
      <c r="A688" s="31"/>
    </row>
    <row r="689" spans="1:1">
      <c r="A689" s="31"/>
    </row>
    <row r="690" spans="1:1">
      <c r="A690" s="31"/>
    </row>
    <row r="691" spans="1:1">
      <c r="A691" s="31"/>
    </row>
    <row r="692" spans="1:1">
      <c r="A692" s="31"/>
    </row>
    <row r="693" spans="1:1">
      <c r="A693" s="31"/>
    </row>
    <row r="694" spans="1:1">
      <c r="A694" s="31"/>
    </row>
    <row r="695" spans="1:1">
      <c r="A695" s="31"/>
    </row>
    <row r="696" spans="1:1">
      <c r="A696" s="31"/>
    </row>
    <row r="697" spans="1:1">
      <c r="A697" s="31"/>
    </row>
    <row r="698" spans="1:1">
      <c r="A698" s="31"/>
    </row>
    <row r="699" spans="1:1">
      <c r="A699" s="31"/>
    </row>
    <row r="700" spans="1:1">
      <c r="A700" s="31"/>
    </row>
    <row r="701" spans="1:1">
      <c r="A701" s="31"/>
    </row>
    <row r="702" spans="1:1">
      <c r="A702" s="31"/>
    </row>
    <row r="703" spans="1:1">
      <c r="A703" s="31"/>
    </row>
    <row r="704" spans="1:1">
      <c r="A704" s="31"/>
    </row>
    <row r="705" spans="1:1">
      <c r="A705" s="31"/>
    </row>
    <row r="706" spans="1:1">
      <c r="A706" s="31"/>
    </row>
    <row r="707" spans="1:1">
      <c r="A707" s="31"/>
    </row>
    <row r="708" spans="1:1">
      <c r="A708" s="31"/>
    </row>
    <row r="709" spans="1:1">
      <c r="A709" s="31"/>
    </row>
    <row r="710" spans="1:1">
      <c r="A710" s="31"/>
    </row>
    <row r="711" spans="1:1">
      <c r="A711" s="31"/>
    </row>
    <row r="712" spans="1:1">
      <c r="A712" s="31"/>
    </row>
    <row r="713" spans="1:1">
      <c r="A713" s="31"/>
    </row>
    <row r="714" spans="1:1">
      <c r="A714" s="31"/>
    </row>
    <row r="715" spans="1:1">
      <c r="A715" s="31"/>
    </row>
    <row r="716" spans="1:1">
      <c r="A716" s="31"/>
    </row>
    <row r="717" spans="1:1">
      <c r="A717" s="31"/>
    </row>
    <row r="718" spans="1:1">
      <c r="A718" s="31"/>
    </row>
    <row r="719" spans="1:1">
      <c r="A719" s="31"/>
    </row>
    <row r="720" spans="1:1">
      <c r="A720" s="31"/>
    </row>
    <row r="721" spans="1:1">
      <c r="A721" s="31"/>
    </row>
    <row r="722" spans="1:1">
      <c r="A722" s="31"/>
    </row>
    <row r="723" spans="1:1">
      <c r="A723" s="31"/>
    </row>
    <row r="724" spans="1:1">
      <c r="A724" s="31"/>
    </row>
    <row r="725" spans="1:1">
      <c r="A725" s="31"/>
    </row>
    <row r="726" spans="1:1">
      <c r="A726" s="31"/>
    </row>
    <row r="727" spans="1:1">
      <c r="A727" s="31"/>
    </row>
    <row r="728" spans="1:1">
      <c r="A728" s="31"/>
    </row>
    <row r="729" spans="1:1">
      <c r="A729" s="31"/>
    </row>
    <row r="730" spans="1:1">
      <c r="A730" s="31"/>
    </row>
    <row r="731" spans="1:1">
      <c r="A731" s="31"/>
    </row>
    <row r="732" spans="1:1">
      <c r="A732" s="31"/>
    </row>
    <row r="733" spans="1:1">
      <c r="A733" s="31"/>
    </row>
    <row r="734" spans="1:1">
      <c r="A734" s="31"/>
    </row>
    <row r="735" spans="1:1">
      <c r="A735" s="31"/>
    </row>
    <row r="736" spans="1:1">
      <c r="A736" s="31"/>
    </row>
    <row r="737" spans="1:1">
      <c r="A737" s="31"/>
    </row>
    <row r="738" spans="1:1">
      <c r="A738" s="31"/>
    </row>
    <row r="739" spans="1:1">
      <c r="A739" s="31"/>
    </row>
    <row r="740" spans="1:1">
      <c r="A740" s="31"/>
    </row>
    <row r="741" spans="1:1">
      <c r="A741" s="31"/>
    </row>
    <row r="742" spans="1:1">
      <c r="A742" s="31"/>
    </row>
    <row r="743" spans="1:1">
      <c r="A743" s="31"/>
    </row>
    <row r="744" spans="1:1">
      <c r="A744" s="31"/>
    </row>
    <row r="745" spans="1:1">
      <c r="A745" s="31"/>
    </row>
    <row r="746" spans="1:1">
      <c r="A746" s="31"/>
    </row>
    <row r="747" spans="1:1">
      <c r="A747" s="31"/>
    </row>
    <row r="748" spans="1:1">
      <c r="A748" s="31"/>
    </row>
    <row r="749" spans="1:1">
      <c r="A749" s="31"/>
    </row>
    <row r="750" spans="1:1">
      <c r="A750" s="31"/>
    </row>
    <row r="751" spans="1:1">
      <c r="A751" s="31"/>
    </row>
    <row r="752" spans="1:1">
      <c r="A752" s="31"/>
    </row>
    <row r="753" spans="1:1">
      <c r="A753" s="31"/>
    </row>
    <row r="754" spans="1:1">
      <c r="A754" s="31"/>
    </row>
    <row r="755" spans="1:1">
      <c r="A755" s="31"/>
    </row>
    <row r="756" spans="1:1">
      <c r="A756" s="31"/>
    </row>
    <row r="757" spans="1:1">
      <c r="A757" s="31"/>
    </row>
    <row r="758" spans="1:1">
      <c r="A758" s="31"/>
    </row>
    <row r="759" spans="1:1">
      <c r="A759" s="31"/>
    </row>
    <row r="760" spans="1:1">
      <c r="A760" s="31"/>
    </row>
    <row r="761" spans="1:1">
      <c r="A761" s="31"/>
    </row>
    <row r="762" spans="1:1">
      <c r="A762" s="31"/>
    </row>
    <row r="763" spans="1:1">
      <c r="A763" s="31"/>
    </row>
    <row r="764" spans="1:1">
      <c r="A764" s="31"/>
    </row>
    <row r="765" spans="1:1">
      <c r="A765" s="31"/>
    </row>
    <row r="766" spans="1:1">
      <c r="A766" s="31"/>
    </row>
    <row r="767" spans="1:1">
      <c r="A767" s="31"/>
    </row>
    <row r="768" spans="1:1">
      <c r="A768" s="31"/>
    </row>
    <row r="769" spans="1:1">
      <c r="A769" s="31"/>
    </row>
    <row r="770" spans="1:1">
      <c r="A770" s="31"/>
    </row>
    <row r="771" spans="1:1">
      <c r="A771" s="31"/>
    </row>
    <row r="772" spans="1:1">
      <c r="A772" s="31"/>
    </row>
    <row r="773" spans="1:1">
      <c r="A773" s="31"/>
    </row>
    <row r="774" spans="1:1">
      <c r="A774" s="31"/>
    </row>
    <row r="775" spans="1:1">
      <c r="A775" s="31"/>
    </row>
    <row r="776" spans="1:1">
      <c r="A776" s="31"/>
    </row>
    <row r="777" spans="1:1">
      <c r="A777" s="31"/>
    </row>
    <row r="778" spans="1:1">
      <c r="A778" s="31"/>
    </row>
    <row r="779" spans="1:1">
      <c r="A779" s="31"/>
    </row>
    <row r="780" spans="1:1">
      <c r="A780" s="31"/>
    </row>
    <row r="781" spans="1:1">
      <c r="A781" s="31"/>
    </row>
    <row r="782" spans="1:1">
      <c r="A782" s="31"/>
    </row>
    <row r="783" spans="1:1">
      <c r="A783" s="31"/>
    </row>
    <row r="784" spans="1:1">
      <c r="A784" s="31"/>
    </row>
    <row r="785" spans="1:1">
      <c r="A785" s="31"/>
    </row>
    <row r="786" spans="1:1">
      <c r="A786" s="31"/>
    </row>
    <row r="787" spans="1:1">
      <c r="A787" s="31"/>
    </row>
    <row r="788" spans="1:1">
      <c r="A788" s="31"/>
    </row>
    <row r="789" spans="1:1">
      <c r="A789" s="31"/>
    </row>
    <row r="790" spans="1:1">
      <c r="A790" s="31"/>
    </row>
    <row r="791" spans="1:1">
      <c r="A791" s="31"/>
    </row>
    <row r="792" spans="1:1">
      <c r="A792" s="31"/>
    </row>
    <row r="793" spans="1:1">
      <c r="A793" s="31"/>
    </row>
    <row r="794" spans="1:1">
      <c r="A794" s="31"/>
    </row>
    <row r="795" spans="1:1">
      <c r="A795" s="31"/>
    </row>
    <row r="796" spans="1:1">
      <c r="A796" s="31"/>
    </row>
    <row r="797" spans="1:1">
      <c r="A797" s="31"/>
    </row>
    <row r="798" spans="1:1">
      <c r="A798" s="31"/>
    </row>
    <row r="799" spans="1:1">
      <c r="A799" s="31"/>
    </row>
    <row r="800" spans="1:1">
      <c r="A800" s="31"/>
    </row>
    <row r="801" spans="1:1">
      <c r="A801" s="31"/>
    </row>
    <row r="802" spans="1:1">
      <c r="A802" s="31"/>
    </row>
    <row r="803" spans="1:1">
      <c r="A803" s="31"/>
    </row>
    <row r="804" spans="1:1">
      <c r="A804" s="31"/>
    </row>
    <row r="805" spans="1:1">
      <c r="A805" s="31"/>
    </row>
    <row r="806" spans="1:1">
      <c r="A806" s="31"/>
    </row>
    <row r="807" spans="1:1">
      <c r="A807" s="31"/>
    </row>
    <row r="808" spans="1:1">
      <c r="A808" s="31"/>
    </row>
    <row r="809" spans="1:1">
      <c r="A809" s="31"/>
    </row>
    <row r="810" spans="1:1">
      <c r="A810" s="31"/>
    </row>
    <row r="811" spans="1:1">
      <c r="A811" s="31"/>
    </row>
    <row r="812" spans="1:1">
      <c r="A812" s="31"/>
    </row>
    <row r="813" spans="1:1">
      <c r="A813" s="31"/>
    </row>
    <row r="814" spans="1:1">
      <c r="A814" s="31"/>
    </row>
    <row r="815" spans="1:1">
      <c r="A815" s="31"/>
    </row>
    <row r="816" spans="1:1">
      <c r="A816" s="31"/>
    </row>
    <row r="817" spans="1:1">
      <c r="A817" s="31"/>
    </row>
    <row r="818" spans="1:1">
      <c r="A818" s="31"/>
    </row>
    <row r="819" spans="1:1">
      <c r="A819" s="31"/>
    </row>
    <row r="820" spans="1:1">
      <c r="A820" s="31"/>
    </row>
    <row r="821" spans="1:1">
      <c r="A821" s="31"/>
    </row>
    <row r="822" spans="1:1">
      <c r="A822" s="31"/>
    </row>
    <row r="823" spans="1:1">
      <c r="A823" s="31"/>
    </row>
    <row r="824" spans="1:1">
      <c r="A824" s="31"/>
    </row>
    <row r="825" spans="1:1">
      <c r="A825" s="31"/>
    </row>
    <row r="826" spans="1:1">
      <c r="A826" s="31"/>
    </row>
    <row r="827" spans="1:1">
      <c r="A827" s="31"/>
    </row>
    <row r="828" spans="1:1">
      <c r="A828" s="31"/>
    </row>
    <row r="829" spans="1:1">
      <c r="A829" s="31"/>
    </row>
    <row r="830" spans="1:1">
      <c r="A830" s="31"/>
    </row>
    <row r="831" spans="1:1">
      <c r="A831" s="31"/>
    </row>
    <row r="832" spans="1:1">
      <c r="A832" s="31"/>
    </row>
    <row r="833" spans="1:1">
      <c r="A833" s="31"/>
    </row>
    <row r="834" spans="1:1">
      <c r="A834" s="31"/>
    </row>
    <row r="835" spans="1:1">
      <c r="A835" s="31"/>
    </row>
    <row r="836" spans="1:1">
      <c r="A836" s="31"/>
    </row>
    <row r="837" spans="1:1">
      <c r="A837" s="31"/>
    </row>
    <row r="838" spans="1:1">
      <c r="A838" s="31"/>
    </row>
    <row r="839" spans="1:1">
      <c r="A839" s="31"/>
    </row>
    <row r="840" spans="1:1">
      <c r="A840" s="31"/>
    </row>
    <row r="841" spans="1:1">
      <c r="A841" s="31"/>
    </row>
    <row r="842" spans="1:1">
      <c r="A842" s="31"/>
    </row>
    <row r="843" spans="1:1">
      <c r="A843" s="31"/>
    </row>
    <row r="844" spans="1:1">
      <c r="A844" s="31"/>
    </row>
    <row r="845" spans="1:1">
      <c r="A845" s="31"/>
    </row>
    <row r="846" spans="1:1">
      <c r="A846" s="31"/>
    </row>
    <row r="847" spans="1:1">
      <c r="A847" s="31"/>
    </row>
    <row r="848" spans="1:1">
      <c r="A848" s="31"/>
    </row>
    <row r="849" spans="1:1">
      <c r="A849" s="31"/>
    </row>
    <row r="850" spans="1:1">
      <c r="A850" s="31"/>
    </row>
    <row r="851" spans="1:1">
      <c r="A851" s="31"/>
    </row>
    <row r="852" spans="1:1">
      <c r="A852" s="31"/>
    </row>
    <row r="853" spans="1:1">
      <c r="A853" s="31"/>
    </row>
    <row r="854" spans="1:1">
      <c r="A854" s="31"/>
    </row>
    <row r="855" spans="1:1">
      <c r="A855" s="31"/>
    </row>
    <row r="856" spans="1:1">
      <c r="A856" s="31"/>
    </row>
    <row r="857" spans="1:1">
      <c r="A857" s="31"/>
    </row>
    <row r="858" spans="1:1">
      <c r="A858" s="31"/>
    </row>
    <row r="859" spans="1:1">
      <c r="A859" s="31"/>
    </row>
    <row r="860" spans="1:1">
      <c r="A860" s="31"/>
    </row>
    <row r="861" spans="1:1">
      <c r="A861" s="31"/>
    </row>
    <row r="862" spans="1:1">
      <c r="A862" s="31"/>
    </row>
    <row r="863" spans="1:1">
      <c r="A863" s="31"/>
    </row>
    <row r="864" spans="1:1">
      <c r="A864" s="31"/>
    </row>
    <row r="865" spans="1:1">
      <c r="A865" s="31"/>
    </row>
    <row r="866" spans="1:1">
      <c r="A866" s="31"/>
    </row>
    <row r="867" spans="1:1">
      <c r="A867" s="31"/>
    </row>
    <row r="868" spans="1:1">
      <c r="A868" s="31"/>
    </row>
    <row r="869" spans="1:1">
      <c r="A869" s="31"/>
    </row>
    <row r="870" spans="1:1">
      <c r="A870" s="31"/>
    </row>
    <row r="871" spans="1:1">
      <c r="A871" s="31"/>
    </row>
    <row r="872" spans="1:1">
      <c r="A872" s="31"/>
    </row>
    <row r="873" spans="1:1">
      <c r="A873" s="31"/>
    </row>
    <row r="874" spans="1:1">
      <c r="A874" s="31"/>
    </row>
    <row r="875" spans="1:1">
      <c r="A875" s="31"/>
    </row>
    <row r="876" spans="1:1">
      <c r="A876" s="31"/>
    </row>
    <row r="877" spans="1:1">
      <c r="A877" s="31"/>
    </row>
    <row r="878" spans="1:1">
      <c r="A878" s="31"/>
    </row>
    <row r="879" spans="1:1">
      <c r="A879" s="31"/>
    </row>
    <row r="880" spans="1:1">
      <c r="A880" s="31"/>
    </row>
    <row r="881" spans="1:1">
      <c r="A881" s="31"/>
    </row>
    <row r="882" spans="1:1">
      <c r="A882" s="31"/>
    </row>
    <row r="883" spans="1:1">
      <c r="A883" s="31"/>
    </row>
    <row r="884" spans="1:1">
      <c r="A884" s="31"/>
    </row>
    <row r="885" spans="1:1">
      <c r="A885" s="31"/>
    </row>
    <row r="886" spans="1:1">
      <c r="A886" s="31"/>
    </row>
    <row r="887" spans="1:1">
      <c r="A887" s="31"/>
    </row>
    <row r="888" spans="1:1">
      <c r="A888" s="31"/>
    </row>
    <row r="889" spans="1:1">
      <c r="A889" s="31"/>
    </row>
    <row r="890" spans="1:1">
      <c r="A890" s="31"/>
    </row>
    <row r="891" spans="1:1">
      <c r="A891" s="31"/>
    </row>
    <row r="892" spans="1:1">
      <c r="A892" s="31"/>
    </row>
    <row r="893" spans="1:1">
      <c r="A893" s="31"/>
    </row>
    <row r="894" spans="1:1">
      <c r="A894" s="31"/>
    </row>
    <row r="895" spans="1:1">
      <c r="A895" s="31"/>
    </row>
    <row r="896" spans="1:1">
      <c r="A896" s="31"/>
    </row>
    <row r="897" spans="1:1">
      <c r="A897" s="31"/>
    </row>
    <row r="898" spans="1:1">
      <c r="A898" s="31"/>
    </row>
    <row r="899" spans="1:1">
      <c r="A899" s="31"/>
    </row>
    <row r="900" spans="1:1">
      <c r="A900" s="31"/>
    </row>
    <row r="901" spans="1:1">
      <c r="A901" s="31"/>
    </row>
    <row r="902" spans="1:1">
      <c r="A902" s="31"/>
    </row>
    <row r="903" spans="1:1">
      <c r="A903" s="31"/>
    </row>
    <row r="904" spans="1:1">
      <c r="A904" s="31"/>
    </row>
    <row r="905" spans="1:1">
      <c r="A905" s="31"/>
    </row>
    <row r="906" spans="1:1">
      <c r="A906" s="31"/>
    </row>
    <row r="907" spans="1:1">
      <c r="A907" s="31"/>
    </row>
    <row r="908" spans="1:1">
      <c r="A908" s="31"/>
    </row>
    <row r="909" spans="1:1">
      <c r="A909" s="31"/>
    </row>
    <row r="910" spans="1:1">
      <c r="A910" s="31"/>
    </row>
    <row r="911" spans="1:1">
      <c r="A911" s="31"/>
    </row>
    <row r="912" spans="1:1">
      <c r="A912" s="31"/>
    </row>
    <row r="913" spans="1:1">
      <c r="A913" s="31"/>
    </row>
    <row r="914" spans="1:1">
      <c r="A914" s="31"/>
    </row>
    <row r="915" spans="1:1">
      <c r="A915" s="31"/>
    </row>
    <row r="916" spans="1:1">
      <c r="A916" s="31"/>
    </row>
    <row r="917" spans="1:1">
      <c r="A917" s="31"/>
    </row>
    <row r="918" spans="1:1">
      <c r="A918" s="31"/>
    </row>
    <row r="919" spans="1:1">
      <c r="A919" s="31"/>
    </row>
    <row r="920" spans="1:1">
      <c r="A920" s="31"/>
    </row>
    <row r="921" spans="1:1">
      <c r="A921" s="31"/>
    </row>
    <row r="922" spans="1:1">
      <c r="A922" s="31"/>
    </row>
    <row r="923" spans="1:1">
      <c r="A923" s="31"/>
    </row>
    <row r="924" spans="1:1">
      <c r="A924" s="31"/>
    </row>
    <row r="925" spans="1:1">
      <c r="A925" s="31"/>
    </row>
    <row r="926" spans="1:1">
      <c r="A926" s="31"/>
    </row>
    <row r="927" spans="1:1">
      <c r="A927" s="31"/>
    </row>
    <row r="928" spans="1:1">
      <c r="A928" s="31"/>
    </row>
    <row r="929" spans="1:1">
      <c r="A929" s="31"/>
    </row>
    <row r="930" spans="1:1">
      <c r="A930" s="31"/>
    </row>
    <row r="931" spans="1:1">
      <c r="A931" s="31"/>
    </row>
    <row r="932" spans="1:1">
      <c r="A932" s="31"/>
    </row>
    <row r="933" spans="1:1">
      <c r="A933" s="31"/>
    </row>
    <row r="934" spans="1:1">
      <c r="A934" s="31"/>
    </row>
    <row r="935" spans="1:1">
      <c r="A935" s="31"/>
    </row>
    <row r="936" spans="1:1">
      <c r="A936" s="31"/>
    </row>
    <row r="937" spans="1:1">
      <c r="A937" s="31"/>
    </row>
    <row r="938" spans="1:1">
      <c r="A938" s="31"/>
    </row>
    <row r="939" spans="1:1">
      <c r="A939" s="31"/>
    </row>
    <row r="940" spans="1:1">
      <c r="A940" s="31"/>
    </row>
    <row r="941" spans="1:1">
      <c r="A941" s="31"/>
    </row>
    <row r="942" spans="1:1">
      <c r="A942" s="31"/>
    </row>
    <row r="943" spans="1:1">
      <c r="A943" s="31"/>
    </row>
    <row r="944" spans="1:1">
      <c r="A944" s="31"/>
    </row>
    <row r="945" spans="1:1">
      <c r="A945" s="31"/>
    </row>
    <row r="946" spans="1:1">
      <c r="A946" s="31"/>
    </row>
    <row r="947" spans="1:1">
      <c r="A947" s="31"/>
    </row>
    <row r="948" spans="1:1">
      <c r="A948" s="31"/>
    </row>
    <row r="949" spans="1:1">
      <c r="A949" s="31"/>
    </row>
    <row r="950" spans="1:1">
      <c r="A950" s="31"/>
    </row>
    <row r="951" spans="1:1">
      <c r="A951" s="31"/>
    </row>
    <row r="952" spans="1:1">
      <c r="A952" s="31"/>
    </row>
    <row r="953" spans="1:1">
      <c r="A953" s="31"/>
    </row>
    <row r="954" spans="1:1">
      <c r="A954" s="31"/>
    </row>
    <row r="955" spans="1:1">
      <c r="A955" s="31"/>
    </row>
    <row r="956" spans="1:1">
      <c r="A956" s="31"/>
    </row>
    <row r="957" spans="1:1">
      <c r="A957" s="31"/>
    </row>
    <row r="958" spans="1:1">
      <c r="A958" s="31"/>
    </row>
    <row r="959" spans="1:1">
      <c r="A959" s="31"/>
    </row>
    <row r="960" spans="1:1">
      <c r="A960" s="31"/>
    </row>
    <row r="961" spans="1:1">
      <c r="A961" s="31"/>
    </row>
    <row r="962" spans="1:1">
      <c r="A962" s="31"/>
    </row>
    <row r="963" spans="1:1">
      <c r="A963" s="31"/>
    </row>
    <row r="964" spans="1:1">
      <c r="A964" s="31"/>
    </row>
    <row r="965" spans="1:1">
      <c r="A965" s="31"/>
    </row>
    <row r="966" spans="1:1">
      <c r="A966" s="31"/>
    </row>
    <row r="967" spans="1:1">
      <c r="A967" s="31"/>
    </row>
    <row r="968" spans="1:1">
      <c r="A968" s="31"/>
    </row>
    <row r="969" spans="1:1">
      <c r="A969" s="31"/>
    </row>
    <row r="970" spans="1:1">
      <c r="A970" s="31"/>
    </row>
    <row r="971" spans="1:1">
      <c r="A971" s="31"/>
    </row>
    <row r="972" spans="1:1">
      <c r="A972" s="31"/>
    </row>
    <row r="973" spans="1:1">
      <c r="A973" s="31"/>
    </row>
    <row r="974" spans="1:1">
      <c r="A974" s="31"/>
    </row>
    <row r="975" spans="1:1">
      <c r="A975" s="31"/>
    </row>
    <row r="976" spans="1:1">
      <c r="A976" s="31"/>
    </row>
    <row r="977" spans="1:1">
      <c r="A977" s="31"/>
    </row>
    <row r="978" spans="1:1">
      <c r="A978" s="31"/>
    </row>
    <row r="979" spans="1:1">
      <c r="A979" s="31"/>
    </row>
    <row r="980" spans="1:1">
      <c r="A980" s="31"/>
    </row>
    <row r="981" spans="1:1">
      <c r="A981" s="31"/>
    </row>
    <row r="982" spans="1:1">
      <c r="A982" s="31"/>
    </row>
    <row r="983" spans="1:1">
      <c r="A983" s="31"/>
    </row>
    <row r="984" spans="1:1">
      <c r="A984" s="31"/>
    </row>
    <row r="985" spans="1:1">
      <c r="A985" s="31"/>
    </row>
    <row r="986" spans="1:1">
      <c r="A986" s="31"/>
    </row>
    <row r="987" spans="1:1">
      <c r="A987" s="31"/>
    </row>
    <row r="988" spans="1:1">
      <c r="A988" s="31"/>
    </row>
    <row r="989" spans="1:1">
      <c r="A989" s="31"/>
    </row>
    <row r="990" spans="1:1">
      <c r="A990" s="31"/>
    </row>
    <row r="991" spans="1:1">
      <c r="A991" s="31"/>
    </row>
    <row r="992" spans="1:1">
      <c r="A992" s="31"/>
    </row>
    <row r="993" spans="1:1">
      <c r="A993" s="31"/>
    </row>
    <row r="994" spans="1:1">
      <c r="A994" s="31"/>
    </row>
    <row r="995" spans="1:1">
      <c r="A995" s="31"/>
    </row>
    <row r="996" spans="1:1">
      <c r="A996" s="31"/>
    </row>
    <row r="997" spans="1:1">
      <c r="A997" s="31"/>
    </row>
    <row r="998" spans="1:1">
      <c r="A998" s="31"/>
    </row>
    <row r="999" spans="1:1">
      <c r="A999" s="31"/>
    </row>
    <row r="1000" spans="1:1">
      <c r="A1000" s="31"/>
    </row>
    <row r="1001" spans="1:1">
      <c r="A1001" s="31"/>
    </row>
    <row r="1002" spans="1:1">
      <c r="A1002" s="31"/>
    </row>
    <row r="1003" spans="1:1">
      <c r="A1003" s="31"/>
    </row>
    <row r="1004" spans="1:1">
      <c r="A1004" s="31"/>
    </row>
    <row r="1005" spans="1:1">
      <c r="A1005" s="31"/>
    </row>
    <row r="1006" spans="1:1">
      <c r="A1006" s="31"/>
    </row>
    <row r="1007" spans="1:1">
      <c r="A1007" s="31"/>
    </row>
    <row r="1008" spans="1:1">
      <c r="A1008" s="31"/>
    </row>
    <row r="1009" spans="1:1">
      <c r="A1009" s="31"/>
    </row>
    <row r="1010" spans="1:1">
      <c r="A1010" s="31"/>
    </row>
    <row r="1011" spans="1:1">
      <c r="A1011" s="31"/>
    </row>
    <row r="1012" spans="1:1">
      <c r="A1012" s="31"/>
    </row>
    <row r="1013" spans="1:1">
      <c r="A1013" s="31"/>
    </row>
    <row r="1014" spans="1:1">
      <c r="A1014" s="31"/>
    </row>
    <row r="1015" spans="1:1">
      <c r="A1015" s="31"/>
    </row>
    <row r="1016" spans="1:1">
      <c r="A1016" s="31"/>
    </row>
    <row r="1017" spans="1:1">
      <c r="A1017" s="31"/>
    </row>
    <row r="1018" spans="1:1">
      <c r="A1018" s="31"/>
    </row>
    <row r="1019" spans="1:1">
      <c r="A1019" s="31"/>
    </row>
    <row r="1020" spans="1:1">
      <c r="A1020" s="31"/>
    </row>
    <row r="1021" spans="1:1">
      <c r="A1021" s="31"/>
    </row>
    <row r="1022" spans="1:1">
      <c r="A1022" s="31"/>
    </row>
    <row r="1023" spans="1:1">
      <c r="A1023" s="31"/>
    </row>
    <row r="1024" spans="1:1">
      <c r="A1024" s="31"/>
    </row>
    <row r="1025" spans="1:1">
      <c r="A1025" s="31"/>
    </row>
    <row r="1026" spans="1:1">
      <c r="A1026" s="31"/>
    </row>
    <row r="1027" spans="1:1">
      <c r="A1027" s="31"/>
    </row>
    <row r="1028" spans="1:1">
      <c r="A1028" s="31"/>
    </row>
    <row r="1029" spans="1:1">
      <c r="A1029" s="31"/>
    </row>
    <row r="1030" spans="1:1">
      <c r="A1030" s="31"/>
    </row>
    <row r="1031" spans="1:1">
      <c r="A1031" s="31"/>
    </row>
    <row r="1032" spans="1:1">
      <c r="A1032" s="31"/>
    </row>
    <row r="1033" spans="1:1">
      <c r="A1033" s="31"/>
    </row>
    <row r="1034" spans="1:1">
      <c r="A1034" s="31"/>
    </row>
    <row r="1035" spans="1:1">
      <c r="A1035" s="31"/>
    </row>
    <row r="1036" spans="1:1">
      <c r="A1036" s="31"/>
    </row>
    <row r="1037" spans="1:1">
      <c r="A1037" s="31"/>
    </row>
    <row r="1038" spans="1:1">
      <c r="A1038" s="31"/>
    </row>
    <row r="1039" spans="1:1">
      <c r="A1039" s="31"/>
    </row>
    <row r="1040" spans="1:1">
      <c r="A1040" s="31"/>
    </row>
    <row r="1041" spans="1:1">
      <c r="A1041" s="31"/>
    </row>
    <row r="1042" spans="1:1">
      <c r="A1042" s="31"/>
    </row>
    <row r="1043" spans="1:1">
      <c r="A1043" s="31"/>
    </row>
    <row r="1044" spans="1:1">
      <c r="A1044" s="31"/>
    </row>
    <row r="1045" spans="1:1">
      <c r="A1045" s="31"/>
    </row>
    <row r="1046" spans="1:1">
      <c r="A1046" s="31"/>
    </row>
    <row r="1047" spans="1:1">
      <c r="A1047" s="31"/>
    </row>
    <row r="1048" spans="1:1">
      <c r="A1048" s="31"/>
    </row>
    <row r="1049" spans="1:1">
      <c r="A1049" s="31"/>
    </row>
    <row r="1050" spans="1:1">
      <c r="A1050" s="31"/>
    </row>
    <row r="1051" spans="1:1">
      <c r="A1051" s="31"/>
    </row>
    <row r="1052" spans="1:1">
      <c r="A1052" s="31"/>
    </row>
    <row r="1053" spans="1:1">
      <c r="A1053" s="31"/>
    </row>
    <row r="1054" spans="1:1">
      <c r="A1054" s="31"/>
    </row>
    <row r="1055" spans="1:1">
      <c r="A1055" s="31"/>
    </row>
    <row r="1056" spans="1:1">
      <c r="A1056" s="31"/>
    </row>
    <row r="1057" spans="1:1">
      <c r="A1057" s="31"/>
    </row>
    <row r="1058" spans="1:1">
      <c r="A1058" s="31"/>
    </row>
    <row r="1059" spans="1:1">
      <c r="A1059" s="31"/>
    </row>
    <row r="1060" spans="1:1">
      <c r="A1060" s="31"/>
    </row>
    <row r="1061" spans="1:1">
      <c r="A1061" s="31"/>
    </row>
    <row r="1062" spans="1:1">
      <c r="A1062" s="31"/>
    </row>
    <row r="1063" spans="1:1">
      <c r="A1063" s="31"/>
    </row>
    <row r="1064" spans="1:1">
      <c r="A1064" s="31"/>
    </row>
    <row r="1065" spans="1:1">
      <c r="A1065" s="31"/>
    </row>
    <row r="1066" spans="1:1">
      <c r="A1066" s="31"/>
    </row>
    <row r="1067" spans="1:1">
      <c r="A1067" s="31"/>
    </row>
    <row r="1068" spans="1:1">
      <c r="A1068" s="31"/>
    </row>
    <row r="1069" spans="1:1">
      <c r="A1069" s="31"/>
    </row>
    <row r="1070" spans="1:1">
      <c r="A1070" s="31"/>
    </row>
    <row r="1071" spans="1:1">
      <c r="A1071" s="31"/>
    </row>
    <row r="1072" spans="1:1">
      <c r="A1072" s="31"/>
    </row>
    <row r="1073" spans="1:1">
      <c r="A1073" s="31"/>
    </row>
    <row r="1074" spans="1:1">
      <c r="A1074" s="31"/>
    </row>
    <row r="1075" spans="1:1">
      <c r="A1075" s="31"/>
    </row>
    <row r="1076" spans="1:1">
      <c r="A1076" s="31"/>
    </row>
    <row r="1077" spans="1:1">
      <c r="A1077" s="31"/>
    </row>
    <row r="1078" spans="1:1">
      <c r="A1078" s="31"/>
    </row>
    <row r="1079" spans="1:1">
      <c r="A1079" s="31"/>
    </row>
    <row r="1080" spans="1:1">
      <c r="A1080" s="31"/>
    </row>
    <row r="1081" spans="1:1">
      <c r="A1081" s="31"/>
    </row>
    <row r="1082" spans="1:1">
      <c r="A1082" s="31"/>
    </row>
    <row r="1083" spans="1:1">
      <c r="A1083" s="31"/>
    </row>
    <row r="1084" spans="1:1">
      <c r="A1084" s="31"/>
    </row>
    <row r="1085" spans="1:1">
      <c r="A1085" s="31"/>
    </row>
    <row r="1086" spans="1:1">
      <c r="A1086" s="31"/>
    </row>
    <row r="1087" spans="1:1">
      <c r="A1087" s="31"/>
    </row>
    <row r="1088" spans="1:1">
      <c r="A1088" s="31"/>
    </row>
    <row r="1089" spans="1:1">
      <c r="A1089" s="31"/>
    </row>
    <row r="1090" spans="1:1">
      <c r="A1090" s="31"/>
    </row>
    <row r="1091" spans="1:1">
      <c r="A1091" s="31"/>
    </row>
    <row r="1092" spans="1:1">
      <c r="A1092" s="31"/>
    </row>
    <row r="1093" spans="1:1">
      <c r="A1093" s="31"/>
    </row>
    <row r="1094" spans="1:1">
      <c r="A1094" s="31"/>
    </row>
    <row r="1095" spans="1:1">
      <c r="A1095" s="31"/>
    </row>
    <row r="1096" spans="1:1">
      <c r="A1096" s="31"/>
    </row>
    <row r="1097" spans="1:1">
      <c r="A1097" s="31"/>
    </row>
    <row r="1098" spans="1:1">
      <c r="A1098" s="31"/>
    </row>
    <row r="1099" spans="1:1">
      <c r="A1099" s="31"/>
    </row>
    <row r="1100" spans="1:1">
      <c r="A1100" s="31"/>
    </row>
    <row r="1101" spans="1:1">
      <c r="A1101" s="31"/>
    </row>
    <row r="1102" spans="1:1">
      <c r="A1102" s="31"/>
    </row>
    <row r="1103" spans="1:1">
      <c r="A1103" s="31"/>
    </row>
    <row r="1104" spans="1:1">
      <c r="A1104" s="31"/>
    </row>
    <row r="1105" spans="1:1">
      <c r="A1105" s="31"/>
    </row>
    <row r="1106" spans="1:1">
      <c r="A1106" s="31"/>
    </row>
    <row r="1107" spans="1:1">
      <c r="A1107" s="31"/>
    </row>
    <row r="1108" spans="1:1">
      <c r="A1108" s="31"/>
    </row>
    <row r="1109" spans="1:1">
      <c r="A1109" s="31"/>
    </row>
    <row r="1110" spans="1:1">
      <c r="A1110" s="31"/>
    </row>
    <row r="1111" spans="1:1">
      <c r="A1111" s="31"/>
    </row>
    <row r="1112" spans="1:1">
      <c r="A1112" s="31"/>
    </row>
    <row r="1113" spans="1:1">
      <c r="A1113" s="31"/>
    </row>
    <row r="1114" spans="1:1">
      <c r="A1114" s="31"/>
    </row>
    <row r="1115" spans="1:1">
      <c r="A1115" s="31"/>
    </row>
    <row r="1116" spans="1:1">
      <c r="A1116" s="31"/>
    </row>
    <row r="1117" spans="1:1">
      <c r="A1117" s="31"/>
    </row>
    <row r="1118" spans="1:1">
      <c r="A1118" s="31"/>
    </row>
    <row r="1119" spans="1:1">
      <c r="A1119" s="31"/>
    </row>
    <row r="1120" spans="1:1">
      <c r="A1120" s="31"/>
    </row>
    <row r="1121" spans="1:1">
      <c r="A1121" s="31"/>
    </row>
    <row r="1122" spans="1:1">
      <c r="A1122" s="31"/>
    </row>
    <row r="1123" spans="1:1">
      <c r="A1123" s="31"/>
    </row>
    <row r="1124" spans="1:1">
      <c r="A1124" s="31"/>
    </row>
    <row r="1125" spans="1:1">
      <c r="A1125" s="31"/>
    </row>
    <row r="1126" spans="1:1">
      <c r="A1126" s="31"/>
    </row>
    <row r="1127" spans="1:1">
      <c r="A1127" s="31"/>
    </row>
    <row r="1128" spans="1:1">
      <c r="A1128" s="31"/>
    </row>
    <row r="1129" spans="1:1">
      <c r="A1129" s="31"/>
    </row>
    <row r="1130" spans="1:1">
      <c r="A1130" s="31"/>
    </row>
    <row r="1131" spans="1:1">
      <c r="A1131" s="31"/>
    </row>
    <row r="1132" spans="1:1">
      <c r="A1132" s="31"/>
    </row>
    <row r="1133" spans="1:1">
      <c r="A1133" s="31"/>
    </row>
    <row r="1134" spans="1:1">
      <c r="A1134" s="31"/>
    </row>
    <row r="1135" spans="1:1">
      <c r="A1135" s="31"/>
    </row>
    <row r="1136" spans="1:1">
      <c r="A1136" s="31"/>
    </row>
    <row r="1137" spans="1:1">
      <c r="A1137" s="31"/>
    </row>
    <row r="1138" spans="1:1">
      <c r="A1138" s="31"/>
    </row>
    <row r="1139" spans="1:1">
      <c r="A1139" s="31"/>
    </row>
    <row r="1140" spans="1:1">
      <c r="A1140" s="31"/>
    </row>
    <row r="1141" spans="1:1">
      <c r="A1141" s="31"/>
    </row>
    <row r="1142" spans="1:1">
      <c r="A1142" s="31"/>
    </row>
    <row r="1143" spans="1:1">
      <c r="A1143" s="31"/>
    </row>
    <row r="1144" spans="1:1">
      <c r="A1144" s="31"/>
    </row>
    <row r="1145" spans="1:1">
      <c r="A1145" s="31"/>
    </row>
    <row r="1146" spans="1:1">
      <c r="A1146" s="31"/>
    </row>
    <row r="1147" spans="1:1">
      <c r="A1147" s="31"/>
    </row>
    <row r="1148" spans="1:1">
      <c r="A1148" s="31"/>
    </row>
    <row r="1149" spans="1:1">
      <c r="A1149" s="31"/>
    </row>
    <row r="1150" spans="1:1">
      <c r="A1150" s="31"/>
    </row>
    <row r="1151" spans="1:1">
      <c r="A1151" s="31"/>
    </row>
    <row r="1152" spans="1:1">
      <c r="A1152" s="31"/>
    </row>
    <row r="1153" spans="1:1">
      <c r="A1153" s="31"/>
    </row>
    <row r="1154" spans="1:1">
      <c r="A1154" s="31"/>
    </row>
    <row r="1155" spans="1:1">
      <c r="A1155" s="31"/>
    </row>
    <row r="1156" spans="1:1">
      <c r="A1156" s="31"/>
    </row>
    <row r="1157" spans="1:1">
      <c r="A1157" s="31"/>
    </row>
    <row r="1158" spans="1:1">
      <c r="A1158" s="31"/>
    </row>
    <row r="1159" spans="1:1">
      <c r="A1159" s="31"/>
    </row>
    <row r="1160" spans="1:1">
      <c r="A1160" s="31"/>
    </row>
    <row r="1161" spans="1:1">
      <c r="A1161" s="31"/>
    </row>
    <row r="1162" spans="1:1">
      <c r="A1162" s="31"/>
    </row>
    <row r="1163" spans="1:1">
      <c r="A1163" s="31"/>
    </row>
    <row r="1164" spans="1:1">
      <c r="A1164" s="31"/>
    </row>
    <row r="1165" spans="1:1">
      <c r="A1165" s="31"/>
    </row>
    <row r="1166" spans="1:1">
      <c r="A1166" s="31"/>
    </row>
    <row r="1167" spans="1:1">
      <c r="A1167" s="31"/>
    </row>
    <row r="1168" spans="1:1">
      <c r="A1168" s="31"/>
    </row>
    <row r="1169" spans="1:1">
      <c r="A1169" s="31"/>
    </row>
    <row r="1170" spans="1:1">
      <c r="A1170" s="31"/>
    </row>
    <row r="1171" spans="1:1">
      <c r="A1171" s="31"/>
    </row>
    <row r="1172" spans="1:1">
      <c r="A1172" s="31"/>
    </row>
    <row r="1173" spans="1:1">
      <c r="A1173" s="31"/>
    </row>
    <row r="1174" spans="1:1">
      <c r="A1174" s="31"/>
    </row>
    <row r="1175" spans="1:1">
      <c r="A1175" s="31"/>
    </row>
    <row r="1176" spans="1:1">
      <c r="A1176" s="31"/>
    </row>
    <row r="1177" spans="1:1">
      <c r="A1177" s="31"/>
    </row>
    <row r="1178" spans="1:1">
      <c r="A1178" s="31"/>
    </row>
    <row r="1179" spans="1:1">
      <c r="A1179" s="31"/>
    </row>
    <row r="1180" spans="1:1">
      <c r="A1180" s="31"/>
    </row>
    <row r="1181" spans="1:1">
      <c r="A1181" s="31"/>
    </row>
    <row r="1182" spans="1:1">
      <c r="A1182" s="31"/>
    </row>
    <row r="1183" spans="1:1">
      <c r="A1183" s="31"/>
    </row>
    <row r="1184" spans="1:1">
      <c r="A1184" s="31"/>
    </row>
    <row r="1185" spans="1:1">
      <c r="A1185" s="31"/>
    </row>
    <row r="1186" spans="1:1">
      <c r="A1186" s="31"/>
    </row>
    <row r="1187" spans="1:1">
      <c r="A1187" s="31"/>
    </row>
    <row r="1188" spans="1:1">
      <c r="A1188" s="31"/>
    </row>
    <row r="1189" spans="1:1">
      <c r="A1189" s="31"/>
    </row>
    <row r="1190" spans="1:1">
      <c r="A1190" s="31"/>
    </row>
    <row r="1191" spans="1:1">
      <c r="A1191" s="31"/>
    </row>
    <row r="1192" spans="1:1">
      <c r="A1192" s="31"/>
    </row>
    <row r="1193" spans="1:1">
      <c r="A1193" s="31"/>
    </row>
    <row r="1194" spans="1:1">
      <c r="A1194" s="31"/>
    </row>
    <row r="1195" spans="1:1">
      <c r="A1195" s="31"/>
    </row>
    <row r="1196" spans="1:1">
      <c r="A1196" s="31"/>
    </row>
    <row r="1197" spans="1:1">
      <c r="A1197" s="31"/>
    </row>
    <row r="1198" spans="1:1">
      <c r="A1198" s="31"/>
    </row>
    <row r="1199" spans="1:1">
      <c r="A1199" s="31"/>
    </row>
    <row r="1200" spans="1:1">
      <c r="A1200" s="31"/>
    </row>
    <row r="1201" spans="1:1">
      <c r="A1201" s="31"/>
    </row>
    <row r="1202" spans="1:1">
      <c r="A1202" s="31"/>
    </row>
    <row r="1203" spans="1:1">
      <c r="A1203" s="31"/>
    </row>
    <row r="1204" spans="1:1">
      <c r="A1204" s="31"/>
    </row>
    <row r="1205" spans="1:1">
      <c r="A1205" s="31"/>
    </row>
    <row r="1206" spans="1:1">
      <c r="A1206" s="31"/>
    </row>
    <row r="1207" spans="1:1">
      <c r="A1207" s="31"/>
    </row>
    <row r="1208" spans="1:1">
      <c r="A1208" s="31"/>
    </row>
    <row r="1209" spans="1:1">
      <c r="A1209" s="31"/>
    </row>
    <row r="1210" spans="1:1">
      <c r="A1210" s="31"/>
    </row>
    <row r="1211" spans="1:1">
      <c r="A1211" s="31"/>
    </row>
    <row r="1212" spans="1:1">
      <c r="A1212" s="31"/>
    </row>
    <row r="1213" spans="1:1">
      <c r="A1213" s="31"/>
    </row>
    <row r="1214" spans="1:1">
      <c r="A1214" s="31"/>
    </row>
    <row r="1215" spans="1:1">
      <c r="A1215" s="31"/>
    </row>
    <row r="1216" spans="1:1">
      <c r="A1216" s="31"/>
    </row>
    <row r="1217" spans="1:1">
      <c r="A1217" s="31"/>
    </row>
    <row r="1218" spans="1:1">
      <c r="A1218" s="31"/>
    </row>
    <row r="1219" spans="1:1">
      <c r="A1219" s="31"/>
    </row>
    <row r="1220" spans="1:1">
      <c r="A1220" s="31"/>
    </row>
    <row r="1221" spans="1:1">
      <c r="A1221" s="31"/>
    </row>
    <row r="1222" spans="1:1">
      <c r="A1222" s="31"/>
    </row>
    <row r="1223" spans="1:1">
      <c r="A1223" s="31"/>
    </row>
    <row r="1224" spans="1:1">
      <c r="A1224" s="31"/>
    </row>
    <row r="1225" spans="1:1">
      <c r="A1225" s="31"/>
    </row>
    <row r="1226" spans="1:1">
      <c r="A1226" s="31"/>
    </row>
    <row r="1227" spans="1:1">
      <c r="A1227" s="31"/>
    </row>
    <row r="1228" spans="1:1">
      <c r="A1228" s="31"/>
    </row>
    <row r="1229" spans="1:1">
      <c r="A1229" s="31"/>
    </row>
    <row r="1230" spans="1:1">
      <c r="A1230" s="31"/>
    </row>
    <row r="1231" spans="1:1">
      <c r="A1231" s="31"/>
    </row>
    <row r="1232" spans="1:1">
      <c r="A1232" s="31"/>
    </row>
    <row r="1233" spans="1:1">
      <c r="A1233" s="31"/>
    </row>
    <row r="1234" spans="1:1">
      <c r="A1234" s="31"/>
    </row>
    <row r="1235" spans="1:1">
      <c r="A1235" s="31"/>
    </row>
    <row r="1236" spans="1:1">
      <c r="A1236" s="31"/>
    </row>
    <row r="1237" spans="1:1">
      <c r="A1237" s="31"/>
    </row>
    <row r="1238" spans="1:1">
      <c r="A1238" s="31"/>
    </row>
    <row r="1239" spans="1:1">
      <c r="A1239" s="31"/>
    </row>
    <row r="1240" spans="1:1">
      <c r="A1240" s="31"/>
    </row>
    <row r="1241" spans="1:1">
      <c r="A1241" s="31"/>
    </row>
    <row r="1242" spans="1:1">
      <c r="A1242" s="31"/>
    </row>
    <row r="1243" spans="1:1">
      <c r="A1243" s="31"/>
    </row>
    <row r="1244" spans="1:1">
      <c r="A1244" s="31"/>
    </row>
    <row r="1245" spans="1:1">
      <c r="A1245" s="31"/>
    </row>
    <row r="1246" spans="1:1">
      <c r="A1246" s="31"/>
    </row>
    <row r="1247" spans="1:1">
      <c r="A1247" s="31"/>
    </row>
    <row r="1248" spans="1:1">
      <c r="A1248" s="31"/>
    </row>
    <row r="1249" spans="1:1">
      <c r="A1249" s="31"/>
    </row>
    <row r="1250" spans="1:1">
      <c r="A1250" s="31"/>
    </row>
    <row r="1251" spans="1:1">
      <c r="A1251" s="31"/>
    </row>
    <row r="1252" spans="1:1">
      <c r="A1252" s="31"/>
    </row>
    <row r="1253" spans="1:1">
      <c r="A1253" s="31"/>
    </row>
    <row r="1254" spans="1:1">
      <c r="A1254" s="31"/>
    </row>
    <row r="1255" spans="1:1">
      <c r="A1255" s="31"/>
    </row>
    <row r="1256" spans="1:1">
      <c r="A1256" s="31"/>
    </row>
    <row r="1257" spans="1:1">
      <c r="A1257" s="31"/>
    </row>
    <row r="1258" spans="1:1">
      <c r="A1258" s="31"/>
    </row>
    <row r="1259" spans="1:1">
      <c r="A1259" s="31"/>
    </row>
    <row r="1260" spans="1:1">
      <c r="A1260" s="31"/>
    </row>
    <row r="1261" spans="1:1">
      <c r="A1261" s="31"/>
    </row>
    <row r="1262" spans="1:1">
      <c r="A1262" s="31"/>
    </row>
    <row r="1263" spans="1:1">
      <c r="A1263" s="31"/>
    </row>
    <row r="1264" spans="1:1">
      <c r="A1264" s="31"/>
    </row>
    <row r="1265" spans="1:1">
      <c r="A1265" s="31"/>
    </row>
    <row r="1266" spans="1:1">
      <c r="A1266" s="31"/>
    </row>
    <row r="1267" spans="1:1">
      <c r="A1267" s="31"/>
    </row>
    <row r="1268" spans="1:1">
      <c r="A1268" s="31"/>
    </row>
    <row r="1269" spans="1:1">
      <c r="A1269" s="31"/>
    </row>
    <row r="1270" spans="1:1">
      <c r="A1270" s="31"/>
    </row>
    <row r="1271" spans="1:1">
      <c r="A1271" s="31"/>
    </row>
    <row r="1272" spans="1:1">
      <c r="A1272" s="31"/>
    </row>
    <row r="1273" spans="1:1">
      <c r="A1273" s="31"/>
    </row>
    <row r="1274" spans="1:1">
      <c r="A1274" s="31"/>
    </row>
    <row r="1275" spans="1:1">
      <c r="A1275" s="31"/>
    </row>
    <row r="1276" spans="1:1">
      <c r="A1276" s="31"/>
    </row>
    <row r="1277" spans="1:1">
      <c r="A1277" s="31"/>
    </row>
    <row r="1278" spans="1:1">
      <c r="A1278" s="31"/>
    </row>
    <row r="1279" spans="1:1">
      <c r="A1279" s="31"/>
    </row>
    <row r="1280" spans="1:1">
      <c r="A1280" s="31"/>
    </row>
    <row r="1281" spans="1:1">
      <c r="A1281" s="31"/>
    </row>
    <row r="1282" spans="1:1">
      <c r="A1282" s="31"/>
    </row>
    <row r="1283" spans="1:1">
      <c r="A1283" s="31"/>
    </row>
    <row r="1284" spans="1:1">
      <c r="A1284" s="31"/>
    </row>
    <row r="1285" spans="1:1">
      <c r="A1285" s="31"/>
    </row>
    <row r="1286" spans="1:1">
      <c r="A1286" s="31"/>
    </row>
    <row r="1287" spans="1:1">
      <c r="A1287" s="31"/>
    </row>
    <row r="1288" spans="1:1">
      <c r="A1288" s="31"/>
    </row>
    <row r="1289" spans="1:1">
      <c r="A1289" s="31"/>
    </row>
    <row r="1290" spans="1:1">
      <c r="A1290" s="31"/>
    </row>
    <row r="1291" spans="1:1">
      <c r="A1291" s="31"/>
    </row>
    <row r="1292" spans="1:1">
      <c r="A1292" s="31"/>
    </row>
    <row r="1293" spans="1:1">
      <c r="A1293" s="31"/>
    </row>
    <row r="1294" spans="1:1">
      <c r="A1294" s="31"/>
    </row>
    <row r="1295" spans="1:1">
      <c r="A1295" s="31"/>
    </row>
    <row r="1296" spans="1:1">
      <c r="A1296" s="31"/>
    </row>
    <row r="1297" spans="1:1">
      <c r="A1297" s="31"/>
    </row>
    <row r="1298" spans="1:1">
      <c r="A1298" s="31"/>
    </row>
    <row r="1299" spans="1:1">
      <c r="A1299" s="31"/>
    </row>
    <row r="1300" spans="1:1">
      <c r="A1300" s="31"/>
    </row>
    <row r="1301" spans="1:1">
      <c r="A1301" s="31"/>
    </row>
    <row r="1302" spans="1:1">
      <c r="A1302" s="31"/>
    </row>
    <row r="1303" spans="1:1">
      <c r="A1303" s="31"/>
    </row>
    <row r="1304" spans="1:1">
      <c r="A1304" s="31"/>
    </row>
    <row r="1305" spans="1:1">
      <c r="A1305" s="31"/>
    </row>
    <row r="1306" spans="1:1">
      <c r="A1306" s="31"/>
    </row>
    <row r="1307" spans="1:1">
      <c r="A1307" s="31"/>
    </row>
    <row r="1308" spans="1:1">
      <c r="A1308" s="31"/>
    </row>
    <row r="1309" spans="1:1">
      <c r="A1309" s="31"/>
    </row>
    <row r="1310" spans="1:1">
      <c r="A1310" s="31"/>
    </row>
    <row r="1311" spans="1:1">
      <c r="A1311" s="31"/>
    </row>
    <row r="1312" spans="1:1">
      <c r="A1312" s="31"/>
    </row>
    <row r="1313" spans="1:1">
      <c r="A1313" s="31"/>
    </row>
    <row r="1314" spans="1:1">
      <c r="A1314" s="31"/>
    </row>
    <row r="1315" spans="1:1">
      <c r="A1315" s="31"/>
    </row>
    <row r="1316" spans="1:1">
      <c r="A1316" s="31"/>
    </row>
    <row r="1317" spans="1:1">
      <c r="A1317" s="31"/>
    </row>
    <row r="1318" spans="1:1">
      <c r="A1318" s="31"/>
    </row>
    <row r="1319" spans="1:1">
      <c r="A1319" s="31"/>
    </row>
    <row r="1320" spans="1:1">
      <c r="A1320" s="31"/>
    </row>
    <row r="1321" spans="1:1">
      <c r="A1321" s="31"/>
    </row>
    <row r="1322" spans="1:1">
      <c r="A1322" s="31"/>
    </row>
    <row r="1323" spans="1:1">
      <c r="A1323" s="31"/>
    </row>
    <row r="1324" spans="1:1">
      <c r="A1324" s="31"/>
    </row>
    <row r="1325" spans="1:1">
      <c r="A1325" s="31"/>
    </row>
    <row r="1326" spans="1:1">
      <c r="A1326" s="31"/>
    </row>
    <row r="1327" spans="1:1">
      <c r="A1327" s="31"/>
    </row>
    <row r="1328" spans="1:1">
      <c r="A1328" s="31"/>
    </row>
    <row r="1329" spans="1:1">
      <c r="A1329" s="31"/>
    </row>
    <row r="1330" spans="1:1">
      <c r="A1330" s="31"/>
    </row>
    <row r="1331" spans="1:1">
      <c r="A1331" s="31"/>
    </row>
    <row r="1332" spans="1:1">
      <c r="A1332" s="31"/>
    </row>
    <row r="1333" spans="1:1">
      <c r="A1333" s="31"/>
    </row>
    <row r="1334" spans="1:1">
      <c r="A1334" s="31"/>
    </row>
    <row r="1335" spans="1:1">
      <c r="A1335" s="31"/>
    </row>
    <row r="1336" spans="1:1">
      <c r="A1336" s="31"/>
    </row>
    <row r="1337" spans="1:1">
      <c r="A1337" s="31"/>
    </row>
    <row r="1338" spans="1:1">
      <c r="A1338" s="31"/>
    </row>
    <row r="1339" spans="1:1">
      <c r="A1339" s="31"/>
    </row>
    <row r="1340" spans="1:1">
      <c r="A1340" s="31"/>
    </row>
    <row r="1341" spans="1:1">
      <c r="A1341" s="31"/>
    </row>
    <row r="1342" spans="1:1">
      <c r="A1342" s="31"/>
    </row>
    <row r="1343" spans="1:1">
      <c r="A1343" s="31"/>
    </row>
    <row r="1344" spans="1:1">
      <c r="A1344" s="31"/>
    </row>
    <row r="1345" spans="1:1">
      <c r="A1345" s="31"/>
    </row>
    <row r="1346" spans="1:1">
      <c r="A1346" s="31"/>
    </row>
    <row r="1347" spans="1:1">
      <c r="A1347" s="31"/>
    </row>
    <row r="1348" spans="1:1">
      <c r="A1348" s="31"/>
    </row>
    <row r="1349" spans="1:1">
      <c r="A1349" s="31"/>
    </row>
    <row r="1350" spans="1:1">
      <c r="A1350" s="31"/>
    </row>
    <row r="1351" spans="1:1">
      <c r="A1351" s="31"/>
    </row>
    <row r="1352" spans="1:1">
      <c r="A1352" s="31"/>
    </row>
    <row r="1353" spans="1:1">
      <c r="A1353" s="31"/>
    </row>
    <row r="1354" spans="1:1">
      <c r="A1354" s="31"/>
    </row>
    <row r="1355" spans="1:1">
      <c r="A1355" s="31"/>
    </row>
    <row r="1356" spans="1:1">
      <c r="A1356" s="31"/>
    </row>
    <row r="1357" spans="1:1">
      <c r="A1357" s="31"/>
    </row>
    <row r="1358" spans="1:1">
      <c r="A1358" s="31"/>
    </row>
    <row r="1359" spans="1:1">
      <c r="A1359" s="31"/>
    </row>
    <row r="1360" spans="1:1">
      <c r="A1360" s="31"/>
    </row>
    <row r="1361" spans="1:1">
      <c r="A1361" s="31"/>
    </row>
    <row r="1362" spans="1:1">
      <c r="A1362" s="31"/>
    </row>
    <row r="1363" spans="1:1">
      <c r="A1363" s="31"/>
    </row>
    <row r="1364" spans="1:1">
      <c r="A1364" s="31"/>
    </row>
    <row r="1365" spans="1:1">
      <c r="A1365" s="31"/>
    </row>
    <row r="1366" spans="1:1">
      <c r="A1366" s="31"/>
    </row>
    <row r="1367" spans="1:1">
      <c r="A1367" s="31"/>
    </row>
    <row r="1368" spans="1:1">
      <c r="A1368" s="31"/>
    </row>
    <row r="1369" spans="1:1">
      <c r="A1369" s="31"/>
    </row>
    <row r="1370" spans="1:1">
      <c r="A1370" s="31"/>
    </row>
    <row r="1371" spans="1:1">
      <c r="A1371" s="31"/>
    </row>
    <row r="1372" spans="1:1">
      <c r="A1372" s="31"/>
    </row>
    <row r="1373" spans="1:1">
      <c r="A1373" s="31"/>
    </row>
    <row r="1374" spans="1:1">
      <c r="A1374" s="31"/>
    </row>
    <row r="1375" spans="1:1">
      <c r="A1375" s="31"/>
    </row>
    <row r="1376" spans="1:1">
      <c r="A1376" s="31"/>
    </row>
    <row r="1377" spans="1:1">
      <c r="A1377" s="31"/>
    </row>
    <row r="1378" spans="1:1">
      <c r="A1378" s="31"/>
    </row>
    <row r="1379" spans="1:1">
      <c r="A1379" s="31"/>
    </row>
    <row r="1380" spans="1:1">
      <c r="A1380" s="31"/>
    </row>
    <row r="1381" spans="1:1">
      <c r="A1381" s="31"/>
    </row>
    <row r="1382" spans="1:1">
      <c r="A1382" s="31"/>
    </row>
    <row r="1383" spans="1:1">
      <c r="A1383" s="31"/>
    </row>
    <row r="1384" spans="1:1">
      <c r="A1384" s="31"/>
    </row>
    <row r="1385" spans="1:1">
      <c r="A1385" s="31"/>
    </row>
    <row r="1386" spans="1:1">
      <c r="A1386" s="31"/>
    </row>
    <row r="1387" spans="1:1">
      <c r="A1387" s="31"/>
    </row>
    <row r="1388" spans="1:1">
      <c r="A1388" s="31"/>
    </row>
    <row r="1389" spans="1:1">
      <c r="A1389" s="31"/>
    </row>
    <row r="1390" spans="1:1">
      <c r="A1390" s="31"/>
    </row>
    <row r="1391" spans="1:1">
      <c r="A1391" s="31"/>
    </row>
    <row r="1392" spans="1:1">
      <c r="A1392" s="31"/>
    </row>
    <row r="1393" spans="1:1">
      <c r="A1393" s="31"/>
    </row>
    <row r="1394" spans="1:1">
      <c r="A1394" s="31"/>
    </row>
    <row r="1395" spans="1:1">
      <c r="A1395" s="31"/>
    </row>
    <row r="1396" spans="1:1">
      <c r="A1396" s="31"/>
    </row>
    <row r="1397" spans="1:1">
      <c r="A1397" s="31"/>
    </row>
    <row r="1398" spans="1:1">
      <c r="A1398" s="31"/>
    </row>
    <row r="1399" spans="1:1">
      <c r="A1399" s="31"/>
    </row>
    <row r="1400" spans="1:1">
      <c r="A1400" s="31"/>
    </row>
    <row r="1401" spans="1:1">
      <c r="A1401" s="31"/>
    </row>
    <row r="1402" spans="1:1">
      <c r="A1402" s="31"/>
    </row>
    <row r="1403" spans="1:1">
      <c r="A1403" s="31"/>
    </row>
    <row r="1404" spans="1:1">
      <c r="A1404" s="31"/>
    </row>
    <row r="1405" spans="1:1">
      <c r="A1405" s="31"/>
    </row>
    <row r="1406" spans="1:1">
      <c r="A1406" s="31"/>
    </row>
    <row r="1407" spans="1:1">
      <c r="A1407" s="31"/>
    </row>
    <row r="1408" spans="1:1">
      <c r="A1408" s="31"/>
    </row>
    <row r="1409" spans="1:1">
      <c r="A1409" s="31"/>
    </row>
    <row r="1410" spans="1:1">
      <c r="A1410" s="31"/>
    </row>
    <row r="1411" spans="1:1">
      <c r="A1411" s="31"/>
    </row>
    <row r="1412" spans="1:1">
      <c r="A1412" s="31"/>
    </row>
    <row r="1413" spans="1:1">
      <c r="A1413" s="31"/>
    </row>
    <row r="1414" spans="1:1">
      <c r="A1414" s="31"/>
    </row>
    <row r="1415" spans="1:1">
      <c r="A1415" s="31"/>
    </row>
    <row r="1416" spans="1:1">
      <c r="A1416" s="31"/>
    </row>
    <row r="1417" spans="1:1">
      <c r="A1417" s="31"/>
    </row>
    <row r="1418" spans="1:1">
      <c r="A1418" s="31"/>
    </row>
    <row r="1419" spans="1:1">
      <c r="A1419" s="31"/>
    </row>
    <row r="1420" spans="1:1">
      <c r="A1420" s="31"/>
    </row>
    <row r="1421" spans="1:1">
      <c r="A1421" s="31"/>
    </row>
    <row r="1422" spans="1:1">
      <c r="A1422" s="31"/>
    </row>
    <row r="1423" spans="1:1">
      <c r="A1423" s="31"/>
    </row>
    <row r="1424" spans="1:1">
      <c r="A1424" s="31"/>
    </row>
    <row r="1425" spans="1:1">
      <c r="A1425" s="31"/>
    </row>
    <row r="1426" spans="1:1">
      <c r="A1426" s="31"/>
    </row>
    <row r="1427" spans="1:1">
      <c r="A1427" s="31"/>
    </row>
    <row r="1428" spans="1:1">
      <c r="A1428" s="31"/>
    </row>
    <row r="1429" spans="1:1">
      <c r="A1429" s="31"/>
    </row>
    <row r="1430" spans="1:1">
      <c r="A1430" s="31"/>
    </row>
    <row r="1431" spans="1:1">
      <c r="A1431" s="31"/>
    </row>
    <row r="1432" spans="1:1">
      <c r="A1432" s="31"/>
    </row>
    <row r="1433" spans="1:1">
      <c r="A1433" s="31"/>
    </row>
    <row r="1434" spans="1:1">
      <c r="A1434" s="31"/>
    </row>
    <row r="1435" spans="1:1">
      <c r="A1435" s="31"/>
    </row>
    <row r="1436" spans="1:1">
      <c r="A1436" s="31"/>
    </row>
    <row r="1437" spans="1:1">
      <c r="A1437" s="31"/>
    </row>
    <row r="1438" spans="1:1">
      <c r="A1438" s="31"/>
    </row>
    <row r="1439" spans="1:1">
      <c r="A1439" s="31"/>
    </row>
    <row r="1440" spans="1:1">
      <c r="A1440" s="31"/>
    </row>
    <row r="1441" spans="1:1">
      <c r="A1441" s="31"/>
    </row>
    <row r="1442" spans="1:1">
      <c r="A1442" s="31"/>
    </row>
    <row r="1443" spans="1:1">
      <c r="A1443" s="31"/>
    </row>
    <row r="1444" spans="1:1">
      <c r="A1444" s="31"/>
    </row>
    <row r="1445" spans="1:1">
      <c r="A1445" s="31"/>
    </row>
    <row r="1446" spans="1:1">
      <c r="A1446" s="31"/>
    </row>
    <row r="1447" spans="1:1">
      <c r="A1447" s="31"/>
    </row>
    <row r="1448" spans="1:1">
      <c r="A1448" s="31"/>
    </row>
    <row r="1449" spans="1:1">
      <c r="A1449" s="31"/>
    </row>
    <row r="1450" spans="1:1">
      <c r="A1450" s="31"/>
    </row>
    <row r="1451" spans="1:1">
      <c r="A1451" s="31"/>
    </row>
    <row r="1452" spans="1:1">
      <c r="A1452" s="31"/>
    </row>
    <row r="1453" spans="1:1">
      <c r="A1453" s="31"/>
    </row>
    <row r="1454" spans="1:1">
      <c r="A1454" s="31"/>
    </row>
    <row r="1455" spans="1:1">
      <c r="A1455" s="31"/>
    </row>
    <row r="1456" spans="1:1">
      <c r="A1456" s="31"/>
    </row>
    <row r="1457" spans="1:1">
      <c r="A1457" s="31"/>
    </row>
    <row r="1458" spans="1:1">
      <c r="A1458" s="31"/>
    </row>
    <row r="1459" spans="1:1">
      <c r="A1459" s="31"/>
    </row>
    <row r="1460" spans="1:1">
      <c r="A1460" s="31"/>
    </row>
    <row r="1461" spans="1:1">
      <c r="A1461" s="31"/>
    </row>
    <row r="1462" spans="1:1">
      <c r="A1462" s="31"/>
    </row>
    <row r="1463" spans="1:1">
      <c r="A1463" s="31"/>
    </row>
    <row r="1464" spans="1:1">
      <c r="A1464" s="31"/>
    </row>
    <row r="1465" spans="1:1">
      <c r="A1465" s="31"/>
    </row>
    <row r="1466" spans="1:1">
      <c r="A1466" s="31"/>
    </row>
    <row r="1467" spans="1:1">
      <c r="A1467" s="31"/>
    </row>
    <row r="1468" spans="1:1">
      <c r="A1468" s="31"/>
    </row>
    <row r="1469" spans="1:1">
      <c r="A1469" s="31"/>
    </row>
    <row r="1470" spans="1:1">
      <c r="A1470" s="31"/>
    </row>
    <row r="1471" spans="1:1">
      <c r="A1471" s="31"/>
    </row>
    <row r="1472" spans="1:1">
      <c r="A1472" s="31"/>
    </row>
    <row r="1473" spans="1:1">
      <c r="A1473" s="31"/>
    </row>
    <row r="1474" spans="1:1">
      <c r="A1474" s="31"/>
    </row>
    <row r="1475" spans="1:1">
      <c r="A1475" s="31"/>
    </row>
    <row r="1476" spans="1:1">
      <c r="A1476" s="31"/>
    </row>
    <row r="1477" spans="1:1">
      <c r="A1477" s="31"/>
    </row>
    <row r="1478" spans="1:1">
      <c r="A1478" s="31"/>
    </row>
    <row r="1479" spans="1:1">
      <c r="A1479" s="31"/>
    </row>
    <row r="1480" spans="1:1">
      <c r="A1480" s="31"/>
    </row>
    <row r="1481" spans="1:1">
      <c r="A1481" s="31"/>
    </row>
    <row r="1482" spans="1:1">
      <c r="A1482" s="31"/>
    </row>
    <row r="1483" spans="1:1">
      <c r="A1483" s="31"/>
    </row>
    <row r="1484" spans="1:1">
      <c r="A1484" s="31"/>
    </row>
    <row r="1485" spans="1:1">
      <c r="A1485" s="31"/>
    </row>
    <row r="1486" spans="1:1">
      <c r="A1486" s="31"/>
    </row>
    <row r="1487" spans="1:1">
      <c r="A1487" s="31"/>
    </row>
    <row r="1488" spans="1:1">
      <c r="A1488" s="31"/>
    </row>
    <row r="1489" spans="1:1">
      <c r="A1489" s="31"/>
    </row>
    <row r="1490" spans="1:1">
      <c r="A1490" s="31"/>
    </row>
    <row r="1491" spans="1:1">
      <c r="A1491" s="31"/>
    </row>
    <row r="1492" spans="1:1">
      <c r="A1492" s="31"/>
    </row>
    <row r="1493" spans="1:1">
      <c r="A1493" s="31"/>
    </row>
    <row r="1494" spans="1:1">
      <c r="A1494" s="31"/>
    </row>
    <row r="1495" spans="1:1">
      <c r="A1495" s="31"/>
    </row>
    <row r="1496" spans="1:1">
      <c r="A1496" s="31"/>
    </row>
    <row r="1497" spans="1:1">
      <c r="A1497" s="31"/>
    </row>
    <row r="1498" spans="1:1">
      <c r="A1498" s="31"/>
    </row>
    <row r="1499" spans="1:1">
      <c r="A1499" s="31"/>
    </row>
    <row r="1500" spans="1:1">
      <c r="A1500" s="31"/>
    </row>
    <row r="1501" spans="1:1">
      <c r="A1501" s="31"/>
    </row>
    <row r="1502" spans="1:1">
      <c r="A1502" s="31"/>
    </row>
    <row r="1503" spans="1:1">
      <c r="A1503" s="31"/>
    </row>
    <row r="1504" spans="1:1">
      <c r="A1504" s="31"/>
    </row>
    <row r="1505" spans="1:1">
      <c r="A1505" s="31"/>
    </row>
    <row r="1506" spans="1:1">
      <c r="A1506" s="31"/>
    </row>
    <row r="1507" spans="1:1">
      <c r="A1507" s="31"/>
    </row>
    <row r="1508" spans="1:1">
      <c r="A1508" s="31"/>
    </row>
    <row r="1509" spans="1:1">
      <c r="A1509" s="31"/>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7409" r:id="rId4" name="CommandButton1">
          <controlPr defaultSize="0" autoLine="0" r:id="rId5">
            <anchor moveWithCells="1">
              <from>
                <xdr:col>3</xdr:col>
                <xdr:colOff>19050</xdr:colOff>
                <xdr:row>0</xdr:row>
                <xdr:rowOff>76200</xdr:rowOff>
              </from>
              <to>
                <xdr:col>8</xdr:col>
                <xdr:colOff>57150</xdr:colOff>
                <xdr:row>3</xdr:row>
                <xdr:rowOff>76200</xdr:rowOff>
              </to>
            </anchor>
          </controlPr>
        </control>
      </mc:Choice>
      <mc:Fallback>
        <control shapeId="17409"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Initial Rate Corr</vt:lpstr>
      <vt:lpstr>Well Prod</vt:lpstr>
      <vt:lpstr>CB_DATA_</vt:lpstr>
      <vt:lpstr>Well OPEX-Schedule</vt:lpstr>
      <vt:lpstr>Cash Flow</vt:lpstr>
      <vt:lpstr>Variables</vt:lpstr>
      <vt:lpstr>Charts</vt:lpstr>
      <vt:lpstr>Charts_Scatter</vt:lpstr>
      <vt:lpstr>CB Trial Gas Rate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 Sivila</dc:creator>
  <cp:lastModifiedBy>Administrator</cp:lastModifiedBy>
  <dcterms:created xsi:type="dcterms:W3CDTF">2015-03-30T14:05:37Z</dcterms:created>
  <dcterms:modified xsi:type="dcterms:W3CDTF">2023-05-12T14:39:39Z</dcterms:modified>
</cp:coreProperties>
</file>