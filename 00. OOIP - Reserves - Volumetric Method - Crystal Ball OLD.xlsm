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borrar_datos.png" ContentType="image/.png"/>
  <Override PartName="/customUI/images/eco_eval.png" ContentType="image/.png"/>
  <Override PartName="/customUI/images/hide_charts.png" ContentType="image/.png"/>
  <Override PartName="/customUI/images/formula_todo.png" ContentType="image/.png"/>
  <Override PartName="/customUI/images/plot_P90.png" ContentType="image/.png"/>
  <Override PartName="/customUI/images/plot_P10.png" ContentType="image/.png"/>
  <Override PartName="/customUI/images/total_P90_P50_P10.png" ContentType="image/.png"/>
  <Override PartName="/customUI/images/ecuaciones.png" ContentType="image/.png"/>
  <Override PartName="/customUI/images/todo_MB_eco.png" ContentType="image/.png"/>
  <Override PartName="/customUI/images/plot_P50.png" ContentType="image/.png"/>
  <Override PartName="/customUI/images/create_ppt.png" ContentType="image/.png"/>
  <Override PartName="/customUI/images/borrar_datos_todo.png" ContentType="image/.png"/>
  <Override PartName="/customUI/images/Forecast_MB.png" ContentType="image/.png"/>
</Types>
</file>

<file path=_rels/.rels><?xml version="1.0" encoding="UTF-8" standalone="yes"?>
<Relationships xmlns="http://schemas.openxmlformats.org/package/2006/relationships"><Relationship Id="Rf8e612e9377d452b"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T:\Franco Ing\Cursos-Conferencias Franco\Crystal Ball\CB Curso Contenido\"/>
    </mc:Choice>
  </mc:AlternateContent>
  <bookViews>
    <workbookView xWindow="0" yWindow="240" windowWidth="25116" windowHeight="14688" tabRatio="946" firstSheet="1" activeTab="1"/>
  </bookViews>
  <sheets>
    <sheet name="CB_DATA_" sheetId="33" state="veryHidden" r:id="rId1"/>
    <sheet name="Input Data (Volumetric)" sheetId="21" r:id="rId2"/>
    <sheet name="Porosidad" sheetId="38" r:id="rId3"/>
    <sheet name="Volumetric_OOIP_Reserves" sheetId="32" r:id="rId4"/>
    <sheet name="Sensitivity-Scatter" sheetId="36" r:id="rId5"/>
    <sheet name="OOIP Assumptions" sheetId="37" r:id="rId6"/>
    <sheet name="PHI vs Sw" sheetId="39" r:id="rId7"/>
  </sheets>
  <functionGroups builtInGroupCount="18"/>
  <definedNames>
    <definedName name="CB_0821d0d61ed64ed7b847013a23331fe7" localSheetId="3" hidden="1">Volumetric_OOIP_Reserves!$E$11</definedName>
    <definedName name="CB_1f8b2378a0da4ade943721f80b66de18" localSheetId="1" hidden="1">'Input Data (Volumetric)'!$C$26</definedName>
    <definedName name="CB_21513547784c4d46a3f264f992aaa72e" localSheetId="1" hidden="1">'Input Data (Volumetric)'!$C$14</definedName>
    <definedName name="CB_2b8d2eaa95ae449ab2e941c74e8c910d" localSheetId="3" hidden="1">Volumetric_OOIP_Reserves!$E$19</definedName>
    <definedName name="CB_34f9d96049f34871b72d8d0062e4360a" localSheetId="3" hidden="1">Volumetric_OOIP_Reserves!$E$9</definedName>
    <definedName name="CB_4f1b35d346c948858837ed4bc3fdc5fb" localSheetId="1" hidden="1">'Input Data (Volumetric)'!$C$19</definedName>
    <definedName name="CB_51801cc0322d4119bc5cff224e8110ba" localSheetId="0" hidden="1">#N/A</definedName>
    <definedName name="CB_8f8d67ab51914ad3b7bad16b5c907f88" localSheetId="3" hidden="1">Volumetric_OOIP_Reserves!$E$14</definedName>
    <definedName name="CB_9240e2ced9c64359abf970e95ba0c51e" localSheetId="1" hidden="1">'Input Data (Volumetric)'!$C$6</definedName>
    <definedName name="CB_9a6ca6f0d5ee4af58771a9c8c71d982b" localSheetId="1" hidden="1">'Input Data (Volumetric)'!$C$13</definedName>
    <definedName name="CB_9d3e751b1f9d45b29d4bcc2508d56166" localSheetId="0" hidden="1">#N/A</definedName>
    <definedName name="CB_aaa23d7f92ab4525aa4ed75332c32c5a" localSheetId="1" hidden="1">'Input Data (Volumetric)'!$C$8</definedName>
    <definedName name="CB_bffdb55d487c4765ab6d3e7613927af5" localSheetId="3" hidden="1">Volumetric_OOIP_Reserves!$E$12</definedName>
    <definedName name="CB_Block_00000000000000000000000000000000" localSheetId="0" hidden="1">"'7.0.0.0"</definedName>
    <definedName name="CB_Block_00000000000000000000000000000000" localSheetId="1" hidden="1">"'7.0.0.0"</definedName>
    <definedName name="CB_Block_00000000000000000000000000000000" localSheetId="3" hidden="1">"'7.0.0.0"</definedName>
    <definedName name="CB_Block_00000000000000000000000000000001" localSheetId="0" hidden="1">"'636842229733834649"</definedName>
    <definedName name="CB_Block_00000000000000000000000000000001" localSheetId="1" hidden="1">"'636842229734184669"</definedName>
    <definedName name="CB_Block_00000000000000000000000000000001" localSheetId="3" hidden="1">"'636842229734074662"</definedName>
    <definedName name="CB_Block_00000000000000000000000000000003" localSheetId="0" hidden="1">"'11.1.2926.0"</definedName>
    <definedName name="CB_Block_00000000000000000000000000000003" localSheetId="1" hidden="1">"'11.1.2926.0"</definedName>
    <definedName name="CB_Block_00000000000000000000000000000003" localSheetId="3" hidden="1">"'11.1.2926.0"</definedName>
    <definedName name="CB_BlockExt_00000000000000000000000000000003" localSheetId="0" hidden="1">"'11.1.2.2.000"</definedName>
    <definedName name="CB_BlockExt_00000000000000000000000000000003" localSheetId="1" hidden="1">"'11.1.2.2.000"</definedName>
    <definedName name="CB_BlockExt_00000000000000000000000000000003" localSheetId="3" hidden="1">"'11.1.2.2.000"</definedName>
    <definedName name="CB_d4a05200a82e44d2a21d2461351e99a2" localSheetId="3" hidden="1">Volumetric_OOIP_Reserves!$E$27</definedName>
    <definedName name="CB_eedb8218330a4d4c946f321e505795df" localSheetId="1" hidden="1">'Input Data (Volumetric)'!$C$7</definedName>
    <definedName name="CB_f3b9cd63d53f44ac93213f43f519f64b" localSheetId="1" hidden="1">'Input Data (Volumetric)'!$C$12</definedName>
    <definedName name="CB_f5866991714947d78073ece47c26cb95" localSheetId="3" hidden="1">Volumetric_OOIP_Reserves!$E$13</definedName>
    <definedName name="CB_f795f6043d6f494aacf7c7321fb6425f" localSheetId="3" hidden="1">Volumetric_OOIP_Reserves!$E$26</definedName>
    <definedName name="CB_f7bdb23f9f4c4288ad47dbaa654be9c7" localSheetId="3" hidden="1">Volumetric_OOIP_Reserves!$E$10</definedName>
    <definedName name="CBCR_01dfc67722ff4d6595a303d2fbd2f2b7" localSheetId="1" hidden="1">'Input Data (Volumetric)'!$F$6</definedName>
    <definedName name="CBCR_0719744df42d47e6afec3432b2e6f304" localSheetId="3" hidden="1">Volumetric_OOIP_Reserves!$C$11</definedName>
    <definedName name="CBCR_10e0838f3b3b4886a5d8567d8b5a1e6d" localSheetId="3" hidden="1">Volumetric_OOIP_Reserves!$D$12</definedName>
    <definedName name="CBCR_147e9e36a1134593994f64242c21781a" localSheetId="1" hidden="1">'Input Data (Volumetric)'!$D$13</definedName>
    <definedName name="CBCR_1a510a6bf2e4406e9aee0838472d076c" localSheetId="1" hidden="1">'Input Data (Volumetric)'!$D$14</definedName>
    <definedName name="CBCR_279b6cae93b64355b8ac27f3150cbce5" localSheetId="3" hidden="1">Volumetric_OOIP_Reserves!$C$14</definedName>
    <definedName name="CBCR_2e7c14f8db0f48a7859eb389842c73bc" localSheetId="3" hidden="1">Volumetric_OOIP_Reserves!$C$19</definedName>
    <definedName name="CBCR_30ce7747a63345d0afc63288f4324142" localSheetId="3" hidden="1">Volumetric_OOIP_Reserves!$D$13</definedName>
    <definedName name="CBCR_32b0ac854f05473b9f7e784f0c3c84e2" localSheetId="1" hidden="1">'Input Data (Volumetric)'!$F$19</definedName>
    <definedName name="CBCR_33495b1e2ecd4eb898957c418a49ea99" localSheetId="1" hidden="1">'Input Data (Volumetric)'!$B$8</definedName>
    <definedName name="CBCR_3d4ac77e73aa4c8fa7eb12007bc2af0a" localSheetId="3" hidden="1">Volumetric_OOIP_Reserves!$C$12</definedName>
    <definedName name="CBCR_4508523cce6443ccbd3c4f1a03f04486" localSheetId="3" hidden="1">Volumetric_OOIP_Reserves!$D$27</definedName>
    <definedName name="CBCR_4bac7aaf76384a27aadeb5bfe71e97a4" localSheetId="1" hidden="1">'Input Data (Volumetric)'!$D$8</definedName>
    <definedName name="CBCR_4f6a18bae56f47ef86b4967044da4992" localSheetId="3" hidden="1">Volumetric_OOIP_Reserves!$E$39</definedName>
    <definedName name="CBCR_4f8e72c785e04310ac6642d19459a213" localSheetId="3" hidden="1">Volumetric_OOIP_Reserves!$E$41</definedName>
    <definedName name="CBCR_548e51d2f436450db9085b500a5b8bbf" localSheetId="3" hidden="1">Volumetric_OOIP_Reserves!$E$40</definedName>
    <definedName name="CBCR_57aae76ae35a46fb85458101954cbc10" localSheetId="1" hidden="1">'Input Data (Volumetric)'!$F$13</definedName>
    <definedName name="CBCR_61f110bd264247e29f53ea7b2dc47646" localSheetId="1" hidden="1">'Input Data (Volumetric)'!$F$26</definedName>
    <definedName name="CBCR_66ba0ee091404bcd89f8cd5eb19309ac" localSheetId="1" hidden="1">'Input Data (Volumetric)'!$F$8</definedName>
    <definedName name="CBCR_706532d599c5401faab753b883468e26" localSheetId="3" hidden="1">Volumetric_OOIP_Reserves!$D$19</definedName>
    <definedName name="CBCR_735c00d78e2f40b898a3c81e713a6bca" localSheetId="1" hidden="1">'Input Data (Volumetric)'!$B$7</definedName>
    <definedName name="CBCR_8a4b39e06f924a189f950421d93d0c31" localSheetId="3" hidden="1">Volumetric_OOIP_Reserves!$D$11</definedName>
    <definedName name="CBCR_8bcef0e7ffaa4a92a62f7cc7c9afb60e" localSheetId="3" hidden="1">Volumetric_OOIP_Reserves!$C$27</definedName>
    <definedName name="CBCR_8f48f977c27640458d01c34ecd962c9e" localSheetId="3" hidden="1">Volumetric_OOIP_Reserves!$C$10</definedName>
    <definedName name="CBCR_903619f8339e40ed949b6681f41c6045" localSheetId="1" hidden="1">'Input Data (Volumetric)'!$D$6</definedName>
    <definedName name="CBCR_92b1d7ddb382479baa366e983211b952" localSheetId="1" hidden="1">'Input Data (Volumetric)'!$D$19</definedName>
    <definedName name="CBCR_9a3737c807c7446ab553b727e58e0296" localSheetId="3" hidden="1">Volumetric_OOIP_Reserves!$D$14</definedName>
    <definedName name="CBCR_9c37d5548d724ebc98772124279baffc" localSheetId="3" hidden="1">Volumetric_OOIP_Reserves!$E$42</definedName>
    <definedName name="CBCR_9e81ad598e6f459f973536f95151d392" localSheetId="3" hidden="1">Volumetric_OOIP_Reserves!$E$37</definedName>
    <definedName name="CBCR_b23f30d2ab6741d0827a0f6016f16d1d" localSheetId="3" hidden="1">Volumetric_OOIP_Reserves!$E$34</definedName>
    <definedName name="CBCR_b27fc0f4650c482abdd944ed9cbfadd4" localSheetId="3" hidden="1">Volumetric_OOIP_Reserves!$C$26</definedName>
    <definedName name="CBCR_b3ad9812b1b542cd92ec33b06a3ab0e0" localSheetId="3" hidden="1">Volumetric_OOIP_Reserves!$D$10</definedName>
    <definedName name="CBCR_c11cbc4733b240b88e97e2a80e37a463" localSheetId="3" hidden="1">Volumetric_OOIP_Reserves!$E$33</definedName>
    <definedName name="CBCR_c1e0b41075ac4aa3922f74e29ed6fe36" localSheetId="3" hidden="1">Volumetric_OOIP_Reserves!$D$26</definedName>
    <definedName name="CBCR_c9076a8dc8bd4750bd15abb0ec2f50e4" localSheetId="1" hidden="1">'Input Data (Volumetric)'!$F$7</definedName>
    <definedName name="CBCR_d6eea3d9f6af408a87bdecd642f2b44c" localSheetId="3" hidden="1">Volumetric_OOIP_Reserves!$E$36</definedName>
    <definedName name="CBCR_d7851f967ac94f4db36b8b40b687c8dc" localSheetId="3" hidden="1">Volumetric_OOIP_Reserves!$C$9</definedName>
    <definedName name="CBCR_d794807d0c69477497dcc7fcebd34837" localSheetId="1" hidden="1">'Input Data (Volumetric)'!$F$14</definedName>
    <definedName name="CBCR_dcafddc5352f4d869a9abd9235367132" localSheetId="3" hidden="1">Volumetric_OOIP_Reserves!$C$13</definedName>
    <definedName name="CBCR_e3a6ba47780a4bafb588110dbc254708" localSheetId="3" hidden="1">Volumetric_OOIP_Reserves!$E$38</definedName>
    <definedName name="CBCR_e3e7968685994ab8a22a125ccd299013" localSheetId="1" hidden="1">'Input Data (Volumetric)'!$B$14</definedName>
    <definedName name="CBCR_e8884f9666664b1d913d8695a1c82841" localSheetId="3" hidden="1">Volumetric_OOIP_Reserves!$D$9</definedName>
    <definedName name="CBCR_eb724b2a975a43869ad9246392793349" localSheetId="1" hidden="1">'Input Data (Volumetric)'!$D$26</definedName>
    <definedName name="CBCR_f6656cf895404a85a8046cefc74df93c" localSheetId="1" hidden="1">'Input Data (Volumetric)'!$D$7</definedName>
    <definedName name="CBCR_ff91e657add745f9a8529a2806dbd399" localSheetId="1" hidden="1">'Input Data (Volumetric)'!$B$13</definedName>
    <definedName name="CBWorkbookPriority" localSheetId="0" hidden="1">-1473966155</definedName>
    <definedName name="CBx_1b28242ed5124cdabf09d51655470bb1" localSheetId="0" hidden="1">"'Pronostico CB'!$A$1"</definedName>
    <definedName name="CBx_389b34bcd17f41b99ed23bcf40ce060b" localSheetId="0" hidden="1">"'CB_DATA_'!$A$1"</definedName>
    <definedName name="CBx_94285a85862e47b495766f2d2db96525" localSheetId="0" hidden="1">"'Volumetric_OOIP_Reserves'!$A$1"</definedName>
    <definedName name="CBx_f6ed4a90b74a475baf547fa8f1b9a684" localSheetId="0" hidden="1">"'Input Data (Volumetric)'!$A$1"</definedName>
    <definedName name="CBx_Sheet_Guid" localSheetId="0" hidden="1">"'389b34bc-d17f-41b9-9ed2-3bcf40ce060b"</definedName>
    <definedName name="CBx_Sheet_Guid" localSheetId="1" hidden="1">"'f6ed4a90-b74a-475b-af54-7fa8f1b9a684"</definedName>
    <definedName name="CBx_Sheet_Guid" localSheetId="3" hidden="1">"'94285a85-862e-47b4-9576-6f2d2db96525"</definedName>
    <definedName name="CBx_SheetRef" localSheetId="0" hidden="1">CB_DATA_!$A$14</definedName>
    <definedName name="CBx_SheetRef" localSheetId="1" hidden="1">CB_DATA_!$C$14</definedName>
    <definedName name="CBx_SheetRef" localSheetId="3" hidden="1">CB_DATA_!$B$14</definedName>
    <definedName name="CBx_StorageType" localSheetId="0" hidden="1">2</definedName>
    <definedName name="CBx_StorageType" localSheetId="1" hidden="1">2</definedName>
    <definedName name="CBx_StorageType" localSheetId="3" hidden="1">2</definedName>
    <definedName name="factor_z">OFFSET(#REF!,0,0,#REF!,1)</definedName>
    <definedName name="func_pressure">OFFSET(#REF!,0,0,#REF!,1)</definedName>
    <definedName name="func_pseudo_pressure">OFFSET(#REF!,0,0,#REF!,1)</definedName>
    <definedName name="gas_viscosity">OFFSET(#REF!,0,0,#REF!,1)</definedName>
    <definedName name="No_Field_prod">OFFSET(#REF!,0,0,#REF!,1)</definedName>
    <definedName name="No_plant_capacity">OFFSET(#REF!,0,0,#REF!,1)</definedName>
    <definedName name="No_Pr">OFFSET(#REF!,0,0,#REF!,1)</definedName>
    <definedName name="No_years">OFFSET(#REF!,0,0,#REF!,1)</definedName>
    <definedName name="p_z">OFFSET(#REF!,0,0,#REF!,1)</definedName>
    <definedName name="pressure">OFFSET(#REF!,0,0,#REF!,1)</definedName>
    <definedName name="pressure_gas_viscosity">OFFSET(#REF!,0,0,COUNTA(#REF!)-2,1)</definedName>
    <definedName name="_xlnm.Print_Area" localSheetId="5">'OOIP Assumptions'!$A$2:$AH$122</definedName>
    <definedName name="_xlnm.Print_Area" localSheetId="4">'Sensitivity-Scatter'!$B$2:$V$58</definedName>
    <definedName name="_xlnm.Print_Titles" localSheetId="5">'OOIP Assumptions'!$2:$2</definedName>
    <definedName name="YES_Field_prod">OFFSET(#REF!,0,0,#REF!,1)</definedName>
    <definedName name="YES_plant_capacity">OFFSET(#REF!,0,0,#REF!,1)</definedName>
    <definedName name="YES_Pr">OFFSET(#REF!,0,0,#REF!,1)</definedName>
    <definedName name="Yes_Qw">OFFSET(#REF!,0,0,#REF!,1)</definedName>
    <definedName name="Yes_WGR">OFFSET(#REF!,0,0,#REF!,1)</definedName>
    <definedName name="YES_years">OFFSET(#REF!,0,0,#REF!,1)</definedName>
  </definedNames>
  <calcPr calcId="162913"/>
</workbook>
</file>

<file path=xl/calcChain.xml><?xml version="1.0" encoding="utf-8"?>
<calcChain xmlns="http://schemas.openxmlformats.org/spreadsheetml/2006/main">
  <c r="E3" i="38" l="1"/>
  <c r="F3" i="38" l="1"/>
  <c r="E35" i="32" l="1"/>
  <c r="C2" i="32" l="1"/>
  <c r="C3" i="32"/>
  <c r="C1" i="32"/>
  <c r="E19" i="32" l="1"/>
  <c r="K21" i="32" s="1"/>
  <c r="E15" i="32"/>
  <c r="G11" i="32"/>
  <c r="F11" i="32"/>
  <c r="D11" i="33" l="1"/>
  <c r="F10" i="32" l="1"/>
  <c r="G10" i="32"/>
  <c r="G9" i="32"/>
  <c r="F9" i="32"/>
  <c r="F19" i="32"/>
  <c r="E9" i="32" l="1"/>
  <c r="E13" i="32"/>
  <c r="E12" i="32"/>
  <c r="E14" i="32"/>
  <c r="E11" i="32" l="1"/>
  <c r="E10" i="32"/>
  <c r="F35" i="32" l="1"/>
  <c r="G35" i="32"/>
  <c r="C11" i="33" l="1"/>
  <c r="L5" i="21" l="1"/>
  <c r="C4" i="32" s="1"/>
  <c r="G14" i="32" l="1"/>
  <c r="F14" i="32"/>
  <c r="G13" i="32"/>
  <c r="F13" i="32"/>
  <c r="G12" i="32"/>
  <c r="F12" i="32"/>
  <c r="B11" i="33" l="1"/>
  <c r="A11" i="33"/>
  <c r="K16" i="32" l="1"/>
  <c r="K15" i="32"/>
  <c r="K14" i="32"/>
  <c r="K13" i="32"/>
  <c r="K11" i="32"/>
  <c r="K12" i="32" s="1"/>
  <c r="K18" i="32" l="1"/>
  <c r="K20" i="32" s="1"/>
  <c r="K17" i="32" l="1"/>
  <c r="K22" i="32" l="1"/>
  <c r="E26" i="32"/>
  <c r="K24" i="32" l="1"/>
  <c r="K26" i="32" s="1"/>
  <c r="E29" i="32" l="1"/>
  <c r="E27" i="32"/>
</calcChain>
</file>

<file path=xl/comments1.xml><?xml version="1.0" encoding="utf-8"?>
<comments xmlns="http://schemas.openxmlformats.org/spreadsheetml/2006/main">
  <authors>
    <author>Franco Sivila</author>
  </authors>
  <commentList>
    <comment ref="F7" authorId="0" shapeId="0">
      <text>
        <r>
          <rPr>
            <b/>
            <sz val="9"/>
            <color indexed="81"/>
            <rFont val="Tahoma"/>
            <family val="2"/>
          </rPr>
          <t>Franco Sivila:</t>
        </r>
        <r>
          <rPr>
            <sz val="9"/>
            <color indexed="81"/>
            <rFont val="Tahoma"/>
            <family val="2"/>
          </rPr>
          <t xml:space="preserve">
Place Percentiles on "Data" Sheet.</t>
        </r>
      </text>
    </comment>
    <comment ref="I17" authorId="0" shapeId="0">
      <text>
        <r>
          <rPr>
            <b/>
            <sz val="9"/>
            <color indexed="81"/>
            <rFont val="Tahoma"/>
            <family val="2"/>
          </rPr>
          <t>Franco Sivila:</t>
        </r>
        <r>
          <rPr>
            <sz val="9"/>
            <color indexed="81"/>
            <rFont val="Tahoma"/>
            <family val="2"/>
          </rPr>
          <t xml:space="preserve">
Standard Conditions</t>
        </r>
      </text>
    </comment>
    <comment ref="I25" authorId="0" shapeId="0">
      <text>
        <r>
          <rPr>
            <b/>
            <sz val="9"/>
            <color indexed="81"/>
            <rFont val="Tahoma"/>
            <family val="2"/>
          </rPr>
          <t>Franco Sivila:</t>
        </r>
        <r>
          <rPr>
            <sz val="9"/>
            <color indexed="81"/>
            <rFont val="Tahoma"/>
            <family val="2"/>
          </rPr>
          <t xml:space="preserve">
Burned Gas
Flared Gas
Liquids Extraction
Impurities Extraction
</t>
        </r>
      </text>
    </comment>
    <comment ref="I26" authorId="0" shapeId="0">
      <text>
        <r>
          <rPr>
            <b/>
            <sz val="9"/>
            <color indexed="81"/>
            <rFont val="Tahoma"/>
            <family val="2"/>
          </rPr>
          <t>Franco Sivila:</t>
        </r>
        <r>
          <rPr>
            <sz val="9"/>
            <color indexed="81"/>
            <rFont val="Tahoma"/>
            <family val="2"/>
          </rPr>
          <t xml:space="preserve">
Sales Gas</t>
        </r>
      </text>
    </comment>
  </commentList>
</comments>
</file>

<file path=xl/sharedStrings.xml><?xml version="1.0" encoding="utf-8"?>
<sst xmlns="http://schemas.openxmlformats.org/spreadsheetml/2006/main" count="187" uniqueCount="97">
  <si>
    <t>[cf/scf]</t>
  </si>
  <si>
    <t>:</t>
  </si>
  <si>
    <t>[%]</t>
  </si>
  <si>
    <t>[MM m3]</t>
  </si>
  <si>
    <t>[acre-ft]</t>
  </si>
  <si>
    <t>Net/Gross</t>
  </si>
  <si>
    <t>[fracción]</t>
  </si>
  <si>
    <t>[MMm3]</t>
  </si>
  <si>
    <t>[BCF]</t>
  </si>
  <si>
    <t>P10</t>
  </si>
  <si>
    <t>P50</t>
  </si>
  <si>
    <t>P90</t>
  </si>
  <si>
    <t>Pozo</t>
  </si>
  <si>
    <t>Campo</t>
  </si>
  <si>
    <t>Fecha generación</t>
  </si>
  <si>
    <t>Reservorio</t>
  </si>
  <si>
    <t>Merma de Gas</t>
  </si>
  <si>
    <t>Crystal Ball Data</t>
  </si>
  <si>
    <t>Workbook Variables</t>
  </si>
  <si>
    <t>Last Var Column</t>
  </si>
  <si>
    <t xml:space="preserve">    Name:</t>
  </si>
  <si>
    <t xml:space="preserve">    Value:</t>
  </si>
  <si>
    <t>Worksheet Data</t>
  </si>
  <si>
    <t>Last Data Column Used</t>
  </si>
  <si>
    <t>Sheet Ref</t>
  </si>
  <si>
    <t>Sheet Guid</t>
  </si>
  <si>
    <t>Deleted sheet count</t>
  </si>
  <si>
    <t>Last row used</t>
  </si>
  <si>
    <t>Data blocks</t>
  </si>
  <si>
    <t>389b34bc-d17f-41b9-9ed2-3bcf40ce060b</t>
  </si>
  <si>
    <t>CB_Block_0</t>
  </si>
  <si>
    <t>Decisioneering:7.0.0.0</t>
  </si>
  <si>
    <t>94285a85-862e-47b4-9576-6f2d2db96525</t>
  </si>
  <si>
    <t>CB_Block_7.0.0.0:1</t>
  </si>
  <si>
    <t>[m]</t>
  </si>
  <si>
    <t>f6ed4a90-b74a-475b-af54-7fa8f1b9a684</t>
  </si>
  <si>
    <t>Input [Crystal Ball]</t>
  </si>
  <si>
    <t>Crystal Ball Runs:</t>
  </si>
  <si>
    <t>Decisioneering:7.3.0.0</t>
  </si>
  <si>
    <t>Probability Results</t>
  </si>
  <si>
    <t>[Extracted from Crystal Ball]</t>
  </si>
  <si>
    <t>OGIP SENSITIVITY AND CORRELATION WITH ASSUMPTIONS</t>
  </si>
  <si>
    <t>Assumption</t>
  </si>
  <si>
    <t>Petrophysics Properties</t>
  </si>
  <si>
    <t>Rock Volume</t>
  </si>
  <si>
    <t>Recovery Factor</t>
  </si>
  <si>
    <t>Trials Output [Crystal Ball Forecast]</t>
  </si>
  <si>
    <t>[decimal]</t>
  </si>
  <si>
    <t>Percentiles</t>
  </si>
  <si>
    <r>
      <t>[Km</t>
    </r>
    <r>
      <rPr>
        <vertAlign val="superscript"/>
        <sz val="8"/>
        <color theme="1"/>
        <rFont val="Calibri"/>
        <family val="2"/>
        <scheme val="minor"/>
      </rPr>
      <t>2</t>
    </r>
    <r>
      <rPr>
        <sz val="8"/>
        <color theme="1"/>
        <rFont val="Calibri"/>
        <family val="2"/>
        <scheme val="minor"/>
      </rPr>
      <t>]</t>
    </r>
  </si>
  <si>
    <t>Area</t>
  </si>
  <si>
    <t>Thickness</t>
  </si>
  <si>
    <t>Porosity</t>
  </si>
  <si>
    <t>Water Saturation</t>
  </si>
  <si>
    <t>CB_Block_7.0.0.0:2</t>
  </si>
  <si>
    <t>CB_Block_7.3.0.0:1</t>
  </si>
  <si>
    <t>OGIP Volumetric Method</t>
  </si>
  <si>
    <t>Original Hydrocarbon In-Place</t>
  </si>
  <si>
    <t>Gas Separator</t>
  </si>
  <si>
    <t>GOR</t>
  </si>
  <si>
    <t>Original Oil In-Place</t>
  </si>
  <si>
    <t>KEY</t>
  </si>
  <si>
    <t>1b28242e-d512-4cda-bf09-d51655470bb1</t>
  </si>
  <si>
    <t>[Km2]</t>
  </si>
  <si>
    <t>Gas Reserves</t>
  </si>
  <si>
    <t>Oil Recovery Factor</t>
  </si>
  <si>
    <t>Net to Gross Ratio [N/G]</t>
  </si>
  <si>
    <t>Oil Volume Factor, Boi</t>
  </si>
  <si>
    <t>[MMSTB]</t>
  </si>
  <si>
    <t>Recovery Factor, Oil</t>
  </si>
  <si>
    <t>Reservoir Properties</t>
  </si>
  <si>
    <t>[rb/stb]</t>
  </si>
  <si>
    <t xml:space="preserve">Fecha </t>
  </si>
  <si>
    <t>Oil Reserves</t>
  </si>
  <si>
    <r>
      <t>[MM m</t>
    </r>
    <r>
      <rPr>
        <vertAlign val="superscript"/>
        <sz val="8"/>
        <rFont val="Calibri"/>
        <family val="2"/>
        <scheme val="minor"/>
      </rPr>
      <t>3</t>
    </r>
    <r>
      <rPr>
        <sz val="8"/>
        <rFont val="Calibri"/>
        <family val="2"/>
        <scheme val="minor"/>
      </rPr>
      <t>]</t>
    </r>
  </si>
  <si>
    <t>[scf/stb]</t>
  </si>
  <si>
    <t>Oil Reserve [Max. Recoverable]</t>
  </si>
  <si>
    <r>
      <t>[m</t>
    </r>
    <r>
      <rPr>
        <vertAlign val="superscript"/>
        <sz val="9"/>
        <color theme="1"/>
        <rFont val="Calibri"/>
        <family val="2"/>
        <scheme val="minor"/>
      </rPr>
      <t>2</t>
    </r>
    <r>
      <rPr>
        <sz val="9"/>
        <color theme="1"/>
        <rFont val="Calibri"/>
        <family val="2"/>
        <scheme val="minor"/>
      </rPr>
      <t>]</t>
    </r>
  </si>
  <si>
    <r>
      <t>[MM m</t>
    </r>
    <r>
      <rPr>
        <vertAlign val="superscript"/>
        <sz val="9"/>
        <color theme="1"/>
        <rFont val="Calibri"/>
        <family val="2"/>
        <scheme val="minor"/>
      </rPr>
      <t>3</t>
    </r>
    <r>
      <rPr>
        <sz val="9"/>
        <rFont val="Arial"/>
        <family val="2"/>
      </rPr>
      <t>]</t>
    </r>
  </si>
  <si>
    <t>ASSUMPTIONS DISTRIBUTIONS  FOR OOIP ESTIMATES</t>
  </si>
  <si>
    <t>No</t>
  </si>
  <si>
    <t>Depth</t>
  </si>
  <si>
    <t>Porosidad</t>
  </si>
  <si>
    <t>Profundidad</t>
  </si>
  <si>
    <t>dec</t>
  </si>
  <si>
    <t>ft</t>
  </si>
  <si>
    <t>Log</t>
  </si>
  <si>
    <t>Core</t>
  </si>
  <si>
    <t>Sw</t>
  </si>
  <si>
    <t>c</t>
  </si>
  <si>
    <t>㜸〱敤㕣㕢㙣ㅣ搵ㄹ摥ㄹ敦慣㜷搶㜶㙣攲㜰〹㔷㜳扦㌸㕡攲㐰戸㤴愶挱㤷㌸〹攴㘲㘲㈷ㄴ〱㕤挶扢㘷散㐹㜶㘶捤捣慣ㄳ〳㉤愱攵摡㔲㔵搰㠷ㄶ㑡㕢㠴㉡㐴㕦㉡㔱㔵〸㕡晡㔰愹㔲㔱ぢ愸て愸㔲ㅦ㉡㔱㔴戵て慤慡㐸㝤攱㠱㡡㝥摦㤹㤹摤搹㕤敦搸㉣搰㥡捡㤳散㥦㌳攷㝥捥㝦㍤晦㝦㈶㈹㈵㤵㑡㝤㠸㠷晦昲㐹㌳㜱敥昴㤲攷ぢ㍢㍦㕥㈹㤷㐵搱户㉡㡥㤷ㅦ㜵㕤㘳㘹㥦攵昹㕤愸㤰㈹㔸㈸昷戴㠲㘷摤㈷戲㠵㐵攱㝡愸愴愵㔲搹慣慥愲㥣㥤昰㌷㄰扤攸㙣搵㥢〶㤸ㄹㅦ㍢㌸㝢ㄴ扤㑥晢ㄵ㔷㙣ㄹ㍡ㄲ戴摤㌱㌲㤲ㅦ挹㙦扢㜱摢㜵昹慤㕢㠶挶慢㘵扦敡㡡ㅤ㡥愸晡慥㔱摥㌲㌴㔵㥤㉤㕢挵㕢挵搲㑣攵㤸㜰㜶㠸搹慤搷捣ㅡ搷摥㌰㜲敤昶敤收㡤㌷摥搰㡢愱㔳〷挶挷愶㕣㘱㝡㥦㔰㥦ㅡ愷㝣敤㠴㈸㕡㕣㥢㄰慥攵捣攵挷挷昰㌷㌶㝦扣㕤㥦㥦㥥ㄷ挲攷搰挲ㄵ㑥㔱㜸㍡ㅡ昶搸愳㥥㔷戵ㄷ戸㜹扡㍤㠹愵ㄶつ捦搷散㜱㔱㉥敢㜶搴㙢搶㍥㠸扤㉢ㅢ㑢扤昶戴㜰㍣换户ㄶ㉤㝦㈹㘳捦愰愳㔲㥦㝤搸ㄳ㠷っ㘷㑥ㅣ㌰㙣愱搹扢慢㔶㈹ㅤ㍣愹慥换愳㉥攲ㄳ㤳换捦㡦㝡昶昸扣攱捡ㄹ㜹摣㤸㠴扡㤳㙥戱戱敥挵敤晢攵搴攵〸散昳搲昶昵㔰㜲挴㜰㙢㌵㠷摢搷っㄷ摦㌸㠳慢摢搷㡦敤㔱㘳㥢㉢摢户㤱㕢搹㔸㕢改〹改㕢敥㈸ㄶ愳㘷〸扡〹戲〴㐴愰㥥㈳攸㈱攸〵㔰搲晦〲㤷挴ㅢ戲㐸㉤ㄸ㙡㘱㔶㉤ㄴ搵㐲㐹㉤〸戵㘰慡㠵㌹戵㌰慦ㄶ㉣戵㜰㔴㉤ㅣ㐳㥤攸挹㜶㜷慢攱昳戳扢摥㝥摣扢摦㥢㝣改㡤晣扦㥦㝣攴㜷捦昵㙥㐰愵摢挲㐹㑤戸挶㜱㤰㕡㥤㡡户攵户昲捦捡㕣〱愶㌰户㥢搷㥢㈳㈳愵敤㕢㡤㙢っ㡤换㑡㐰㝥〳愱っ愰㙥慦㜹扢攵㤴㉡挷㈵敥捥ㅤ㌳㍣㔱摦戸攱戰㙣慣㔲㜵㑡摥㌹换ㄷ㑥晢㠶㉦捥㙥㉥慢㜷搲搲㙣ㅡ㙣㈵㍣㌹摥昹捤捤㡥ㄸ攵慡ㄸ㍤㘱〵挵攷㌵ㄵ摢㔳㙥㘵戶㝤改愴㉢敥慤㤵戶捣㘸ㄴ㐲㙤㔱昶摤戲捡愰㈸㤸搷搰昸㝣挵ㄳ㡥㥣摥戰㍤㘵ㄵ㡦〹㜷㕡㔰㈴㡡㤲㕣敡改㉣ち戹㝥昸愰㠳㠵㠲㕢㑢ㄷ挵㜳捤㕤㈷㝣㌰戳㈸㘱扥ぢ挲昵㤷㘶㡣搹戲㌸愳愱㑡㌰㈶ち㌶㌷㘴㑦㔶㡡㔵㙦扣攲昸㙥愵摣㔸㌲㕡㕡㌴㈰㘹㑡晢㉢㈵㤱㑥愷愴㔰㠰挰敤敡㔲㤴搴㔵敤㜹㐱㈲㈲㠶㘲㌲昲㔹㡤㘴㤷㍦㠴搵㘱ㄵ㘵㐱㥡㔴㉦㔹愱㌳捥㔷捡㤸〴づ㡣慤㠹晡㠳㠳㕥戱㐲户㌵捣㝤扡㤵㔵㜵㌰㕣晤慥㐵攱昸㝢っ愷㔴ㄶ㙥愲昶㔳㌸㈳扤ㅦ㐰㍢〵㠱搰㜶昷愸敡㤴ㄳ捡㤲㜶摣㉡昹昳㤹㜹㘱捤捤晢挸㠳㠶捣㘶戹戵㉤㡦㝥ㅡ戲昴㡤〴㠳〰戹㕣㉡戳㠹㤵㌲㌹㍣㈹㡤搲㈹㠱㤷ㅢ〴㌹摢㌵昰㜲慦㌹㘹㤵㝤ㄱ〸攵㝥ㄳㄸ〹戴㥡㐴㕦ㅦ㐹搴㌵㡡㠱挲搸㘴㡥㠳㑡つ换昱㤷敡㝣摢挲㈵〱ㄱ慤换㠲㌵㈷ぢ㈸ちㅡ攵㐱〲慦㠱㘸㥡愴㐱㜲攵ㄸㄱ㤱つㄲ㌴㍢㝡㙥㈴㌲搶㑦㤰ㄱ愸ㅦ㈷㐲搶摥摡㕥㐶㤰搸㕢㠹㤴㡤摡昲攳扡㌴㕢捥㤶て愴搹改搸㌸晤っ㠲㌳〹捥㈲搸っ愰晣ㄵㄲ㡥㔲づ改挶㐷㍦〷敦晡戹〴攷〱㐰㍥改㤴㌹愱愸愲つ戵ㅡ㍢㤲昵晡㘰㈷㑢愳㌸㄰㐵戴㡣㙢㜶㘶㥦㉤ㄱㅤ㕡㥤㙢㐳搷愶愵㡥扤慣㍤㙤挶㤷㐳㡡㑣愸ㅡ㕦敢ち㔵攳ㅢ挱慡ㅤ敡慤ぢ搰㔴ㅦ㈲戸㄰㈰㔰㉣㌴㜶㔷㘷捤搳㥣晣㑣㤸㐴㠱㈱搴愱㜲て㠹㤸收㝦㠲㠰㙢㌹扡慣摢捦㌴〵㠷捤捦扣晤扣愵㍤㙦㠷㐸㙦搲㤹敢㍡㠷扥愲㡦㘸㐱㕦〴昶㔲晥搴㔶扦㕣㠲㘲晤㔲㠲换〰㥡昴ぢ㑦摥ㅦ搵㑢㈰㑤㘲㍢㠶戹㡤昴戸㐸ぢ㜷㘶㘹㐱㐸敤搳㙢捥ㄸ敥㥣昰攱扤搸㍢〱㍢戸攲扡愲㡣〳㙤㐹㘶昰散㜲㘶㘳愶㌷改㔶㙣收慦摢挷摥㘷㐲㌱愴搳㙡㔷慡挹㍥㑥戰㌳㘳晥愶ㄸ攵㔰晦㕥搳㕥㐸挴ㅡ㌵㤲ㄷ摢㈵㥦㉤搷㈵㐹〷㤲攴ち㙣慢㝥㈵〰愴㠴昲㠷戶ㄲ㘵㤸搵戶挸㙡㡤搶㉡扤㝢〹㈷㤳㈶晦㘱㡢ㅣ改〹㥣戵㘳昰ㅤ㜸㝤昶戴㘵搷㠴㐵㡦㍤㈵摣㈲晣ち㔶㔹攴〲㤷㉣㐵捤扡慣昸㡣挸㡡慥慥㤶戳㜴㠲㙦㑤搲㐹㤳㤴㐸攴昶挴挲㠴㜳㜸㥤愸攸㠲愴㔰㐹㜰ぢ搵㈴㄰㈹㡦㜵搷㐵㑣〷㈲㈶㡦㡤搳慦㈶搸㑡㌰〲愰扤つ㐹戳摡㡤㘷㈸慣㝢㤱敥散㐲㈱㤵㈵ㅡ愴㝢昰慤戶挲敡㕡づ戳㥤攰㍡㠰㈶昳㠷捥挷〴㐲㤴㈸㡦ㄱ㈲慤㈵摤㍣㘲㠹攳愴㠱つ㈶㠲㑡攳㔵捦慦搸㡣㉡昵㤹ㄳ㤵〳ㄵ㝦挲昲ㄶ㄰㠵ㅡ㌴挳挴敤昳挲〱㜵戹戰㝤㥡昲㉡ぢぢ愲愴㥢搳㤵㉡㐴摢摥㠹戵㜰㈸挷晡㘰㑢捡㜳戹慡攰改散㙣㡣㉥ㄴ㜹㈲㠶慦㤵㥥搸㔵㜹扥㜹攸敢慦敦攸㡣攵㤷㐵㡦ㄹ㌰ㅤ搳㔹ㄳ扢㠸愸㐱愹摢㥣㤹㜷㠵㤸攸㌳㜷扢㔶愹㙣㌹㠲挸㠰㡤挹㐰摤㍥㌱㠷〸挱㔴㠵昱扦㡡搳㘷捥戸㠶攳㉤ㄸっ㈶㉥㙤㙣㜸㤳㈱ㄱ捤ㅣ戳ㅣて挳㐸㉣㌲摤㙦㑥捦㔷㡥㈳㕡㕢戵㥤摤挶㠲户㈶戰㐲愲てㅥ㠹ㅡ㐵㔵㔴㔵挹慡搹㑥昱挳〳㜹㉡戵つ扦㌴㠱挴㔵㑡愳扦㍣㐱㝢搳慥て攳㌳戴搳㌹愷㕥㐴㡥㙡㤹㕤㠹㔲㤸㥣慡摦挰㌶㌷〲摣戲晢昰摥㝡㔴敥㘳挵慢㌵㝡昸ㄳ㘴扣㈴㡢㕡㄰㠴晥戹つ〱愹㌰㡦㤴〳づ〴挶昹搶㑣㝥㌹㔳搶㈱昵㙤愸㈷㈷ㄱ㐵敡㌵昷ㄹ戳愲㡣㔸戴㙤昸ㅢ㠲ㄷ㥡戱戶㔱昶挲戲昱㡡㙤ㅢ㈴㉤㤲攵㜴搱㈰〵㡦㔶晤捡㝥换搱㑤〰㐹㝦㘱㤶㜱〲㔹挶〹㤹搵㙢ㅥ㘲㔸㔰愶搹㔷㘵捥㜰㉤㝦摥戶㡡㔹扥㌰㜴户㈶㘸ㄲ㑣㑥挹ㅢ㍤㤱捣ㄸ㙡戲收て挳㘴昳昲㐰㜷ㅥ㜲㤴㕢㐷昴㠳㜲㔵㈵㠳㍦㑡㠷㡥㈵〸ㄸ改㈵搵㙦㐲㙦㥡扣ㄹ〱㤱㈳㥦㔳搱晤㡢㔳て㈲㈷昰换ㄱ敢〹㈴〲㡦㘰㑣挸搳扤㥤㌱て㍢㤶て散ㄱ㘳㤳㤶㍦攱〱攵〰㐸捡攳敤搹ㄲ慢戱㐶挳㌵慤㜰㐱㙢㔱㠳㥡㌸扦戵㍣慥㌷㉥㔹愶㌸搰㈸㌱㐵戲㔲㈵愹㔹㤶㤹攳㕡㔲㌵㡡㔴摣㤱戶㔱㤲摣愶昵㝤愷ㄴ昹ㄸ㡡㐹搲㑣㑡摦㈱〹〵㐱㕥㔲〷㜴ㄴ晤昵挹攴ㄱ㡢搶搰〶挸㔱㑦〵㜹㝤㘱㌸㜰㉦慥㥣㤴㐴㉥㝣〳㝦㙦〸㤳〷慢㝥㐳㠹㜱㘲㌰㉣ㄹ㉤㤷て㍡戰ㄲ㡡㠶㕢㕡㈳㉣㡤戵〵ㅡ㐶㜲㘷愷摡㍦搸摥ㄸ㈳㠶㙣挸㤰㐸㠲ㅦㄸ㙣〸收㡡㐵㔳㘹㥤昵㜱慢㙢搹㔹扥敤ㄷ㠶㈳㌱㌰敤㤷㈶挴愲㌴挳敡㤶晣愰㙣㔰㍢㉤㑡㌹慡㥢愳戳ㅥ㔴扡㑦㌹ㅥ愶㈴㠳敢收㈱扡愵㜰㠱〱㘲㌷㑣㑤ㄵ㝤㠴㜵㙢ㅤ昰㘴戰㜶戰㠳ㅤ〹挲㈶戴捥㈸㐱㌳〹㠴摢戸〸昲㑥㠷ㄸ㠵㈰㌵攵昳捦㥤捡戳捦昰昹昱捥㔴㤴〸㤹㠸愱慥〴敢〱挸㡤㐷㈵挹㐵㠳㔱戰㍣㤰㙣㔲㘸昵㐶㜹㌴㌱晡㘸昲戹㍥㙥昰㌰㡥搵㑦戶㈹攳㡥㥢㙦㐱㥢㤶㤷㌶㤸㝢㥤㘲戹㕡ㄲ㔲ㄵ㐷戲㕡㙡攴㌵㠱㉦㜹晤㉦攰愶㠴㝤〹㌷㘵㉦㡥㔲㕣㌲㤱搴戹摤慤㝦〱捤愵㤰㐳ㅦ㠱㙣㘳昰㌱挱㉤㈷㠳㘱㉤㜷ㄴ㘸ㅦ㙥慣㕦㕥㤰ㄷ攷㈰搲㕡戲㈸换昶攱㉥㕥㉤㠲㉣戹㉤㔶㙤㕦㘵㕦㠵㌶㝢㉣㙢㡦ㄵ㘴慤〹ㅣ㘱㥤㠱挰换㘴㘰㡣㜴挸ㅤ散㈴㜵㉡㡣散㥥㝡㔰扥愶㑥敤っ㡤て㠵昱㕤㥥㠲㔲搸㔵㌰ㄲつ㙥戵㙥㜵㉢㡣晣搲昲搶㙦〶㔰ㄸ〲愶㐱㡢㥡㠱㠱㌳㠶昴捡〶づ㠳㤱〹搱搱㜸㈰㤵㌱捡㐱㌸散㠱㌴㜰ㄳて搲㌳ㄵ㈸㈱㝦㤳扣ㄴㄶ摤㑢ㅣ戶㜱〴慡戸㘷㌴㘵㑥ㄹ㍥慥扥㌸㥢㥢戲㐷㑢㈵㥡扢昰捦慤〹慣攲摡㐶㘰㡥㙥㙡扡㤰㈵搷㐴晢敥攲愶㠲昰愲攰戶㠹晣ㅥ挳㉦捥㑦晢㑢挱愵慤㑥㐹㐲晢㈵晣ㄱ换㡥㑥㥢㌹敤昰ㄲ敡㈲昷㍥㜷捣愹ㅣ㜷攴扣㌴㡦㌷晥㘸挵敡摤摤㥣㘴㉥昵㈱晥挸㐷㑤㘹慦愳挷搵㑣㥢ㅤ搴ㅤ㈴散㐷㍥㠱㌴ㄸ㐲㍡㠱㑥㘰扢搷㙥っ㤰㑥㌶㌵搱㠹ㄴ〴敢㠴攲捣㝤㘲㠴愲晣〲㘸㈵戱〴㐷㜲散昹㡢㘰㝤攵攷挸㈱挲昱ㅥ㡡ㄱ敤㐲愴ㄲ㔰㈷〵㜹㜸扤㠳㤷㐱晥㝦戰ㄴ㜱昳戲散昴㕦㘰㘶攵戵㘶ㄴ㥤㑦ㄴ扤摡㡡㈲〶㘲㍦㔲挸㥢戳㕦㍦㙡㝥敡搷㝡晦㠷㐷捤㕢㠰㘱㍥搲ㅡ㐳㔰㡤挱昸㥡㌱搰搵㘲っ㕣㡡㘲㘹っ摣捡㌶㡣搷〷挶㐰攸敤搸㡦㡣㤵㡤〱㐶昱ㄲ㑣扥㔸㔰㌵收挰攰㔹敢っ㥢㥥戰㍤戸㕥㉢㍣㐴敥愱㥥扣㜱昸㥥捥㙣捤㥥㌲㕣挳摥㉣昳㜷扢〲㙡换㥤挱㝤㙤搹㠴㉤捥㕥戶㐴㌶㕡挶㉢ㄱ昹搳搷㍤㈷慢扢愵づ㑣〵㑦攰愸㔷戲㑡收㘳昸㐴ㄴ㥥㄰㔲昷㙦晡挹敥㍦摦昷昰㑥摥㑢ぢ㘹㔵㘳㈰戸㤳攰㍣㉤〷㠴㙦㘳㔷㐲㑥攷攷㌷晢昱㈱㤲戵㔰ㄶ㘳㠶㉢敤ㅤ㑦户愳㘴㐰㜸㌱挲っ㠸㙦㉤ㄸ㤳戸攱㄰ㄸ㤳昹㈶挷愶晣㝣㐹㍡〳昳戱㠹㑢敦㕤ㄴ㈰㔴摡慡慣づ敤㑡敤愷㔰㍡ㅦ㜱㈲㡤昶㈰捦㤷㝣ㄴ攵攵㘶慤戶㥤㕡㑤㥡㠹捡㌰㙡㐴㔲ち㤱〶㔲㐸晣挸挲搰扦㤴㔲㔳㐸㘸㜹㠰㠴ㄸ㕡㜳㌰㤷㈷晦㜵㈱㈰㙡搷晢㍡晣㔴〵扢〸㉣㐶㕥昷㑥捦慥戴㍡㈳搵挴愰慣㍣㝤摣㠶㠴㍣愶㌰㠳㔱㕡㤹㝢〸㠹攸搱㐶㤰㕡戵攳㠹㠳昴搹㐱㠸㉤㘰㙣捤愶㔷㉤㘷敦㜲慡戸攳〱㍤㤳㤱ち挳搹挸㙣ㅣ㍤㘵㌴㉥愸㥡ぢ戲〸晢㠳㘴慤㔱㑦㔸〴㥤攵㙣挶昹ㄳ㘱㍥㝥て挴昲攱㝡搷愷㌷㤷㔰挷㌹摤㔸㈰㝦戰扦捥㑦㘰㙣㡣㑡㡥㠱㠴㕤㔵慤㙣㜰〹㝣ㅡ㑤愴㍤慦攸昵㈴挷㔲ㄴ㐶愳㈳捥敡㔲㕢昴㍦攳搴㤲戳㘶㔸㥢〱敢〶晤㝦〴ㄹ㉢敡㝦㠵㔱㌶㠹戲摢挳〴㕦㌴㐶㑡㔶っ捥㜰㐷攰挳㐶㤸㐶ㅥ㠱㜵㤹㘴㜰㍢㐸㑤攳ㄳ搵愰㔸㑡㜰㜸戸搲捤㤷㈰㙡㙤㘹摢昶戴ㄵ㠰㡣〲㘹㉦㐱〴戵㙤捦㐹户㥥㘳㌳㜷㈰㝢搳㝥慢攸㔶扣㡡改て㑤㈳扣㍢挴㉦捣㑣搸㍣愳捡㡢捤㐲敤㘲散㐴敦㥤㘸㜳攰㈰〴昶〱攱㝦㔲㔱㐷挶㄰㔶ㄷ戳攰搷㐶〳戱㐰ㄲ戵㠳㜷㥡㜹㕢搵㈸攳〳搵㠳昰㙡晡捣㕡ㄳ捡㉥昰㉤㌷摦挵攰搶攱㌶搶慤昰晣㠸㜲ㅥ㘱㌰戹㠴㍢敦收扥㌶敦㐱㘳摤㜰㙤ㅥ㙢㜶收㕤换㘹㍦〲㑥㔷㌷㑡㈳挹㜰㑣㝥㜷㥣搳敦㈶㐴㥣㠷摥搱搵扢㘲搹摢㈰攸㍣晣㙣㥢㉥慦攱㌲ㅣ㘵慢㠸㜳㝦〹㑤㤵㥢〹昰搳ぢ㘱㠲㉦ち晤㜹㌷㌱昱㍣㤶㐵〶㐰㍡㤵㌱〰摡㔳昵て㤶愳㙡㠵㐷ぢ㔲㘱㑥昹㍥捡戹㑢挱㙡㑢捣挳㔱㐳ㅥ㈱㤰搶〵㐰昴㈸㍣㐲挸昱㥦㐵㠳摡昸㜳挸㙤㍦晥㜷㤷ㅤ㥦捡㕦慥㉦摥晦㐰愴㍣昴愳㈸搶㡦ㄱ㤴〹㙣㠰㠱㐸㠷昴㔳㉣㔲搶㘴㠲㈰挲㙢㍢㤱挶昳晢昰摦㜷㜷扥昵㈶㥦㝦散㔴愴㈰㐴㔱攳㉡㈸〸攵㉡㥥㡡慦㘲〱戹敤㔷昱慤攵㔶㌱㐰ㄹ挹㤹攸㉥㐰㕦㤷㐲㕡㤱慢昲㤰攰㠶昲愷㐸㠴㈲搱㌰㡢〱㈲㔶戶慤㈲㠱戶摣㜹搹㜶ㄱ㠹愸敤㐰戴㍤ㅡ㜷㈴攱㕢ㅥ㘹㈸昱敥㈳摤㌷㤹挰晦㥡〹搴㘳搶づㅤ慦㙢㐲㐸㘰㙤晣㌸戶慤㙣捦㜴ㄸ搴㔷㥥㠸㌰戴㘷㑦昴愱㤴ㅡ㠶㤹㐰㈱㠱㘹㑡㡡攲㐶㉡㡦㐷㤵㕦㝥愵敥㈵㐵〱ㅥ㤰㔱㔰㤹㤴㈷㉢㍦ㄶ㔵摥㠶㡦戰㘴㥤ㄴ㉦つ昰㜹㌷慡㑣ち㤵㤵ㅦ㡤㉡晦㝤摢收㕡攵㠸㈰㠳㥥㌵㔲㑢㠲搱㉢㡦〱戱て戲㜹扡搶㑣㉡搲ㅥ㌳挸愶〸㤵搱攲戲㔴愵扤戸晦攱攲㤳攸㝤戸捥㠴㕢ㅦ㤰戶挱晦㡣戰ㄷ搷㥣㈶っ摦挰ㄷ捦㡢㠸㉦扢扡㝣㘳攳㡣㜹搰㐵㐶户戹搷挳攱慡戴愶㐸〴㜶㐱㍡搸摦ㄵ晣昰〹㌶㘴㝤㍦愲戸㤸捡㙢㈳㥤㘹ㄱㄹ㑢㐹㉢て㐷㤸㑤㥤慣搳㡣晥㘵㈰〷昲ㄲ㤰〹晤㉢㠰㐱散㘵ㄳ㌳〶㈸〸㈴㤷㥦㐴㐲㝦㠸攰慢〰㌹㠵㕣㑦㍡挸㝣つ愰㍦晡㝦㈹㠶ㄶ愵攳㐴㔵ㅥ㠸〶㡢㤳㤱晥〸ㅢ㍣ち搰〵㡦慤ㄲㄲ㘱㑥㝦っ㌹昱㐱㈹㐱攴愰㑦戰攰敢〴摦〰挸㘹㥣散慡㜷㡤㙢敡㔰㠵㍤㠹愶ち户㐲ち戴㙦㠶〹扥㘸㈷〱㙥㙡㙦㌴昳㑣ㅣ㝤挷㡦攸㘶挳〷晢扢昰〱晥ㄲㄷ摤㠵晦㝦㐴㤳ㄶ㝥㕡晤㕣㘷㝤㤱〹㌴捥㠷㍦ㄷ㥢晤㌱晡攱扡敡挶㈶㝢晣㍣㝥㔹㌵愳㍣㠴㝦㑦攲愷摣㡢ㄱ㌸ち㔵㙥ㄶ晥ㄶ搲㠰㉣㔸〸ぢ愸扢昴愷〰ㄴ攲㤸㜸搲㥦收ㅢ㔱换晥昵㙦㠷〹扥㈸挴敢㐹㈶捡㘱昳㘸㐰攲㕡ㄶㅣ㙢ㅡ㤰昸㤷〵㐷攳〳㝥〷戹㡡㐴ㄶㄲ㡤敡㠹㐸㑢㌳昷ㄹ㠰扥慥㝥捥㡤敡㑥㍤愱ㄴ敦㈹摤㜳捦晢晤改愱戳搳㕦扣戹昷㤹㜷㝦晢摥搳敦摣戵攳㙦ㅦ㍣昷摣㍢㝦㜹晡捤て㕥㥦摤昱㥢ㄷ㕥昸昵㉤㍦㝣昳扤㡤收昳敡㉢敦敦㝢晥㠱㤱㘳て摣㙢ㅥ扥㙡昷〳㜷ㅣ扤㙤㘴敡戴攱慥慥敥敥换〷摦㌸敢㡡㠱㤳昷扥慡晣敡㡦㘷㍡㡡㕣㉥〷ㄴ〰搱㌳挰㘵换㘹㝣て〹㑣㠳㌳晥㔴愷挱攵㥥挴㑦㈹㠵ㅢ㌵㠶㤷㉣㥣ㅢ㥣㠰㉣㈸㌶ㄶ昴晣〷㥣㈲戴㘶</t>
  </si>
  <si>
    <t>㜸〱捤㔸捤㙦ㅢ挷ㄵ攷㉥戹换㕤㤲戲ㄵ㝦㈵晥㐸挴〶㜶敢㐰搶㐶㤲慤挶㡥攱摡㈲㘹挹㙣㙣㔱㌱ㄹㄹ㈸㔰㉣㠶摣户攲㐶晢挱捥㉣㈹㌱㍤昴搲昶て㈸㥡㐳㔱戸㝦㐱搱㐳㔱ㄴ㐸搱㝢㉦㙤㠲ㄶ攸慤㍤㈴户〰㍤㈷愷㈲㝤㙦㤶㤴㐹㡡㙥㙣㔵〵㍣戶㠶㌳敦捤扣㤹㜹昳摥敦扤搹㤴㤲㑡愵扥挲㐲扦㔴㌲搴戸㔰敦㡢ㄸ〲慢ㅣ昹㍥戴㘲㉦ち㠵戵捡㌹敢摦昷㐴㥣挶〱扡敤㈱㕦㘸戶昰㍥〰挳敥〱ㄷ㌸㐸㑢愵っ挳㔴㤱㑦㐲攸㙦㜶搸㌱㘹㔶㈱㠳㔵愳㕣慡㌵摦㐷愹昵㌸攲㜰愵戸㤵捣扤戵戴㘴㉤㔹换㌷㤶扦㙤㉤㕥㈹㤶扢㝥摣攵㜰㉢㠴㙥捣㤹㝦愵戸搹㙤晡㕥敢ㅤ攸㌷愲ㅤ〸㙦㐱㜳昱㙡㤳㕤扢扥㜴㙤㘵挵扤㜱攳㝡〱㤷㑥㙤㤶㑢昷挰敦愰扣愳㤲慡愳搴㡤㜲㘹㤳㠳㝢㔴㌲㌵㔲挴㔲〵㕡ㅥ㘹っ㠰㝢攱戶㔵㉥攱晦ㄱ慤㘰敦㉤慢㔶慦㐳㈸扣搸敢㜹㜱㥦捥㘷〶戵㔶㜳㡢昹㕤搰〳戹㈵㈳搸㘲㝣㠳〵㌰ㄳ扣㈷攰㈱ぢ户㠱㝡㕡戰摥昵㥣っ摥㘴晡㡤㘹ぢつ㤴㘴搵捡愵㜲㥢昱㔸㡡愴〵摥㥣㌶㕡慥㘴㡤㙣㐵捥㤱㔴㔲㡦㤲ㅦ搸㡡㕣㤳㜶㤹愵捡挰㑡㌷戱㍡㌹㌲戳㈸愷ㄶ㤷㤴捣ㄷ㘸㜱愳ㄳ昳㌸㔲戵㤹㙡㌷㔵扢愵摡㡥㙡㠳㙡扢慡扤慤摡㙤搵昶㔴晢㝤搵摥挱㌱挳㘲㘴戳敡愰㥣敦㝥攷昱攳戹摦摥㝤晣捥㥦㉦ㄹ㝦㘷㙥㠱㘴㙤攰搹慣つ㠸㡦挸㄰㌴㍡搳戳敢戲㠰愳戵㈰戹㡡ち㠸㤶㐹昷㔴つㅤ搸搳戱㠵昷㔷〸捡㔱ㄸ挳㕥㕣㘱㌱换〶㥢㡣㐳ㄸ㥢㌸㘸㕥捥㑡㕡㌴㜳㐶搲㠶戳㜳㠳ㅥ㑡㤸㤵捤ㄱ㈹㜹㐹㐸㈴㈹攸㝡改㑣㔲ㅢ晡㌴㘷扥挷㐴㍢㘶㑤ㅦ㉥㑥㕣㌹改つ慤散扤搸昳㠵㠵㈲搷㜹搴敤㤰㐶㡦㑡㡥㌴㘴㌲っ㝤〶㉢〹㍤昴㡢ぢ摣㌱㡦攱㑦捥㈴愶㐹㑣㠲㈵晣挱㌲攴ㄵ㑥㘰〷户㔸㠹〲收㠵㐷㜴戹㠵㤳㈸昴摤㠱ㄵ㔷㌸摢㐵㡦㝣㈲㝡搹㕡愴㝦㕦て㐹㠸㐸敥㡡晢㤶扢戴攴慣㉣戲慢㑣㈳ㄷ㜸㕥㡦㍡㠵㜳ち挱㈳㉦㜴愲㕤改㘲㈷〲昴ㅦ改㌶㡤㝥〷㈴愹攰㌶ㄸ摦〶㜴㕢㕥慤㥣㜲换ㄱ攷攰戳ㄸㅣ㐹㈰㠴㝥㜹㥣㈸搶㜸ㄴ㄰晤㐲㠹〹㜸攲扥昳㙥戲㔰㈹敡㠶㡥㌸㍦㥤㔹㡦㔱昴戹㐹摥ㄳ㈱〷愶搵ㄱ搲㐰挸㥤扥㌶㌹㑤ㅡ晦敡㥥㤷戰㕦㥤㘰㈳愸㐵捤愷㜳搷㌸晣㘰㥦㝢㘰㐷慢ㄸ愶㝡㐰晣〳愷㑣㔸挹扥㄰㠲㈲〱愱摣摥㝣戰改戵㜶㠰搷㠱㠲ㅣ㌸昲愸愷㠹〵攸㡦㉤㄰昳㌵㔲㍤愲慡昳晡㈸搵扤扢ㄷ〳㝡戳㠳晢挵㘸ㄳ昷ㅢ攴㐹㘷挶㠶㈴㙢㈲攳散ㄸ㜹㉤㙡㜵〵㜹㉤㡦晣㜱捥慡搳㘳戸愶昳㈰㜲㈰㤳㔱搳愹㑣㉡㐳〵挳㘸㍡㡤慥扣㌸攱愸㌲㘴㤰㙣㌱㡡捤㈳㤶㐳攰㝣昵㤹㈶㡤㥢ㄷ捤㥢〶ㄹ晢昱㕦㜹㘵摣㔷慣㠷愸㍤搴㤲て攴㐸敡㈴愲㡣㙣昴㠹搵搰㈲㔳昱㌴㌹搱㠸捥挸㙥㘹昴攵愷ㅦ㐵㡡摤户㡣晦敦㘰㔵㍤㌹㌸晤摤ㅥ㘲昶㍤ㄶ㍡㍥昰晦慥㉦摡㤱㐹㥥㙤㥥愶敡っ㔶戹㤴昶㌹愲摢㔳㌵㐹㠹㤲戲愷昴戵㕤捦㠹摢㝡ㅢ扣敤㜶㡣㌴捣慦っ㠳搴㝣ㄳ㐷㤰摣㌹㑣戰㝥㐶㤹㤶昹ち㔵㘷戱捡攵㜲〹㝥敡㌹昳扣散愷㌲㠴慣搳㌶戹ㅦ〷㈸挰攵敥㐷捣㔹㘳㉤捣换戲㠳慣捣㈸㐷㐱〷愳ㄳ㥦愵㤱㘵戴㑤戴昹㥥攷〰㌷㠸㔰挷散㉦㠳㐹㤹搰愵㘷ぢっ㍢改㤴愶攵㡤㘹㙢㔵㠷戲㉥づ㌴㌸㥡㕤㔶て挸晦搷扢搷㙦㔳昶㤸换㔱昸㌱㉦㔰昵㉡㔶ㅡ㘹昲戹扤攱㌸㑥㍡ㄳ搴摢搱敥㍤㔴㈵㠸㈴改ㄱ㘵敥挵㉦ㅦ㈴㘳ㄸ㘵挱㔹㐹㕦攷㠰〰挸ㅢ㠸〳昲㡣㌴攳摣㔴㡥㥣㜴㑥ㅡ攳㠸ㅢ捥扢㕢ㅥ散ㄲ㜸捦ㅤ㘴㘱搶㔶敥㡡㌸㤲㔱晦戵㠳晣㑡戴ㄱ挵ㄵ㑦㜴㝣搶扦㌸㠵㥤㜰ㅥ戵㈱㐴散攲〸㘱㕦㌷㈸敡㜴挰㤹戲挷㝡搴攵㉤愸㔶㕥〴昴挳㥢㑡㡡㈲㠱㑦㌱ㄴ㕤㔵戰ㅣ捥昱ㄴ㜲㠹搴て㑦晤㘶晤搳て㝥㝣㥢㕣㐶㐱〷㐱ㄷ搱挸ㄹて〳㤰㤴㥦捣㡣㠵攵搳㤴㝥㍦挰㈷㡢搷昱愱挴㌸ㅡ㜶挴㠵ㄹっ㥢㠹攱㡤㈴挲㠹户扣〸捡挶㈸㤳挴ㄷ敢改昸㍡戲㜱㘹㠳㘴捣㔲㤱愷㈶〲㠱㍣㌷愱搳㈱敦㑡晢っ㌱昱㌹㌷㐲搸㤷敤㔱㔲㙤摢㤸愴㘲㡦㡡愲㝤㡡愲愶敥㡦愰㌵ㄳ搲㌳㐹捥捡敤㠴搱㙥㈸㜷慥〹捡㜵㈴㤸㘶戳㜴㡣ㅣ㠹愲戲㠲㔱㔸㥡㑤㑡㈳昴㥥㥦愶慢㈴㈷摤㝦挷㔵ㅤって㠳㠷㕢㠱ㅥ㙥つづ昲㜵㘶挸づ慡㜰㈶㜸ㄴ昱㥤㘶ㄴ敤搰㑢攱㤸散㠹㌶㐰㑣㉦愹㝣㤰㍣〷愹㡤戶㥦㑥㡦扤㤶〶㝡㈷㈶㘵挴㌲㕢搶扦㠱慤昴ㅡ㙦挹㥥昲㑦㍣㍦扤戲㝥昲扤换㍦户㝥晡扢昵て㝢搱挲挲㐷㜰㐹昹挷㠰㤱昹攲挳㉦愳㕢摦慤晥晡换㍦㉤捦晤扥㘴㙢ㄴ㐰㥥㈹㜸捦攲挰攳敥㍥㜶㌵扣搸㠷扣㥢㤸〶戵つㄷ搱〸ㄳ㉢㈷敢㌶摡㜸敡捡㡣扢捥㍤挷昷㐲㈰搳挱㤴㤵㕥㥤昷㘱ㅢ㤳愸捤㠸㕥戸㔱㌸攳㌶㌸ぢ〵挵㥡戰搵㍦㌱搶㤳摥愲戹㈵㉦ㄴ戸㡣挴㑢㙡ㅦ㜷〹捥昱收扡㐱戸捥㍡攲㐵㜰㈷昹搱〳搵㠳㈵〱㉦㔵㔱㔵挵㔰㡤㐳㝡㐴㑡扦㠴愲㕥ㅦ昱挰户㡢㌵敥㙤㝢㈱昳㡢㌵捦㉦㔶挳㠵㑤㥦戵〰ㄳ㉦㔵㐲㥤扡㑣㡢㈷〸㐷搰昷散㔹ㄶㄹ㝥㐱㝥㔸ㄸ愴扦改㘹㔱㝣㍦つ㈴㔷㌳扦㠹㤵㐲㐹㠶昴㥡㙦つㅡ搴㤹愵㠰㑤昱㕢扦㡣搵戱㜲挹ㅥ㐹敡昴㌷㤰昶ㄲ搲ㄲ㈳ㅦ晡捡㉣挵㜷㥡㈳㍦ㅦ㤸昳搸㔲攴ち㐴扡㠲搵戰捣搲㑡攴挸收〲㔶㌳㘹㠵㠶㤲㘷敡ㄶ昵㔷㝤扦㌸昴㉤愱扦㐹愴戱㙦ㅤ晡㈲㤲㙥㉦㉥㕡挵㕡慤扡㔹㕣㈸㍥〴〱扣〷〲㥢㕢㘴㑦㄰㜳慦㔵㝣〰㜱㍢㜲㤰㔶收昸㌹っㄵ㕥㘲㈸戸㜶扦㘲敤昹㈲㔰㍥ㄹ㌸搲ㅦ慦晤昲晡㡦晥晡搱敡慦晥㜶昳㤳㍢ㅦ敢㜹攵攳〱㘳昲换挴散昰〸ㅡ敤晡收㌴㄰㌹㤰晥捥㑦扥㌵敥攲摢愱㑦㍡㑡㘳摥愵㐹搷挸愸㙦ㅦ㑥搶㄰挸改㉡戵扦攰慥晦〷㌹㜴攷攳㌸㍣㠷ㄴ昳ㅡ㠹愶㙡ㄲ㡢㈹㜵㕣愳㜳㑣愴戸昹㍣㈱㙦晤ㄷ㝦戸昳敦慢摦㕦捤晦〷㑡戱㠴㡥</t>
  </si>
  <si>
    <t>㜸〱捤㔸㙢㙣ㅣ㔷ㄵ摥㤹摤搹户ㅤ搳㍣㤴戶㜹㙣搲ㄴ㠲㙣㉦戶ㄳ㌷㉦㐲扤㡦搸㜱敡挷㈶敢㈴愲つ㕡捤敥摣昱㑥㍤て㜷㘶搶昶昶㑦㕡挴攳㉦㡡ㄲ愹㠰㈸愸㤵㔲㐸㄰㤵〰戵㑡挹㡦愲〸捡慦㔶㈰ㄵ㠴晡〳〹昱慡〴㔵愸㐴慡晥㐰攵㝣㜷㘶搷敢昵㍡慦〶㈹搷㥥戳昷摥㜳敦戹慦㜳扥㜳敥つ〸㠱㐰攰ㄳ㑡昸㐵ち㈱戳愵㔸㜷㕣㘶愴㜳㤶慥戳㡡慢㔹愶㤳捥搸戶㕣㥦搰ㅣ㌷㐸つ挲㈵㡤昸㡥㔴㜲戴㘷㔹戴戴挰㙣㠷ㅡ㐹㠱㐰㌴ㅡㄳ㠹て㈱昸㝡ㅡ㠵ㄸ㝡㈵㐳㐴㘶㜲搹改昲搳㈴戵攸㕡㌶敢㑢㥤昲晡ㅥㅥㅣ㑣て愶㠷づっ㍤㤶ㅥ攸㑢攵㙡扡㕢戳搹㘱㤳搵㕣㕢搶晢㔲㠵㕡㔹搷㉡㑦戰晡㡣㌵挷捣挳慣㍣戰愷㉣敦摤㍦戸㜷㜸㔸㍤㜰㘰㝦㤲㠶づㄴ㜲搹愳㑣㥦㈷㜹昷㑡㙡㤸愴㑥攵戲〵㥢愹昷㑡愶㠴㡤攸捦戳㡡㠶ㅤ㘳捣搶捣搹㜴㉥㑢晦㉤扢㐲愵㝤改改㘲戱㈲扢㉥戳戱戶㤸㌱㕤㈹㥦㤲昵ㅡぢㅢ㝣㍡㔱攳㤴㙣㑦挹〶敢㌲㑥㍡散㠴㙣捥㌲㤴㈴㘳慣愶㈹㈱㍡挵攰攷㍢つ攲㙦㔰㝡㍡㤷捤㔵㘵摢攵㈲㌱㐰㙦愷搶㝣愴戴㍦つ摥㥥搷㘰㕢㠴㠴慦㈳㝣㍣捣㌰〲ㄲ㈵ㄲ㡥ㄱ㔹攷昷㑡昱㙥愹㐱㈱㜴㠳戴慣戵㔳㠲㕡㠹㈵㔹㉣㤵挵㔲㐵㉣㈹㘲㠹㠹㈵㔵㉣捤㡡愵慡㔸搲挴搲搳㘲㘹㡥摡㌴㔲㌴ㄲㄱ晤昴收㤶攷㡥昷て㍤㤸戹㝡收㤳㥤㔳捦昷扣㤱㠴慣㈹㕡㔳㝡㡡戹昷攸昰㈵慣攷昶昷㌰㐹慤㈵挳㍢㠲㍣㜳㉡㌱㥣捦戸愹戰愵㌰攵攸摣㤲㐶捥㌲㕤戶攴收㘵㔷㡥ㄸ〵搹㘶愶ㅢ愳㐶扤扣㤷㤷㐳捦㉥㕥搷攸ㅤ昷㑢㈴愱㠷㘷㕢愴㈴㜸㠵㈷㐹㈰㜳ぢ㠶㍣ㅡつ㜷㌲攰愳戲㔳㜵攵戲捥㜶戵ㅤ㌵昶㡤戴敢愴慢改㑥㥡㐴㡥搹㔶㙤ㅥ㍢㝡慦攴㜰〵㠶㔲㠴扢㠸㜰戸挱㉦愵㤱㔸㌷搱㜸っ捣ㄸ㤸㠰㈲晡㐱昲㜹挹〷㈸㑦㔳捣㕢㠶慣㤹昷攸㜰㤳敢㐹攸㜱㕦㠳昳戶扣㐸㔶戸㉣㝡㈸㍤㠰扦㕢挳㄰愱㤰㍡慣敥㔳〷〷㤵攱〱㜹㡦㉣㐱晤敦挴㤲戶㔳晢愴㜱㕡㌳ㄵ㙢㤱㥢㔶㤷㔱搴戸收攴〱戵㐹㘳㐶戶㘷ㄹ㔹愹㍤㥥㡦ㅢ摣㤴㘶敡昳㉣㘱㘰捥〵㑢㌳㕤㈷㘹昰摦㘲摤㈸㕢㝡挲㉢㄰㙥㕢㜶摣㘷㄰㐲挷㜸晢〹捤愴ㅣ㘸㤱敡攲㍣挷㕢㝡㤵㄰㑣挳㔷慤挵㔱㑤㈷搸㘱捡挳扣㕢捥戲㙤愶换昰〲㌹㡢愹慡㔶搱㐸㜳扢㡤㔱摢㌲㡡捣㜴昸慣㌶昱愶㈷搸慣捤ㅣ〰㕢㥥戹㌲愹搳㤶慣散戰㘵攰攸㔵扤愵㘶慤㥡愹㌸て㜷㘶ㄶ㕤搹㘵て戵昳㤶㠵慣敡㔶㈴㄰㘵づ摦扥㙤敤摤戸改㘵㤶㌴㡦扤戵㡤㑤㔰㙡㤵搷收㡥摡散㤹㈶㜷搵㡣㌲攴ㄸㄷㄸ昸慢㔶改戱扣㜹ㄱ〰㕡づ㌳昹昴㝡㡤㠲㔶㤹㘳㜶㤱挱慤㌲㠵㉦㜵㈳㔸戴摤㘶㠵㌹扤搳㈶㉤㤴戰㕣搹搹㕡慢ㅥ㔹㜲ㄹ㘱㠹㐲昳㈵晦收搶㘷㘰挷㥢㔶㌴昱挶㈴挶㠳㉢慡㐷慤㑡捤〱㘶搸㤶扥㤲㤳㔱ㄶ㘴ㅡ㔳㤹戴ㄴㄶち㡡愱㠰〰昷ㅣ〲〹㠴攸㤷ㄲ昹昰㘰㤰㌰愵慦つ㌱戸扦挲㌰㑥挳㌹戴愸㌰扣㐳㈷晣㘹〶㄰㥦㕢㕢ㅡ㍦㘵㈸㈲㍥敥㘶㌶慣㌴㔲㠴㈴㤶つ敢㡤〸㤱㌵㜹ㅤ㘱㝢挵㝣㘱〵捤㌱〴㐱搸摣㌶捣〹㍡ㅦ㍡〷㥤㘱㈸戱ㅤ㌱㕢搶扦慣㤷㤸敥㑤〶㙥㌹ㄵ㤸㌶㕡敦扥挵㐶㌴㜵敦晦摢㔸ㄴ搷晢慢㍦戲㐰㤶㝤㔴㌶ㄵ㥤搹㌷㍤㐲〱㌳㡡㙤〰搹〸戲㠹㠸昴㍥㘱昷敤㥥㉤㠲挳挸〲晣㘲愹㐴㝥㠶㑡搰㍢㈱扣㤹㘸㜸㔲戶㐹扤愵扦㤳扣㡥㐷捣昵搴㐴戴挳㈵挴攷㑣㙢㤱戰㠹ㄴ㐳㜲〰ㅥ㄰ㅥ㡢㐴㜰㜴㜱晡晣㈴〶愴㠰㈰〶㠴扦㤱㔸㠸㡥㥦㌹㜳挶昷㌵挴晡㉢搵摣攴昴晣㘸愶愱㌶慢愷㡦㐱㐸㡦〲搲㕦㐸搰㥡摡挴ㄷ戹㈴搴愵㐵㑤㜱慢攱㉡搳㘶慢㉥扡㐶㈹㘱扥攷改㌳攸扢㐶㉤ぢ〸ㄵ㘳㕢㐱戶㠱挰㔹挴攳㥥㥦っ挷㘳㍢愸ㄸ摥㐹㈴㌲挶㑣㐶㔱㜲㕣〸挱㥢㜶㍡戸愶敦㐷㔰ㄳ㥦戰㘴㘵㔴慥㔰晣ㅤ昱愳敦㘸捥㌲收㈹㈲戱㝢搰㌲㐷㠸㐰㐸戳愰㈹捣㡥愲〲晥㈲㐴挱户ㄳ收㜸敡㔰愸ㄱっ㐸㔲㈲摡㘹慣昱㠶慣㕤扥㔶搱挹㌴㙦ㄱ攳慢攴晦昳昸晥挷㜱㑢㠸挷ㄱ㜲挴ㅥ〱搹㐵㐴㠲㜶摤ㄱ昰慣㐳㔷愳愰㕢㉥收摢㙤攴㙣扡愴搸㥡㍣愱ㄹ㥡扢戱㔹㥣慡ㄹ㘵㘶捦㄰㐳㜷搶㌷㙢ぢ捣慥㤰昲换戳散㈱㙥搲㉤㠰搶慢㥥搲搸㈲搰㘲晢㙡ㄶ〵摦戹㥡攳㕡㍣㠸摢戶㥡㥦户愶㉣㌷慦㌹昳扡㕣摦搵㠱敤㜱㑥㔷㤹㐹捥挰㈶㥦㜰慢㐶搶晣㍣㔳㍡捣戱㘸搵㘸〵攳昹晢挱㥤㜰㘳愶搳〸〸摣㝤㐴搳㙢〳㕤攳㜲搱㝡㔶㠰㠳㘸㔴㈴㜳ㄲ敥づ㤹㘰㌸搲㝢㘴㠸㜷㌸㜰㘷戳晥〷㠹〳㡥㐰扦㠴㌸㔲㐰〰敡㜱㤸昹㉣㘵㘰㔴昸㈴挰㘰挷昰捦ぢ㕥㥢㤷扣㜱㠵㔴㑤㜳敢〸㡣㤳戸搹捤搸㡣㕦摦愲扣挰〳戱搳㤶㍤㔷戶慣㌹㕣㈹扡つ㤴㥣㉡㘳㉥慥㕢〹挳扢㉢㈲㑦㝢ㄴっ慥戸㔶昹㔶〷㈶㐲㘷ㅥ㔶㠷㜷㔳㉥㌸㙡㔷㜸㐹昸㍤㙤つ慥㘳㕦㝦㜲昷昹昴㌷㝥㍥㜶㘱挱敡敦扦挲ㅥㄵ摥昵ㄹ愱ㅢㄷ㍥戲づㅦㅢ晦昱㐷㙦つ㙤㝦㉤㕢㤲㠰㐲户攵〵㝢愸攱㍡戵㘹ㄵ㌳㥡慢戳㠴捡ㄵ㥦攷愳㉡改㌹挵㐰㑡㐴㥤愹搲慡昳㕤敡㤸慤㈹扡敦㡦㌷㜸㑤㈷搸㉣挵㍢〵换搱㄰㜶㜶愹㌳戶㙣㍡〰㈸戳㔲㝦㘰㐵㠹〳㤲愴㘶㌵搳愱㘱戸㈵㈲扦㑥㐵㈰㑢挸㔳㌳捣㌱㜹摥戹㉦慣〲ち攳㈵㙥ㄶ㠲㈸㠸愲㄰ㄵ愳㜷愹攵㕣㈹挵挰㄰㠹ㄴ㐱〸㐲㐹㌵㈵昸㡡㥢㜸戲戶㌸〴㜳愲㉢挴㜲〸ㅡ散㠴改捤搸㡤晢晤㍥昴改㈷㜲㙣散攴昸昲戵改㔳扤攰㐸昰㙥户ㅤ㄰挱晣扡㍤㔵㐱㤰〴㙣㡥昱ㄳ㐷愹㕤晤攲㉡㙦〳㑤散㕥捥㡥㔲㑣㥣㔴㈷攴㌲搳㐷㉤摢㤰摤㙥慦〰愸㌲挸㌵昸㍣㜲㘶㠶っ搵挲㙢〹㠱㤵捥愲㙡愶收㕡㤳㥡ㄹ㔳㠹㜰晤昳慢攴㈵慡㤲㤷㜸㔵㔲㍤㠱㑢㡥攷㉦㐹㤶㌵㉢ㄳ挴㔵つ慤ㄲ㐵〱ㄷ㤱晢㐲㈷〹挶㄰㤴㌴ㄲ㔷㑣㐲摥㔴ㅢ㘲㝢㡦〳㜴摣㘹㜲㡣搸㍡ㅣ㍦㘹慥㈸㠴改㑦戸换〸㤲㈲㈶づ㐸戱㉦㤰㌴㠹扦ㄵ攲〵〳改㝡攳㐵昲晡㔹慡昱㐰㜷〷搵㠳ㅤㅢ昰㌳㈸昴㈰㘲㐰搷昰㈰㤱敥㕣戶搴愲捣㘱搸挵㘷愸捥〳捣〶敥昶㈰挰㐰ㅦ晥㕥ㄵ摢㑢戹ㅥ〰㌹慥敦戱㘱㤰挷㐰昶㠱散〷㌹〰㜲㄰攴㄰㤱戸〰ぢ攰㌳昹㈲㘵ㅡ㐹挲㉡㙥戹㜱搸敤戸㡡㉤㉣扡㜵㥤搴ㄶ㔹㠰扣㤷攳㔷㜳㕥挷〳㕡㝡挸ぢ戵㐷㤳捤扥〸ㄸㄳㅤ㈳㘴㜰㜰㐲搲㌵〲昴㌵晢㘳〵换㐱㌸晡㈰㠵扦㐴㘴挳愴㔶戱㉤挷㔲摤㔴㤱愰㌷㠵扢慣ㅡ〸っ㘴㠴㕦㤲㐴ㅥ㍥昳挶㐴ㅥ愱㥤攸挱㠹㘰㘵戱ㄱ㈲㕤㐱〱㕢ち㙦ㄸ捥愰㥣搱昵㔴挳㥦㌹攱㉣慡㔶㍣㐰㠶㜳㔴昵昸挰㐰㍡㌵㍤㍤㕥㐸昵愷㑥㌰㠷搹ぢ捣愱散㈹㘰㌸㜳㙤慤㤲㥡㘴㙥搵㔲愸㉥㘷搳晢戴慣愷戲㌲〹㥥㥥挸愷㤷㜴挷㄰慥晡捥敢敡摥敦敥㍦晢摢㉢㤹ㄷ㝦㜷攸㥤㤱户挳〹攱ㄷ㍥愳晤搹㔰挰㔱㘳㤶㥥ㄲ挲㐷㝡晥昱㜵扦挳㉡晦昸㥡捦㘸昷㡦〲昴愵㈹㈹晣〴㤵㠲ㄹ挷昰愴晤捣敦昴慤㘳晦扡㜱散昵愷挶㕥㥤㌹晢挳㝦㕦戹昸㌵攱愷㍥攳敤㍦㡦㥣晢昵ㅦ扦㥣扢晣昱晣晢㑦晤攰㔷摢〴㈸㕥㔳㕡っ搲㍣㐹慦慥㈵改㈷㍥㘳㙣昸昸㡥㠹愵搱挹㤷㍦㔴㍥㍥㜷改㤵戴〰敤敤㈴改昲㕡㤲㉥昹㡣㘱㈷昷摣挶㌷㈷㜳捦扦昳散攸挱捣㠷㥡〰ㄳ攸㈴改㤵戵㈴㕤昴ㄹ搷㉦敡摦昹攰摤晦ㅣ晢收㌳㍦晡捤㕢㕢㕦攸ㄵ㘰㐷㥤㈴扤扣㤶愴㤷㝣挶收慦扥昷㐱㝣捦挴攴㜹㙢㘸㕢攱昴㠵㍦〹㌰挶㑥㤲扥扦㤶愴ㄷ㝤挶搹挳㉦㕤扡㝣敥搱㈳㤷愶晥㔰ㅣ扡搶昷㘴㑦挳㡥愵ㄱㄲ㜹愸つ晣㕡慥晢㉤搸搲摢晥㈸㜳㠴ㅥ㔹敡㐰㤵㈰㕤㤵㈴㡥晣㈱昱攰摤挹㙡扣㑤挰摦㑡摦愳㔹㝦ち㌹㉢捤ㅣㄲ攱㙢㘳ち㐴㠳戴㈳〸㈰㘸ㄴ敢㘸扢愵㈶ㄲ㠰㠸攲户摦ㄸ昹敦㥥慦㘴ㄲ晦〳ㅢ㜵㘱㔶</t>
  </si>
  <si>
    <t>㜸〱敤㕣㕢㙣ㅣ㔷ㄹ摥ㄹ敦慣㜷搶㜶散挶改㈵扤扡昷㡢愳㙤㥣㌶扤㔰㐲敡㑢㥣愴捤挵㠹㥤㤴慡㤴敤㜸昷㡣㍤挹捥慣㍢㌳敢挴愵搰ㄴ㑡㑢戹〸戵㈰㤵㤶〲㔵㐱ㄵ扣㈰㤵㠷搲㤶昲㠰㠴〴㐲㈹昰㔰㈱昱㠰㔴㉡〴て㈰ㄴ㠹〷晡㔰愹㝣摦㤹㤹摤搹㕤敦搸摤戶攰㈲㑦戲㝦捥㥣晢㌹晦昵晣晦㤹愴㤴㔴㉡昵㉥ㅥ晥换㈷捤挴㠵搳㑢㥥㉦散晣㜸愵㕣ㄶ㐵摦慡㌸㕥㝥搴㜵㡤愵㝤㤶攷㜷愱㐲愶㘰愱摣搳ち㥥昵㠰挸ㄶㄶ㠵敢愱㤲㤶㑡㘵戳扡㡡㜲㜶挲摦㐰昴愲戳㔵㙦ㅡ㘰㘶㝣散攰散㌱昴㍡敤㔷㕣戱㘵攸㘸搰㜶挷挸㐸㝥㈴扦敤搶㙤㌷攵户㙥ㄹㅡ慦㤶晤慡㉢㜶㌸愲敡扢㐶㜹换搰㔴㜵戶㙣ㄵ敦ㄴ㑢㌳㤵攳挲搹㈱㘶户摥㌰㙢摣㜸换挸㡤摢户㥢户摥㝡㑢㉦㠶㑥ㅤㄸㅦ㥢㜲㠵改㝤㐰㝤㙡㥣昲㡤ㄳ愲㘸㜱㙤㐲戸㤶㌳㤷ㅦㅦ挳摦搸晣昱㜶㜳㝥㝡㕥〸㥦㐳ぢ㔷㌸㐵攱改㘸搸㘳㡦㝡㕥搵㕥攰收改昶㈴㤶㕡㌴㍣㕦戳挷㐵戹慣摢㔱慦㔹晢㈰昶慥㙣㉣昵摡搳挲昱㉣摦㕡戴晣愵㡣㍤㠳㡥㑡㝤昶ㄱ㑦ㅣ㌶㥣㌹㜱挰戰㠵㘶敦慥㕡愵㜴昰愴扡慥㡥扡㠸㑦㑣㉥㍦㍦敡搹攳昳㠶㉢㘷攴㜱㘳ㄲ敡㑥扡挵挶扡㤷户敦㤷㔳㤷㈳戰捦㉢摢搷㐳挹㔱挳慤搵ㅣ㙥㕦㌳㕣㝣攳っ慥㙦㕦㍦戶㐷㡤㙤慥㙤摦㐶㙥㘵㘳㙤愵㈷愴㙦戹愳㔸㡣㥥㈱攸㈶挸ㄲ㄰㠱㝡㡥愰㠷愰ㄷ㐰㐹晦ぢ㕣ㄲ㙦挸㈲戵㘰愸㠵㔹戵㔰㔴ぢ㈵戵㈰搴㠲愹ㄶ收搴挲扣㕡戰搴挲㌱戵㜰ㅣ㜵愲㈷摢摤慤㠶捦慢愳愷㑦㍣昵晣㠱挹㙦昶扡㍦晤摤扦ㅦ晢㝥敦〶㔴㍡ㄴ㑥㙡挲㌵㑥㠰搴敡㔴扣㉤扦㤵㝦㔶收ち㌰㠵戹摤扣搹ㅣㄹ㈹㙤摦㙡摣㘰㘸㕣㔶〲昲ㅢ〸㘵〰㜵㝢捤扢㉣愷㔴㌹㈱㜱㜷攱㤸攱㠹晡挶つ㠷㘵㘳㤵慡㔳昲㉥㔸扥㜰摡㌷㝣㜱㝥㜳㔹扤㤳㤶㘶搳㘰㉢攱挹昱㉥㙥㙥㜶搴㈸㔷挵攸㐹㉢㈸扥愸愹搸㥥㜲㉢戳敤㑢㈷㕤㜱㝦慤戴㘵㐶愳㄰㙡㡢戲敦㤶㔵〶㐵挱扣㠶挶攷㉢㥥㜰攴昴㠶敤㈹慢㜸㕣戸搳㠲㈲㔱㤴攴㔲捦㘶㔱挸昵挳〷ㅤ㉣ㄴ摣㕡扡㉣㥥㙢敥㍡改㠳㤹㐵〹昳㕤㄰慥扦㌴㘳捣㤶挵㌹つ㔵㠲㌱㔱戰戹㈱㝢戲㔲慣㝡攳ㄵ挷㜷㉢攵挶㤲搱搲愲〱㐹㔳摡㕦㈹㠹㜴㍡㈵㠵〲〴㙥㔷㤷愲愴慥㙢捦ぢㄲㄱ㌱ㄴ㤳㤱捦㙢㈴扢晣㘱慣づ慢㈸ぢ搲愴㝡挵ち㥤㜱扥㔲挶㈴㜰㘰㙣㑤搴ㅦㅣ昴㥡ㄵ扡慤㘱敥挳慤慣慡㠳攱敡㜷㉤ち挷摦㘳㌸愵戲㜰ㄳ戵㥦挲ㄹ改晤〰摡ㄹ〸㠴戶扢㐷㔵愷㥣㔴㤶戴ㄳ㔶挹㥦捦捣ぢ㙢㙥摥㐷ㅥ㌴㘴㌶换慤㙤㜹昴戳㤰愵㙦㈴ㄸ〴挸攵㔲㤹㑤慣㤴挹攱㐹㘹㤴㑥〹扣摣㈰挸搹慥㠱㤷㝢捤㐹慢散㡢㐰㈸昷㥢挰㐸愰搵㈴晡晡㐸愲慥㔱っㄴ挶㈶㜳ㅣ㔴㙡㔸㡥扦㔴攷摢ㄶ㉥〹㠸㘸㕤ㄶ慣㌹㔹㐰㔱搰㈸てㄲ㜸つ㐴搳㈴つ㤲㉢挷㠸㠸㙣㤰愰搹搱㜳㈳㤱戱㝥㠲㡣㐰晤㌸ㄱ戲昶搶昶㌲㠲挴摥㑡愴㙣搴㤶ㅦ搷愵搹㜲戶㝣㈰捤捥挶挶改攷㄰㥣㑢㜰ㅥ挱㘶〰攵慦㤰㜰㤴㜲㐸㌷㍥晡〵㜸搷㉦㈴戸〸〰昲㐹愷捣〹㐵ㄵ㙤愸搵搸㤱慣搷〷㍢㔹ㅡ挵㠱㈸愲㘵㕣戳㌳晢㙣㠹攸搰敡㕣ㅢ扡㌶㉤㜵散㔵敤㘹㌳扥ㅣ㔲㘴㐲搵昸㕡㔷愸ㅡ摦〸㔶敤㔰㙦㕤㠲愶晡㄰挱愵〰㠱㘲愱戱扢㍡㙢㥥收攴㐷挲㈴ちっ愱づ㤵㝢㐸挴㌴晦ㄳ〴㕣换搱㘵摤㝥愶㈹㌸㙣㝥攴敤攷㉤敤㜹㍢㐴㝡㤳捥㕣搷㌹昴ㄵ扤㐷ぢ晡㌲戰㤷昲愷戶晡攵ちㄴ敢㔷ㄲ㕣〵搰愴㕦㜸昲㝥慦㕥〲㘹ㄲ摢㌱捣㙤愴挷㐵㕡戸㌳㑢ぢ㐲㙡㥦㕥㜳挶㜰攷㠴て敦挵摥〹搸挱ㄵ搷ㄵ㘵ㅣ㘸㑢㌲㠳㘷㤷㜳ㅢ㌳扤㐹户㘲㌳㝦摤㍥昶㍥ㄲ㡡㈱㥤㔶扢㔲㑤昶㜱㠲㥤ㄹ昳㌷挵㈸㠷晡昷㠶昶㐲㈲搶愸㤱扣搸㉥昹㙣戹㉥㐹㍡㤰㈴搷㘰㕢昵㙢〱㈰㈵㤴㍦戴㤵㈸挳慣戶㐵㔶㙢戴㔶改摤㑢㌸㤹㌴昹て㕢攴㐸㑦攰慣ㅤ㠳敦挰敢戳愷㉤扢㈶㉣㝡散㈹攱ㄶ攱㔷戰捡㈲ㄷ戸㘴㈹㙡搶㘵挵㐷㐴㔶㜴㜵戵㥣愵ㄳ㝣㙢㤲㑥㥡愴㐴㈲户㈷ㄶ㈶㥣挳敢㐴㐵ㄷ㈴㠵㑡㠲㕢愸㈶㠱㐸㜹慣扢㉥㘲㍡㄰㌱㜹㙣㥣㝥㍤挱㔶㠲ㄱ〰敤户㤰㌴慢摤㜸㠶挲扡ㄷ改捥㉥ㄴ㔲㔹愲㐱扡〷㕦㙦㉢慣㙥攴㌰摢〹㙥〲㘸㌲㝦攸㝣㑣㈰㐴㠹昲ㄸ㈱搲㕡搲捤愳㤶㌸㐱ㅡ搸㘰㈲愸㌴㕥昵晣㡡捤愸㔲㥦㌹㔱㌹㔰昱㈷㉣㙦〱㔱愸㐱㌳㑣摣㌵㉦ㅣ㔰㤷ぢ摢愷㈹慦戲戰㈰㑡扡㌹㕤愹㐲戴敤㥤㔸ぢ㠷㜲慣て戶愴㍣㤷慢ち㥥捥捥挶攸㐲㤱㈷㘲昸㕡改㠹㕤㤵攷㥢㠷扥晥晡㡥捥㔸㝥㔹昴㤸〱搳㌱㥤㌵戱㡢㠸ㅡ㤴扡捤㤹㜹㔷㠸㠹㍥㜳户㙢㤵捡㤶㈳㠸っ搸㤸っ搴敤ㄳ㜳㠸㄰㑣㔵ㄸ晦慢㌸㝤收㡣㙢㌸摥㠲挱㘰攲搲挶㠶㌷ㄹㄲ搱捣㌱换昱㌰㡣挴㈲搳晤收昴㝣攵〴愲戵㔵摢搹㙤㉣㜸㙢〲㉢㈴晡攰㤱愸㔱㔴㐵㔵㤵慣㥡敤ㄴ㍦㍣㤰愷㔲摢昰㑢ㄳ㐸㕣愵㌴晡换ㄳ戴㌷敤晡㌰㍥㐳㍢㥤㜳敡㐵攴愸㤶搹㤵㈸㠵挹愹晡㉤㙣㜳㉢挰ㅤ扢㡦散慤㐷攵摥㔷扣㕡愳㠷㍦㐱挶㑢戲愸〵㐱攸㥦摢㄰㤰ち昳㐸㌹攰㐰㘰㥣㙦捤攴㤷㌳㘵ㅤ㔲摦㠶㝡㜲ㄲ㔱愴㕥㜳㥦㌱㉢捡㠸㐵摢㠶扦㈱㜸愱ㄹ㙢ㅢ㘵㉦㉣ㅢ慦搸戶㐱搲㈲㔹㑥ㄷつ㔲昰㘸搵慦散户ㅣ摤〴㤰昴ㄷ㘶ㄹ㈷㤱㘵㥣㤴㔹扤收㘱㠶〵㘵㥡㝤㔵收っ搷昲攷㙤慢㤸攵ぢ㐳㜷㙢㠲㈶挱攴㤴扣搱ㄳ挹㡣愱㈶㙢晥〸㑣㌶㉦て㜴攷㈱㐷戹㜵㐴㍦㈸㔷㔵㌲昸愳㜴攸㔸㠲㠰㤱㕥㔲晤㌶昴愶挹㥢ㄱ㄰㌹昲㌹ㄳ摤扦㌸昳㄰㜲〲扦ㅣ戱㥥㐰㈲昰〸挶㠴㍣摤摢ㄹ昳㠸㘳昹挰ㅥ㌱㌶㘹昹ㄳㅥ㔰づ㠰愴㍣摥㥥㉦戱ㅡ㙢㌴㕣搳ち㤷戴ㄶ㌵愸㠹㡢㕢换攳㝡攳㡡㘵㡡〳㡤ㄲ㔳㈴㉢㔵㤲㥡㘵㤹㌹慥㈵㔵愳㐸挵ㅤ㘹ㅢ㈵挹㙤㕡摦㜷㑡㤱昷愱㤸㈴捤愴昴ㅤ㤲㔰㄰攴㈵㜵㐰㐷搱㕦㥦㑣ㅥ戱㘸つ㙤㠰ㅣ昵㔴㤰搷ㄷ㠶〳昷攲捡㐹㐹攴挲㌷昰昷㠶㌰㜹戰敡㌷㤴ㄸ㈷〷挳㤲搱㜲昹愰〳㉢愱㘸戸愵㌵挲搲㔸㕢愰㘱㈴㜷㜶慡晤㠳敤㡤㌱㘲挸㠶っ㠹㈴昸㠱挱㠶㘰慥㔸㌴㤵搶㔹ㅦ户扡㤶㥤攵摢㝥㘱㌸ㄲ〳搳㝥㘹㐲㉣㑡㌳慣㙥挹て捡〶戵搳愲㤴愳扡㌹㍡敢㐱愵晢㤴攳㘱㑡㌲戸㙥ㅥ愶㕢ちㄷㄸ㈰㜶挳搴㔴搱㐷㔸户搶〱㑦〶㙢〷㍢搸㤱㈰㙣㐲敢㡣ㄲ㌴㤳㐰戸㡤㡢㈰敦㜴㠸㔱〸㔲㔳㍥晦摣愹㍣昳㌴㥦ㅦ敤㑣㐵㠹㤰㠹ㄸ敡㑡戰ㅥ㠰摣㜸㔴㤲㕣㌴ㄸ〵换〳挹㈶㠵㔶㙦㤴㐷ㄳ愳㡦㈶㥦敢攳〶て攳㔸晤㘴㥢㌲敥戸昹ㄶ戴㘹㜹㘹㠳戹搷㈹㤶慢㈵㈱㔵㜱㈴慢愵㐶㕥ㄳ昸㤲搷晦〲㙥㑡搸㤷㜰㔳昶攲㈸挵㈵ㄳ㐹㥤摢摤晡㈷搰㕣ち㌹昴ㄱ挸㌶〶ㅦㄳ摣㜲㌲ㄸ搶㜲㐷㠱昶攱挶晡攵〵㜹㜱づ㈲慤㈵㡢戲㙣ㅦ敥攲搵㈲挸㤲摢㘲搵昶㔵昶㔵㘸戳挷戲昶㔸㐱搶㥡挰ㄱ搶ㄹ〸扣㑣〶挶㐸㠷摣挱㑥㔲㘷挲挸敥㤹㠷攴㙢敡捣捥搰昸㔰ㄸ摦攵㈹㈸㠵㕤〵㈳搱攰㔶敢㔶户挲挸㉦㉤㙦晤㜶〰㠵㈱㘰ㅡ戴愸ㄹㄸ㌸㘳㐸慦㙣攰㌰ㄸ㤹㄰ㅤ㡤〷㔲ㄹ愳ㅣ㠴挳ㅥ㐸〳㌷昱㈰㍤㔳㠱ㄲ昲㌷挹㑢㘱搱扤挴㘱ㅢ㐷愰㡡㝢㑥㔳收㤴攱攳敡㡢戳戹㈹㝢戴㔴愲戹ぢ晦摣㥡挰㉡慥㙤〴收攸愶愶ぢ㔹㜲㑤戴敦㉥㙦㉡〸㉦ち㙥㥢挸敦㌱晣攲晣戴扦ㄴ㕣摡敡㤴㈴戴㥦挳ㅦ戱散攸戴㤹搳づ㉦愱㉥㜲敦㜳挷㥤捡〹㐷捥㑢昳㜸攳㡦㔶慣摥摤捤㐹收㔲敦攲㡦㝣搴㤴昶ㅡ㝡㕣捤戴搹㐱摤㐱挲㝥攴ㄳ㐸㠳㈱愴ㄳ攸〴戶㝢敤挶〰改㘴㔳ㄳ㥤㐸㐱戰㑥㈸捥摣〷㐶㈸捡捦㠰㔶ㄲ㑢㜰㈴挷㥥扦〰搶㔷㕥㐵づㄱ㡥昷㔰㡣㘸㤷㈲㤵㠰㍡㈹挸挳敢ㅤ扣っ昲晦㠳愵㠸㥢㤷㘵愷晦〲㌳㉢慦㌴愳攸㘲愲攸攵㔶ㄴ㌱㄰晢㥥㐲摥㥣晤晡㔱昳㐳扦搶晢㍦㍣㙡摥〱っ昳㤱搶ㄸ㠲㙡っ挶搷㡣㠱慥ㄶ㘳攰㑡ㄴ㑢㘳攰㑥戶㘱扣㍥㌰〶㐲㙦挷㝥㘴慣㙣っ㌰㡡㤷㘰昲挵㠲慡㌱〷〶捦㕡攷搸昴㠴敤挱昵㕡攱㈱㜲て昵攴㡤挳昷㜴㙥㙢昶㤴攱ㅡ昶㘶㤹扦摢ㄵ㔰㕢敥っ敥㙢换㈶㙣㜱晥戲㈵戲搱㌲㕥㠹挸㥦扥敥㌹㔹摤㉤㜵㘰㉡㜸〲㐷扤㤲㔵㌲敦挳㈷愲昰㠴㤰晡捣愶ㅦ敦晥昳〳㡦散攴扤戴㤰㔶㌵〶㠲㍢〹捥搳㜲㐰昸㌶㜶㈵攴㙣㝥㝥戳ㅦㅦ㈲㔹ぢ㘵㌱㘶戸搲摥昱㜴㍢㑡〶㠴ㄷ㈳捣㠰昸搶㠲㌱㠹ㅢづ㠱㌱㤹㙦㜲㙣捡捦㤷愴㌳㌰ㅦ㥢戸昴摥㐵〱㐲愵慤捡敡搰慥搴㝥〲愵昳ㅥ㈷搲㘸て昲㝣挹㐷㔱㕥㙣搶㙡摢愹搵愴㤹愸っ愳㐶㈴愵㄰㘹㈰㠵挴㡦㉣っ晤㑢㈹㌵㠵㠴㤶〷㐸㠸愱㌵〷㜳㜹昲㕦ㄷ〲愲㜶扤慦挳㑦㔵戰㡢挰㘲攴㜵敦昴散㑡慢㌳㔲㑤っ捡捡搳挷㈱㈴攴㌱㠵ㄹ㡣搲捡摣挳㐸㐴㡦㌶㠲搴慡ㅤ㑦ㅣ愴捦づ㐲㙣〱㘳㙢㌶扤㙡㌹㝢㤷㔳挵ㅤて攸㤹㡣㔴ㄸ捥㐶㘶攳攸㈹愳㜱㐱搵㕣㤰㐵搸ㅦ㈴㙢㡤㝡挲㈲攸㉣㘷㌳捥㥦〸昳昱㝢㈰㤶て搷扢㍥扢戹㠴㍡捥改挶〲昹㠳晤㜵㜱〲㘳㘳㔴㜲っ㈴散慡㙡㘵㠳㑢攰搳㘸㈲敤㜹㐵慦㈷㌹㤶愲㌰ㅡㅤ㜱㔶㤷摡愲晦ㄹ愷㤶㥣㌵挳摡っ㔸㌷攸晦愳挸㔸㔱晦㉢㡣戲㐹㤴摤ㄵ㈶昸愲㌱㔲戲㘲㜰㠶㍢〲ㅦ㌶挲㌴昲〸慣换㈴㠳摢㐱㙡ㅡ㥦愸〶挵㔲㠲挳挳㤵㙥扥〴㔱㙢㑢摢戶愷慤〰㘴ㄴ㐸晢㈱㐴㔰摢昶㥣㜴敢㌹㌶㜳㌷戲㌷敤户㡡㙥挵慢㤸晥搰㌴挲扢㐳晣挲捣㠴捤㌳慡扣搰㉣搴㉥挷㑥昴摥㠳㌶〷づ㐲㘰ㅦ㄰晥〷ㄵ㜵㘴っ㘱㜵㌱ぢ㝥㙤㌴㄰ぢ㈴㔱㍢㜸㘷㤹㠷慡㐶ㄹㅦ愸ㅥ㠴㔷搳㘷搶㥡㔰㜶㠱㙦戹昹㉥〶户づ户戱敥㠴攷㐷㤴昳〸㠳挹㈵摣㜳㉦昷戵㜹てㅡ敢㠶㙢昳㔸戳㌳敦㕡㑥晢〱㜰扡扡㔱ㅡ㐹㠶㘳昲扢攳㥣㝥㉦㈱攲㍣昴㡥慥摥ㄵ换摥〶㐱攷攱㘷摢㜴㜹つ㤷攱㈸㕢㐵㥣晢搳㘸慡摣㑥㠰㥦㕥〸ㄳ㝣㔱攸捦扢㡤㠹攷戰㉣㌲〰搲愹㡣〱搰㥥慡扦扢ㅣ㔵㉢㍣㕡㤰ち㜳捡㜷㔰捥㕤ち㔶㕢㘲ㅥ㡥ㅡ昲〸㠱戴㉥〰愲㐷攱ㄱ㐲㡥晦っㅡ搴挶㥦㐳㙥晢昱扦戵散昸㔴晥㜲㝤昱晥〷㈲攵愱ㅦ㐳戱㝥㥣愰㑣㘰〳っ㐴㍡愴㥦㘲㤱戲㈶ㄳ〴ㄱ㕥搹㠹㌴㥥摦㠷晦扥戹昳昵搳㝣晥戱㔳㤱㠲㄰㐵㡤慢愰㈰㤴慢㜸㈲扥㡡〵攴戶㕦挵搷㤷㕢挵〰㘵㈴㘷愲扢〰㝤㕤ち㘹㐵慥捡㐳㠲ㅢ捡㥦㈲ㄱ㡡㐴挳㉣〶㠸㔸搹戶㡡〴摡㜲攷㘵摢㐵㈴愲戶〳搱昶㘸摣㤱㠴㙦㜹愴愱挴扢㡦㜴摦㘴〲晦㙢㈶㔰㡦㔹㍢㜴扣慥〹㈱㠱戵昱攳搸戶戲㍤搳㘱㔰㕦㜹㍣挲搰㥥㍤搱㠷㔲㙡ㄸ㘶〲㠵〴愶㈹㈹㡡ㅢ愹㝣㈹慡晣攲㑢㜵㉦㈹ち昰㠰㡣㠲捡愴㍣㔹昹戱愸昲㌶㝣㠴㈵敢愴㜸㘹㠰捦㥢㔱㘵㔲愸慣晣㘸㔴昹敦摢㌶搷㉡㐷〴ㄹ昴慣㤱㕡ㄲ㡣㕥㜹っ㠸㝤㤰捤搳戵㘶㔲㤱昶㤸㐱㌶㐵愸㡣ㄶ㤷愵㉡敤挵晤てㄷ㥦㐴敦挳㜵㈶摣晡㠰戴つ晥㘷㠴扤戸收㌴㘱昸〶扥㜸㕥㐴㝣搹搵攵ㅢㅢ㘷捣㠳㉥㌲扡捤扤ㅥづ㔷愵㌵㐵㈲戰ぢ搲挱晥慥攰㠷㑦戰㈱敢晢ㄱ挵挵㔴㕥ㅢ改㑣㡢挸㔸㑡㕡㜹㈴挲㙣敡㔴㥤㘶昴捦〲㌹㤰㤷㠰㑣攸㥦〳っ㘲㉦㥢㤸㌱㐰㐱㈰戹晣ㄴㄲ晡挳〴㥦〷挸㈹攴㝡搲㐱收ぢ〰晤搱晦㑢㌱戴㈸ㅤ㈷慡昲㘰㌴㔸㥣㡣昴㉦戲挱愳〰㕤昰搸㉡㈱ㄱ收昴挷㤰ㄳㅦ㤴ㄲ㐴づ晡㌸ぢ扥㑣昰ㄵ㠰㥣挶挹慥㝡搷戸愶づ㔵搸㔷搱㔴攱㔶㐸㠱昶戵㌰挱ㄷ敤ㄴ挰㙤敤㡤㘶㥥㠹愳敦昸ㄱ摤㙣昸㘰㝦ㄷ㍥挰㕦攲愲扢昰晦㡦㘸搲挲㑦慢ㅦ敢慣㉦㌲㠱挶昹昰攷㘲戳摦㐷㍦㕣㔷摤搸㘴㡦ㅦ挷㉦慢㘶㤴㠷昱敦㈹晣㤴晢㌱〲㐷愱捡捤挲摦㐲ㅡ㤰〵ぢ㘱〱㜵㤷晥〴㠰㐲ㅣㄳ㑦晡㤳㝣㈳㙡搹扦晥㡤㌰挱ㄷ㠵㜸㍤挵㐴㌹㙣ㅥつ㐸㕣换㠲攳㑤〳ㄲ晦戲攰㔸㝣挰愷㤰慢㐸㘴㈱搱愸㥥㠸戴㌴㜳㥦〶攸敢敡攷摣愸敥搴㤳㑡昱扥搲㝤昷扤摤㥦ㅥ㍡㍦晤挹摢㝢㥦㝥昳㌷㙦㍤昹挶愷㜶晣敤㥤㘷㥦㝤攳㉦㑦㥥㝥攷戵搹ㅤ扦㝡晥昹㕦摥昱扤搳㙦㙤㌴㥦㔳㕦㝡㝢摦㜳て㡥ㅣ㝦昰㝥昳挸㜵扢ㅦ扣晢搸愱㤱愹戳㠶扢扡扡扢慦ㅥ晣昵㜹搷っ㥣扡晦㘵攵ㄷ㝦㍣搷㔱攴㜲㌹愰〰㠸㥥〱㉥㕢㑥攳摢㐸㘰ㅡ㥣昱㠷㍡つ㉥昷ㄴ㝥㑡㈹摣愸㌱扣㘴攱摣攰〴㘴㐱戱戱愰攷㍦ㄳ挲戴ち</t>
  </si>
  <si>
    <t>㜸〱敤㕣㕢㙣ㅣ搵ㄹ摥ㄹ敦慣㜷搶㜶㙣攲〴〸㔷㜳扦㌸㕡攲㐰戸㤴愶挱㤷摣挰㐹㑣散〴㄰愵换㜸昷㡣㍤挹捥慣㤹㤹㜵㘲㑡㑢㘸㈹㤴㕥㔴㐱㉢戵㔰摡㈲㔴愱愲㔶㤵攸〳㠲㤶㍥㔴慡搴慡㠲戶て愸㔲ㅦ㕡㔱㔴戵て慤慡㐸㝤攱〱㠹㝥摦㤹㤹摤搹㕤敦搸㙣愰㌵㤵㈷搹㍦㘷捥晤㥣晦㝡晥晦㑣㔲㑡㉡㤵㝡てて晦攵㤳㘶攲㠲改㈵捦ㄷ㜶㝥扣㔲㉥㡢愲㙦㔵ㅣ㉦㍦敡扡挶搲愴攵昹㕤愸㤰㈹㔸㈸昷戴㠲㘷㍤㈸戲㠵㐵攱㝡愸愴愵㔲搹慣慥愲㥣㥤昰㌷㄰扤攸㙣搵㥢〶㤸ㄹㅦ㍢㌴㝢っ扤㑥晢ㄵ㔷㙣ㅤ㍡ㅡ戴摤㌹㌲㤲ㅦ挹㙦扦㘵晢㡤昹㙤㕢㠷挶慢㘵扦敡㡡㥤㡥愸晡慥㔱摥㍡㌴㔵㥤㉤㕢挵㍢挴搲㑣攵戸㜰㜶㡡搹㙤搷捦ㅡ㌷摣㍣㜲挳㡥ㅤ收㉤户摣摣㡢愱㔳〷挷挷愶㕣㘱㝡ㅦ㔰㥦ㅡ愷㝣挳㠴㈸㕡㕣㥢㄰慥攵捣攵挷挷昰㌷㌶㝦扣摤㤴㥦㥥ㄷ挲攷搰挲ㄵ㑥㔱㜸㍡ㅡ昶搸愳㥥㔷戵ㄷ戸㜹扡扤〷㑢㉤ㅡ㥥慦搹攳愲㕣搶敤愸搷慣㝤〸㝢㔷㌶㤶㝡敤㘹攱㜸㤶㙦㉤㕡晥㔲挶㥥㐱㐷愵㍥晢㠸㈷づㅢ捥㥣㌸㘸搸㐲戳昷㔶慤㔲㍡㜸㔲㕤㔷㐵㕤挴㈷㈶㤷㥦ㅦ昵散昱㜹挳㤵㌳昲戸㌱〹㜵昷戸挵挶扡㤷戵敦㤷㔳㤷㈳戰捦㉢摡搷㐳挹㔱挳慤搵ㅣ㙥㕦㌳㕣㝣攳っ慥㙢㕦㍦戶㐷㡤㙤慥㘹摦㐶㙥㘵㘳㙤愵㈷愴㙦戹愳㔸㡣㥥㈱攸㈶挸ㄲ㄰㠱㝡㡥愰㠷愰ㄷ㐰㐹晦ㅢ㕣ㄲ㙦挸㈲戵㘰愸㠵㔹戵㔰㔴ぢ㈵戵㈰搴㠲愹ㄶ收搴挲扣㕡戰搴挲㌱戵㜰ㅣ㜵愲㈷摢摤慤㠶捦敦戲㜷扦昶攲㥦㜷㑦晥㘸昰ㅢ㍦ㅣ改愹敥散摤㠰㑡㜷㠶㤳㥡㜰㡤ㄳ㈰戵㍡ㄵ㙦捦㙦攳㥦㤵戹〲㑣㘱敥㌰㙦㌲㐷㐶㑡㍢戶ㄹ搷ㅢㅡ㤷㤵㠰晣〶㐲ㄹ㐰摤㕥昳㉥换㈹㔵㑥㐸摣㕤㌰㘶㜸愲扥㜱挳㘱搹㔸愵敡㤴扣昳㤷㉦㥣昶つ㕦㥣搷㕣㔶敦愴愵搹㌴搸㑡㜸㜲扣㡢㥡㥢ㅤ㌵捡㔵㌱㝡搲ち㡡㉦㙣㉡戶愷摣捡㙣晢搲㍤慥㜸愰㔶摡㌲愳㔱〸戵㐵搹㜷换㉡㠳愲㘰㕥㐳攳昳ㄵ㑦㌸㜲㝡挳昶㤴㔵㍣㉥摣㘹㐱㤱㈸㑡㜲愹㥢㔹ㄴ㜲晤昰㈱〷ぢ〵户㤶㉥㡤攷㥡扢㑦晡㘰㘶㔱挲㝣ㄷ㠴敢㉦捤ㄸ戳㘵㜱㜶㐳㤵㘰㑣ㄴ㙣㘹挸摥㔳㈹㔶扤昱㡡攳扢㤵㜲㘳挹㘸㘹搱㠰愴㈹ㅤ愸㤴㐴㍡㥤㤲㐲〱〲户慢㑢㔱㔲搷戶攷〵㠹㠸ㄸ㡡挹挸攷㌶㤲㕤晥㌰㔶㠷㔵㤴〵㘹㔲扤㝣㠵捥㌸㕦㈹㘳ㄲ㌸㌰戶㈶敡てづ㝡昵ち摤搶㌰昷攱㔶㔶搵挱㜰昵扢ㄷ㠵攳敦㌳㥣㔲㔹戸㠹摡㑦攱㡣昴㝥〰敤㌴〴㐲摢摤愳慡㔳㑥㉡㑢摡〹慢攴捦㘷收㠵㌵㌷敦㈳てㅡ㌲㥢攵搶戶㍣晡㔹挸搲㌷ㄲっ〲攴㜲愹捣㈶㔶捡攴昰愴㌴㑡愷〴㕥㙥㄰攴㙣搷挰换扤收ㅥ慢散㡢㐰㈸昷㥢挰㐸愰搵㈴晡晡㐸愲慥㔱っㄴ挶㈶㜳ㅣ㔴㙡㔸㡥扦㔴攷摢ㄶ㉥〹㠸㘸㕤ㄶ慣㌹㔹㐰㔱搰㈸てㄲ㜸つ㐴搳㈴つ㤲㉢挷㠸㠸㙣㤰愰搹搱㜳㈳㤱戱㝥㠲㡣㐰晤㌸ㄱ戲昶戶昶㌲㠲挴摥㑡愴㙣搴㤶ㅦ搷愵搹㜲戶㝣㈰捤㌶㘳攳昴戳〹捥㈱㌸㤷㘰ぢ㠰昲㌷㐸㌸㑡㌹愴ㅢㅦ晤㝣扣敢ㄷ㄰㕣〸〰昹愴㔳收㠴愲㡡㌶搴㙡散㐸搶敢㠳㥤㉣㡤攲㐰ㄴ搱㌲慥搹㤹㝤戶㐴㜴㘸㜵慥つ㕤㥢㤶㍡昶捡昶戴ㄹ㕦づ㈹㌲愱㙡㝣慤㉢㔴㡤㙦〴慢㜶愸户㉥㐶㔳㝤㠸攰ㄲ㠰㐰戱搰搸㕤㥤㌵㑦㜳昲㈳㘱ㄲ〵㠶㔰㠷捡㍤㈴㘲㥡晦〹〲慥攵攸戲㙥㍦搳ㄴㅣ㌶㍦昲昶昳搶昶扣ㅤ㈲扤㐹㘷慥敢ㅣ晡㡡摥愷〵㝤㈹搸㑢昹㔳㕢晤㜲㌹㡡昵㉢〸慥〴㘸搲㉦㍣㜹扦㕦㉦㠱㌴㠹敤ㄸ收㌶搲攳㈲㉤摣㤹愵〵㈱戵㑦慦㌹㘳戸㜳挲㠷昷㘲晦〴散攰㡡敢㡡㌲づ戴㈵㤹挱戳换㌹㡤㤹摥ㅥ户㘲㌳㝦摤㍥昶㍥ㄲ㡡㈱㥤㔶扢㔲㑤昶㜱㠲㥤ㄹ昳㌷挵㈸㠷晡昷晡昶㐲㈲搶愸㤱扣搸㉥昹㙣戹㉥㐹㍡㤰㈴㔷㘳㕢昵㙢〰㈰㈵㤴㍦戴㤵㈸挳慣戶㔵㔶㙢戴㔶改摤㑢㌸㤹㌴昹て㕢攴㐸㑦攰慣ㅤ㠳敦挰敢戳愷㉤扢㈶㉣㝡散㈹攱ㄶ攱㔷戰捡㈲ㄷ戸㘴㈹㙡搶㘵挵㐷㐴㔶㜴㜵戵㥣愵ㄳ㝣㙢㤲㑥㥡愴㐴㈲户㈷ㄶ㈶㥣挳敢㐴㐵ㄷ㈴㠵㑡㠲㕢愸㈶㠱㐸㜹慣扢㉥㘲㍡㄰㌱㜹㙣㥣㝥ㅤ挱㌶㠲ㄱ〰敤户㤰㌴慢摤㜸㠶挲扡ㄷ改捥㉥ㄴ㔲㔹愲㐱扡〷摦㘸㉢慣㙥攰㌰㍢〸㙥〴㘸㌲㝦攸㝣㑣㈰㐴㠹昲ㄸ㈱搲㕡搲捤愳㤶㌸㐱ㅡ搸㘰㈲愸㌴㕥昵晣㡡捤愸㔲㥦㌹㔱㌹㔸昱㈷㉣㙦〱㔱愸㐱㌳㑣摣㌵㉦ㅣ㔰㤷ぢ摢愷㈹慦戲戰㈰㑡扡㌹㕤愹㐲戴敤㥦㔸ぢ㠷㜲慣て戶愴㍣㤷慢ち㥥捥捥挶攸㐲㤱㈷㘲昸㕡改㠹㕤㤵攷㥢㠷扥晥晡㡥捥㔸㝥㔹昴㤸〱搳㌱㥤㌵戱㡢㠸ㅡ㤴扡捤㤹㜹㔷㠸㠹㍥㜳慦㙢㤵捡㤶㈳㠸っ搸㤸っ搴㑤㡡㌹㐴〸愶㉡㡣晦㔵㥣㍥㜳挶㌵ㅣ㙦挱㘰㌰㜱㘹㘳挳㥢っ㠹㘸收㤸攵㜸ㄸ㐶㘲㤱改㝥㜳㝡扥㜲〲搱摡慡敤散㌵ㄶ扣㌵㠱ㄵㄲ㝤昰㐸搴㈸慡愲慡㑡㔶捤㜶㡡ㅦㅥ挸㔳愹敤昸愵〹㈴慥㔲ㅡ晤攵〹摡㥢㜶㝤ㄸ㥦愱㥤捥㌹昵㈲㜲㔴换散㑡㤴挲攴㔴晤㘶戶戹〵攰昶扤㐷昶搷愳㜲㘷ㄴ慦搶攸攱㑦㤰昱㤲㉣㙡㐱㄰晡攷㌶〴愴挲㍣㔲づ㌸㄰ㄸ攷㕢㌳昹攵㑣㔹㠷搴户愱㥥摣㠳㈸㔲慦㌹㘹捣㡡㌲㘲搱戶攱㙦〸㕥㘸挶摡㐶搹ぢ换挶㉢戶㙤㤰戴㐸㤶搳㐵㠳ㄴ㍣㕡昵㉢〷㉣㐷㌷〱㈴晤㠵㔹挶㐹㘴ㄹ㈷㘵㔶慦㜹㤸㘱㐱㤹㘶㕦㤵㌹挳戵晣㜹摢㉡㘶昹挲搰摤㥡愰㐹㌰㌹㈵㙦昴㐴㌲㘳愸挹㥡㍦〲㤳捤换〳摤㜹挸㔱㙥ㅤ搱て捡㔵㤵っ晥㈸ㅤ㍡㤶㈰㘰愴㤷㔴扦ㄵ扤㘹昲㘶〴㐴㡥㝣㑥㐷昷㉦㑥㍦㡣㥣挰㉦㐷慣㈷㤰〸㍣㠲㌱㈱㑦昷㜶挶㍣攲㔸㍥戰㐷㡣敤戱晣〹て㈸〷㐰㔲ㅥ㙦捦㤳㔸㡤㌵ㅡ慥㘹㠵㡢㕢㡢ㅡ搴挴㐵慤攵㜱扤㜱昹㌲挵㠱㐶㠹㈹㤲㤵㉡㐹捤戲捣ㅣ搷㤲慡㔱愴攲㡥戴㡤㤲攴㌶慤敦㍢愵挸ㄹ㈸㈶㐹㌳㈹㝤愷㈴ㄴ〴㜹㐹ㅤ搰㔱昴搷㈷㤳㐷㉣㕡㐳ㅢ㈰㐷㍤ㄵ攴昵㠵攱挰晤戸㜲㔲ㄲ戹昰つ晣扤㈱㑣ㅥ慡晡つ㈵挶挹挱戰㘴戴㕣㍥攴挰㑡㈸ㅡ㙥㘹㡤戰㌴搶ㄶ㘸ㄸ挹㥤㥤㙡晦㘰㝢㘳㡣ㄸ戲㈱㐳㈲〹㝥㘰戰㈱㤸㉢ㄶ㑤愵㜵搶挷慤慥㘵㘷昹㜶㐰ㄸ㡥挴挰戴㕦㥡㄰㡢搲っ慢㕢昲㠳戲㐱敤戴㈸攵愸㙥㡥捥㝡㔰改㍥攵㜸㤸㤲っ慥㥢㠷改㤶挲〵〶㠸摤㌰㌵㔵昴ㄱ搶慤㜵挰㤳挱摡挱づ㜶㈴〸㥢搰㍡愳〴捤㈴㄰㙥攳㈲挸㍢ㅤ㘲ㄴ㠲搴㤴捦扦㜶㈹捦㍣捤攷挵㕤愹㈸ㄱ㌲ㄱ㐳㕤〹搶〳㤰ㅢ㡦㑡㤲㡢〶愳㘰㜹㈰搹愴搰敡㡤昲㘸㘲昴搱攴㜳㝤摣攰㘱ㅣ慢㥦㙣㔳挶ㅤ㌷摦㠲㌶㉤㉦㙤㌰昷㍢挵㜲戵㈴愴㉡㡥㘴戵搴挸㙢〲㕦昲晡㕦挰㑤〹晢ㄲ㙥捡㝥ㅣ愵戸㘴㈲愹㜳扢㕢晦〴㥡㑢㈱㠷㍥〲搹挶攰㘳㠲㕢㑥〶挳㕡敥㈸搰㍥摣㔸扦扣㈰㉦捥㐱愴戵㘴㔱㤶㑤攲㉥㕥㉤㠲㉣戹㉤㔶㙤戲㌲㔹愱捤ㅥ换摡㘷〵㔹㙢〲㐷㔸㘷㈰昰㌲ㄹㄸ㈳ㅤ㜲〷㍢㐹㥤づ㈳扢愷ㅦ㤶慦愹搳扢㐲攳㐳㘱㝣㤷愷愰ㄴ㜶ㄵ㡣㐴㠳㕢慤㕢摤ち㈳扦戴扣昵摢〰ㄴ㠶㠰㘹搰愲㘶㘰攰㡣㈱扤戲㠱挳㘰㘴㐲㜴㌴ㅥ㐸㘵㡣㜲㄰づ㝢㈰つ摣挴㠳昴㑣〵㑡挸摦㈴㉦㠵㐵昷ㄲ㠷㙤ㅣ㠱㉡敥搹㑤㤹㔳㠶㡦慢㉦捥㤶愶散搱㔲㠹收㉥晣㜳㙢〲慢戸戶ㄱ㤸愳㥢㥡㉥㘴挹㌵搱扥扢慣愹㈰扣㈸戸㝤㈲扦捦昰㡢昳搳晥㔲㜰㘹慢㔳㤲搰㝥づ㝦挴戲愳搳㘶㑥㍢扣㠴扡挸扤捦ㅤ㜷㉡㈷ㅣ㌹㉦捤攳㡤㍦㕡戱㝡㜷㌷㈷㤹㑢扤㠷㍦昲㔱㔳摡㙢攸㜱㌵搳㘶〷㜵〷〹晢㤱㑦㈰つ㠶㤰㑥愰ㄳ搸敥戵ㅢ〳愴㤳㑤㑤㜴㈲〵挱㍡愱㌸㜳ㅦㄸ愱㈸㍦〳㕡㐹㉣挱㤱ㅣ㝢晥〲㔸㕦昹㈹㜲㠸㜰扣㠷㘲㐴扢〴愹〴搴㐹㐱ㅥ㕥敦攰㘵㤰晦ㅦ㉣㐵摣扣㉣㍢晤ㄷ㤸㔹㜹戵ㄹ㐵ㄷㄱ㐵慦戴愲㠸㠱搸昷ㄵ昲收散搷㡦㥡ㅦ晡戵摥晦攱㔱昳㜶㘰㤸㡦戴挶㄰㔴㘳㌰扥㘶っ㜴戵ㄸ〳㔷愰㔸ㅡ〳㜷戰つ攳昵㠱㌱㄰㝡㍢づ㈰㘳㘵㘳㠰㔱扣〴㤳㉦ㄶ㔴㡤㌹㌰㜸搶㍡摢愶㈷㙣ㅦ慥搷ちて㤱㝢愸㈷㙦ㅣ扥愷㜳㕡戳愷っ搷戰户挸晣扤慥㠰摡㜲㘷㜰㕦㕢㌶㘱㡢昳㤶㉤㤱㡤㤶昱㑡㐴晥昴㜵捦挹敡㙥愹〳㔳挱ㄳ㌸敡㤵慣㤲㌹〳㥦㠸挲ㄳ㐲敡搳㥢㝥扣昷㉦て㍥扡㡢昷搲㐲㕡搵ㄸ〸敥㈴㌸㑦换〱攱摢搸㤵㤰捤晣晣收〰㍥㐴戲ㄶ捡㘲捣㜰愵扤攳改㜶㤴っ〸㉦㐶㤸〱昱慤〵㘳ㄲ㌷ㅣ〲㘳㌲摦攴搸㤴㥦㉦㐹㘷㘰㍥㌶㜱改扤㡢〲㠴㑡㕢㤵搵愱㕤愹晤〴㑡攷㝤㑥愴搱ㅥ攴昹㤲㡦愲扣搴慣搵㜶㔰慢㐹㌳㔱ㄹ㐶㡤㐸㑡㈱搲㐰ち㠹ㅦ㔹ㄸ晡㤷㔲㙡ち〹㉤て㤰㄰㐳㙢づ收昲攴扦㉥〴㐴敤㝡㕦㠷㥦慡㘰ㄷ㠱挵挸敢摥改搹㤵㔶㘷愴㥡ㄸ㤴㤵愷㡦㍢㤱㤰挷ㄴ㘶㌰㑡㉢㜳て㈳ㄱ㍤摡〸㔲慢㜶㍣㜱㤰㍥㍢〸戱〵㡣慤搹昴慡攵散摤㑥ㄵ㜷㍣愰㘷㌲㔲㘱㌸ㅢ㤹㡤愳愷㡣挶〵㔵㜳㐱ㄶ㘱㝦㤰慣㌵敡〹㡢愰戳㥣㉤㌸㝦㈲捣挷敦㠱㔸㍥㕣敦㝡㜳㜳〹㜵㥣搳㡤〵昲〷晢敢愲〴挶挶愸攴ㄸ㐸搸㔵搵捡〶㤷挰愷搱㐴摡昳㡡㕥㑦㜲㉣㐵㘱㌴㍡攲慣㉥戵㐵晦㌳㑥㉤㌹㙢㠶戵ㄹ戰㙥搰晦㐷㤱戱愲晥㔷ㄸ㘵㤳㈸扢㉢㑣昰㐵㘳愴㘴挵攰っ㜷〴㍥㙣㠴㘹攴ㄱ㔸㤷㐹〶户㠳搴㌴㍥㔱つ㡡愵〴㠷㠷㉢摤㝣〹愲搶㤶戶㙤㑦㕢〱挸㈸㤰昶〳㠸愰戶敤㌹改搶㜳㙣收ㅥ㘴㙦㍡㘰ㄵ摤㡡㔷㌱晤愱㘹㠴㜷㠷昸㠵㤹〹㥢㘷㔴㜹愱㔹愸㕤㠶㥤攸扤ㄷ㙤づㅥ㠲挰㍥㈸晣て㉡敡挸ㄸ挲敡㘲ㄶ晣摡㘸㈰ㄶ㐸愲㜶昰捥㌲敦慣ㅡ㘵㝣愰㝡〸㕥㑤㥦㔹㙢㐲搹〵扥攵收扢ㄸ摣㍡摣挶扡〳㥥ㅦ㔱捥㈳っ㈶㤷㜰敦㝤摣搷收㍤㘸慣ㅢ慥捤㘳捤捥扣㙢㌹敤晢挰改敡㐶㘹㈴ㄹ㡥挹敦㡥㜳晡㝤㠴㠸昳搰㍢扡㝡㔷㉣㝢ㅢ〴㥤㠷㥦㙤搳攵㌵㕣㠶愳㙣ㄵ㜱敥㑦愱愹㜲ㅢ〱㝥㝡㈱㑣昰㐵愱㍦敦㔶㈶㥥挳戲挸〰㐸愷㌲〶㐰㝢慡晥敥㜲㔴慤昰㘸㐱㉡捣㈹摦㐱㌹㜷㈹㔸㙤㠹㜹㌸㙡挸㈳〴搲扡〰㠸ㅥ㠵㐷〸㌹晥㌳㘸㔰ㅢ㝦づ戹敤挷晦搶戲攳㔳昹换昵挵晢ㅦ㠸㤴㠷㝥っ挵晡㜱㠲㌲㠱つ㌰㄰改㤰㝥㡡㐵捡㥡㑣㄰㐴㜸㜵ㄷ搲㜸㝥ㅦ晥晢搶慥㌷㕥攷昳捦㕤㡡ㄴ㠴㈸㙡㕣〵〵愱㕣挵㤳昱㔵㉣㈰户晤㉡扥戶摣㉡〶㈸㈳㌹ㄳ摤〵攸敢㔲㐸㉢㜲㔵ㅥㄲ摣㔰晥ㄴ㠹㔰㈴ㅡ㘶㌱㐰挴捡戶㔵㈴搰㤶㍢㉦摢㉥㈲ㄱ戵ㅤ㠸戶㐷攳㡥㈴㝣换㈳つ㈵摥㝤愴晢㈶ㄳ昸㕦㌳㠱㝡捣摡愱攳㜵㑤〸〹慣㡤ㅦ挷戶㤵敤㤹づ㠳晡捡ㄳㄱ㠶昶敤㡢㍥㤴㔲挳㌰ㄳ㈸㈴㌰㑤㐹㔱摣㐸攵㡢㔱攵㤷㕥慥㝢㐹㔱㠰〷㘴ㄴ㔴㈶攵挹捡㡦㐷㤵户攳㈳㉣㔹㈷挵㑢〳㝣摥㡡㉡㤳㐲㘵攵挷愲捡晦搸扥愵㔶㌹㈲挸愰㘷㡤搴㤲㘰昴捡㘳㐰散㠳㙣㥥慥㌵㤳㡡戴挷っ戲㈹㐲㘵戴戸㉣㔵㘹㉦敥㝦戸昸㈴㝡ㄲ搷㤹㜰敢〳搲㌶昸㥦ㄱ昶攳㥡搳㠴攱ㅢ昸攲㜹ㄱ昱㘵㔷㤷㙦㙣㥣㌱て戹挸攸㌶昷㝢㌸㕣㤵搶ㄴ㠹挰㉥㐸〷晢扢㠲ㅦ㍥挱㠶慣敦㐷ㄴㄷ㔳㜹㙤愴㌳㉤㈲㘳㈹㘹攵搱〸戳愹㔳㜵㥡搱㍦〳攴㐰㕥〲㌲愱㝦ㄶ㌰㠸扤㙣㘲挶〰〵㠱攴昲㔳㐸攸㡦㄰㝣づ㈰愷㤰敢㐹〷㤹捦〳昴㐷晦㉦挵搰愲㜴㥣愸捡㐳搱㘰㜱㌲搲扦挰〶㡦〱㜴挱㘳慢㠴㐴㤸搳ㅦ㐷㑥㝣㔰㑡㄰㌹攸ㄳ㉣昸ㄲ挱㤷〱㜲ㅡ㈷扢敡㕤攳㥡㍡㔴㘱㕦㐱㔳㠵㕢㈱〵摡㔷挳〴㕦戴㔳〰户戶㌷㥡㜹㈶㡥扥攳㐷㜴戳攱㠳晤摤昸〰㝦㠹㡢敥挲晦㍦愲㐹ぢ㍦慤㝥慣戳扥挸〴ㅡ攷挳㥦㡢捤㍥㠳㝥戸慥扡戱挹ㅥ㍦㡥㕦㔶捤㈸㡦攰摦㔳昸㈹て㘰〴㡥㐲㤵㥢㠵扦㠵㌴㈰ぢㄶ挲〲敡㉥晤㐹〰㠵㌸㈶㥥昴愷昸㐶搴戲㝦晤敢㘱㠲㉦ち昱㝡㡡㠹㜲搸㍣ㅡ㤰戸㤶〵挷㥢〶㈴晥㘵挱戱昸㠰摦㐴慥㈲㤱㠵㐴愳㝡㈲搲搲捣㝤ㅡ愰慦慢㥦㜳愳扡㔳㑦㉡挵晢㑢昷摦晦㑥㝦㝡攸扣昴摤户昵㍥晤搶㙦摥㝥敡捤㑦敥晣晢扢捦㍥晢收㕦㥦㝡晤摤搷㘶㜷晥敡昹攷㝦㜹晢昷㕥㝦㝢愳昹㥣晡昲㍢㤳捦㍤㌴㜲晣愱〷捣㈳搷敥㝤攸㥥㘳㜷㡥㑣㥤㌵摣搵搵摤㝤搵攰慦捦扤㝡攰搴〳慦㈸扦昸攳㌹㡥㈲㤷换〱〵㐰昴っ㜰搹㜲ㅡ摦㐶〲搳攰㡣㍦搴㘹㜰戹愷昰㔳㑡攱㐶㡤攱㈵ぢ攷〶㈷㈰ぢ㡡㡤〵㍤晦〱ㄱ㝢戲㌵</t>
  </si>
  <si>
    <t>㜸〱攵㝤〹㤸㕣㐵戵㝦㔷捦昴捤㔴捦㈴搳散㝢㤸〷〱㠱挰搸摢昴〲㠶㤰捣㘴㈵㈴㈱〹〱搹㠶摢摤户㐹㤳改改搰摤〹〹〶〸攰㠲㈸戲愸〸㠸㠰愰愲㈰愲戲㉦㉡㉡敦愱〸〸㠲㉣晡摥ㄳㄵ㐴㐰ㄱ攵㈱㍥㘵昹晦㝥攷㉥㝤扢愷㘷ㄲ㜹收晢昸扥㝦攷捥改㍡愷㝥攷摣慡㔳愷敡㔶搵敤㝢ㄳ㔰㠱㐰攰ㅤ㝣昸捤㑦㈷ㄳ扢㉦摦㔰慢㕢攵晥挱捡挸㠸㤵慦㤷㉡愳戵晥㔹搵慡戹㘱㔱愹㔶敦〰挰ㄸ㉥㈱扦ㄶㅡ慥㤵㑥户扡㠶搷㔹搵ㅡ㐰愱㐰愰慢㑢〷㤱慦㥤扦㠸挷㔰㑢㜷㤲〰ㄵ搰〶挹㈴㤲㉥ㄲ挱㠷㤹敡〶改改〱㔹㌱㌸㝢㐹敥ㄴ㥣㝤㜹扤㔲戵づ散㕢㘹㥦㘳㐶㉣搶ㅦ敢㡦㘷攳愹晥攸㠱㝤㠳㙢㐷敡㙢慢搶㡣㔱㙢㙤扤㙡㡥ㅣ搸户㜴㙤㙥愴㤴㍦摣摡戰愲戲摡ㅡ㥤㘱攵愲㠹㥣㤹捣挴㤲〳〳挵㙣㌶搳㌳ㄹ㤶ㄷて捥㕥㕡戵㡡戵㝦㤵捤㈹戴戹㘴㜰㜶晦㘲慢晥慦戲搹ぢ㥢㌰㌹㔴㈹㥢愵搱㝦㤱搱㄰摢㈰㌱㘴攵㑢㙣㉣换慡㤶㐶㑦敥㐷戱㥢ㅣつ㉥摤㍦ㄷㅥ捦㥢戵晡愰㌵㌲戲捣㉡戲㥤㝡捡昴㤹㔵戵㐶昳㔶㙤㑡㜹捥晡扣㌵攲㘴搷扡捡㉢捤敡㘲戳㙣㜵㌲搱㕢戶摢㙤㐱挱ㅡ慤㤷敡ㅢ㈶㤷㡦慡㔹换捣搱㤳㉤㐲㐲攵㜹㙢㑢㠵捥㑥搵搹ㄹ攸㜸㕦扢挲㐸摢昴捦慤收〷㔷㤹搵扡㜰㙣戵㔸㍢慣㉦㐲愴攰㑤挵㘲ㄴ昵戵㘸戱㤹㤶㤷捡㠷㕢搵㔱㙢㠴㈷㘱攳㑤㙦〱㠹㑦㙣搷㝢捥㜱㙢挳㠶㔱摤㑥晦㘰㔵㜸ㄶㅤ㈱搹〶挴搸ㄶ愴㜳挶㘰㉣慢户愳㙣㝢㄰搵昹㌲㍡㤸㕦㠷㐱ㅥㅣ㌶㠳挳戹攰㜰㍥㌸㕣〸づ㕢挱攱㘲㜰昸攴攰昰慡攰㜰㈹㌸㝣㑡㜰㜸㌵㌰敥愷㙢搲愴愰昳戹愱晦㠲改摦昸散ㄵ㐳摦㝥㜱搶〳㡢㍦㜹昱㘴挵㍥㈵㥤㙢㐷㈴昴㑥㈰挶捥㈰㉣㐳㔲敦㐲搹慥㈰㑡㍤㡦㌲戰ㅣ㌷㥥㝣挱㠵ㄷㅦ昹昸挲㍢敥㝥㙣昵昱ㄷ㥤㜵㥥㘲㝦ㄴ〳扢ㄳ扣〷㠸㌱ㄵ㠴〶ㄲ㝡㑦捡晡㐰㤴晡㤵㘳攰攲搲㐷㕦㕦㜰敡㔳昳㌶搵晥昰摣挶㝤㝦昲㔹挵扥㉣〶昶㈲㜸㙦㄰㘳ㅡ〸っ挴㔳㝡ㅦ捡昶〵㔱敡ㄹ挷㐰攷㕦㍦晢㐶㘵挶挲〵㕦㝦攳㠱昸㥥户捦ㅥ㔶㡣㉦㌱戰ㅦ挱晢㠳ㄸ〷㠰搰㐰㕡㑦愷散㐰㄰愵ㅥ㜷っ〴㤶㕤昳㐴晦㔷㝦㌶㜴敤ㅥ搳捣㠱愹㤷㕦慢㌸㠶㠸㠱㝥㠲摦て㘲㐴㐱㔸㠵愸㡥㔱ㄶ〷㔱敡㘱挷挰捣㙦㝦攷㡤㐵㔷㥦㌷晢愶㜹扦扣挱㍡晣挵〷ㄴ挷ㅦ㌱㤰㈴㜸〰挴㐸㠱搰㐰㕣愷㈹换㠰㈸昵㠰㘳攰㠴摢摥晡摥挶昹搶扣ㅢ换㠷慥摢敥㤲搳㕦㔷ㅣ扢挴挰挱〴ㅦ〲㘲㝣㠰愲ㄹ㠳㔹㍤㠳愲㐳㐱㤴晡扥愳㝦搲㌳晦㥢㝣㙤挱愹昳敦㌸攸㠲㐰敥戹㔴㔸㌱㈲㐴晦㌰㠲㘷㠱ㄸ戳㐱㔸㠰㤸ㅥ愴㙣〸㐴愹㝢ㅣ〳㑦㍥晡㙦㕤㑦㑥㝤㙡昱㥤昳搴挱㝢㈷昶㝣愱㘷㉥戲㡦㜴挲㜲愸㙡㥥㠶扥摤ㄸ㌶攲晤㔱晥摢晣㜸㠹攱戲㌸㔰㑣ㄷ㘳戱挲㐰搴㑣㤸㈱〶昶㤶昶㔲挶㝡㑦昱攸搲㘸愱㜲㥡㜴摢㥥攲摣搲㐸摤慡ち搳㕢挴㤷㍤昴搸㝤扡㌸㘷㍤挶散扣摤挳户㉦づ㕡搵㍡挶扡晡㠶㐶户摦㝤戶㔹戳ㅡ散㜴挷昶散捡摡搱㐲㙤户昶㤹换敢㘶摤摡戵㌵慦㘱㘴㡣摡㜲㡣㠳㔶㑤㡡㌴戵㔵㙤愵㌹戲搶㥡戵扥㘴㘷敦搱㤲㡤ㄱ戱㤲ㅢ㍦㜷㙥搵㍡搵换ㅤ㔳愲㔹戸慣慥ㄳ摢㘳㙡㘹㘷搹攵敡ㅢ㕣㔵愹㔹愳㔲扣改攵愵愵晣㙡慢扡摣攲㐵搹㉡㐸㔵㜷㘰㤶㌳㉣㑦㕦㌲㡡㡡㘲愰㉤散攵㤷搲搱搶㘸挱㉡愰扣㙢攰攵つ㉢捣摣㠸戵㘳ㄳ挴㍥㈷㌲㜶㘹ㄲ捦慤攴搷搶〶㉢愳昵㙡㘵愴㌹㘷㔶㘱㥤㠹㑢㐱攱㠸㑡挱敡㤴㑦挰愶㉡搰搱愱㔴㘰扦㜶㘳㉡㙤搷㌸敡晡㠲㠴㘳晢挴㘰㕦㄰ㄱ摣㜶戴昶㉣㈳攱て㌲攰昷㥦戰㈴晥㈰愴昵攸㠴攸㌶㐱㑡愵㥤㥢㍢㕥晦㌲戴て摡㘱挴㘲慦っ㑥ㅢ摦㘴㈳㉥㘹㘶㠲㤲晡㕡㠵㜳㌰愲㈷㜰㥡㤸昵㘲㙦敢㠲㠳挱敤㥣摡捦㔹㠷ぢ晥㝣㜳戴㌰㘲㔵㈷㥣㐱㉡㤶㐸捦㈳㤹㑦戲㠰㘴㈱挹攱㈰愱㕢㌱挶㡤敢㔱㕥敥搴㝡戵㈱㜴㕡愹㔰㕦㘵慣戲㑡㈷慦慡㐳㠶㤹㘷㔷ㄷ摤㍤㠲扦㕦攲㙦ㅡ㠶搳つ㌲晤㍣〲㥣㕥㑣戲〴㈴ㅣづㄸ㑢昱ㅤ㌰挲晡㐸㝥㉤〳改㤹戵戶㕥改㜳㘲㈱慣㐲扣㤴晦昳ㄳづ㌹㥢捣㙦㌰〱慤㠵捡㤸㐶搵㍡㍡摡戹㘲扥㔹㕢㔵㘷㉦㥣㌰㔳愶ㄶ换㔱ㄴ扤㠲㘵㍣ち㘴昱㝣㙢〴㝤昸㕦㌵㜷つ㜱㤲戲搹㌹ㄲ攷㌴㍢㤶㤷㙦ㄸ捤慦慡㔶㐶㌱攳ㅦ㌲敢收慣㍣㈶㠲㌵㘵ㅡ攵㐵㤵挱戵㜵愳㍣扦㠴慦㥥昲㌲㙢㡤㘵搶〷㌱㐶搷㈷㤷ㄷ㘱ㄲ㈹㠳攸㠲挲晡㔰搹㥥晦つ㔹戵扣收㐴㜱〱挶愴昵〶㔲ㄸ㘴㝢捡ㅣ㘵慣昵㜵㥡㥥㔴㕥㙡㘲愲㔹搷〰㑤ㄷ㉤㍢㐵捤挹㈲㜳戵挳づ〷ぢㄱ㐹晡慣㜴㡢挰戶ㄴ㘰搸攰昲㠹㡢㙣愷㐳㕢扢捦㔱昵搲㐸慤摦㜱㙦晦㔰〵ぢ〹㑢搶㍣㜴扢㘱㈰扡㡣〹ㅢ慢戵㤷㜳愶戹㈴㥦戳捤愲㈸昳慡㤵戵㙢㌸摢晣㔷搹愱慤㠰㕥〹㜲昵㥦㙦㌸㘴㥦㉦摣晣㡥昳㝤ㄶ晡㡦㝣㌴ㅢ㑥㌳搸挹攲㑢㍥晡㠳昸ち㑦㤴ㄷ攲㤵扣敤㌰㍢捥愴㤸㔳挸㥥㌲㙡扢愲㙡挹㉣扦㑢㤸つ㙢慣挹攵愳㉢搵搵戹㑡㘵㌵ㅢ㝦㡡㜰戵㔵㤶㔵攷搴戹摢㔹㈹㌰慤㤴敡攸㘸㥡㈳晢收搸㥣㜴ㅢ㈷㠰㑣㥥㌵㌲搲攷㕡慣ㄹ㈷㐲搴㠱换㠹㌱㡣挴捣㘸戴扦㙦挹㤲〵㑢晢づ敡㕢㘶搵慣敡㍡慢㠶攴捡捡挸摡戲㔵慦㤶昲㝤㐷㔸昵㔵㤵〲㘴㠳㔵慣㙦捤㤱扥搹㈶捣㉤㔹㌴搴扦㝥愴㔶㔶搷挰㐹㥣㈱㝦攴搸晤㍥搳晦搱㕢攷㝤㜶㕤攵愰㠳敥戲昶㔱㔷㍢ㄹ㘳收摥㥣㜲㜳㠶愴㜳㈴㜹㤲〲㠹㐵㔲〴㔱㤷㐳㤵攳ㄹ㑢㝡て晥㕥挷愸戴㔱挶㠹㔵挴㤴㐸㑥〱挱愸㈴つ㠵㐱㠹〳㤸㔱〶㘹ㄹ㤴ㄴ攷昶ㅣ㤸昴㈸㐹〵㐴㜱㝥捦㉥ㅣ搰㙢㐰挶㡤〳㉥〸挶挶㐱つ搲戰㥥㈰㑦㜱攵挰㔸搰昴扤㘶ㅤ㌴㍤慤㍥敡㌸㘴㡣愷㍥攲㘴㡣㔹㘴㜰㙤㈱㥥摡㐸㈳㘷㤰㥣㐹㜲ㄶ挹㈶㄰㜵ㄶ㔴改㈹づ㜵㔷攲㙦㌷㜸敡㕣昱搴㌹攰昴戹㈴ㅦ〶昱㜹敡愳㤴搱㔳㘱愵昶挰㤷㌸攷㍣ち㍦づ愲昶〴戱㥤㜳㍥㔲攳㍡㘷㉡ㄵ挶㜴㤲ぢ㈰つ敢〹昲㔴ㅦ㄰敤㥣㌳攲昸㘰㡣㜳㔶㍢ㄹ㘳ㄶ㔰㝢挱㤲㌸攷㔲㈴昴攷㐸㉥㈳戹㥣攴ち㄰㘵㌹捥㌹ㅤ捣㍢昸扢挳㜳づ㕤愵扦㐰㜲ㄵ㠸捦㌹搷㠰㌵扥〸搲ㅡ㐶㝢㐳㈶㥥扡ㄶ〹㝤ㅤ㠸攲㈲捤昶搴㤷㤰ㅡ搷㔳搳愸㌰挶㔳搷㐳ㅡ搶ㄳ攴愹㝤㠱㘸攷愹㘵攳㜹敡㐸㈷㘳捣㑡㜱㍦㔸ㄲ㑦㝤㤳㐵昹ㄶ挹户㐹㙥㈱戹ㄵ㐴ㅤ敥㜸㙡户㑥㌰ㄸ敦㜷㠲愷㌶㐹ㄸ摤㑥捣ㅤ㈴㜷㠲昸㍣㜵㌷㔸㠳㥤搳戰愷愵㠸愶晤挱㠹㡦敥㐵㐲㝦〷㐴㜱ㅤ㙡晢攸扢㐸㡤敢愳〳愸㌰挶㐷摦㠷㌴慣㈷挸㔳㕣攱戶昳㔱㘶㍣ㅦ愵㥤㡣㌱㡢攱㝥㔸ㄲㅦ㍤挸愲晣㠴攴㈱㤲㠷㐹ㅥ〱㔱㌱挷㐷敦〳挳戵敥㉢昰搱挵攲愳㐷㠹㜹㡣攴㘷㈰㍥ㅦ㍤㐱㤹搳搵戸扥ㄶ攷㍣㐹攱㔳㈰㉡〶㘲㍢攷㘹愴挶㜵㑥㤴ち㘳㥣挳搹㕡㔸㑦㤰愷攲㐰戴㜳捥搴昱㥣戳㠷㤳㌱㘶愱㥦㠴愵〸㑢昱ㅣ挹昳㈴扦㈳㜹㠱攴昷㈰㙡㈷挷㌹㜳挰戰扢扤〶攷搸攳搰㑢挴扣㑣昲〷㄰㥦㜳㕥愱捣㜱づ晤㈹捥㜹㤵挲㍦㠳愸㌴㠸敤㥣扦㈰㌵慥㜳㔲㔴ㄸ攳㥣搷㈱つ敢〹昲㔴〶㠸㜶捥改ㅣ捦㌹ㅤ㑥挶㤸㑤㡣㠳㘱㐹㥣昳㌶㡢挲㜱㐶〷搰㠵㌴晢㤱づ㠲愸户摥戶〷改ㅤ㤱挷㡢㌲〷改ぢ㈵㜲戸㙦慣㐳㈴〶㠸捦㌹㕤㤴㌹捥㌹〴㉡攲㥣㌰㠵摤㈰㙡〶㐴戶㜳㝡挰㡥敢㥣て〰㌶搶㌹扤㔰〹敢〹昲搴愱搰㙢攷㥣㤷㔰㤱戶搷晡ㄷ㥤㡣㌱㍢㌴㠷挱㤲㌸㘷㘷㤶㝤ㄷ㤲㕤㐹㜶㈳搹ㅤ㐴晤搶㜱づ摢㥢㜳慣㕤攱㥣㑦㠸㜳愶ㄲ戳㈷㐹ㅦ㠸捦㌹㝢㔱收㌸㘷ㄶ㔴挴㌹搳㈸摣〷㐴つ㐲㘴㍢㘷㕦戰攳㍡㘷㌶㘰㘳㥤戳㍦㔴挲㝡㠲㍣㌵〴扤㜶捥㜹㜴㍣攷晣搴挹㘸摤㝤ち㜱㉤搷㍡愱㤶㕤㔴㙦㕤敥㕢昱㑦〱搸㈸ㅥ㌵㕡慡搷扡㡢㕣㜸捤㉤搵㠷㙡昵㥥㈲〸㤲愲戲慢㉣㘱㝤㑡搳㡢㉢㑢搶㘹㉢㌰愵摣㜳㙣ㄶ㌶㤸〷搷搶敡ㄵ㔹㉢㑣ㅤ㥢㍦㔴㔹㕣愹て㤵㙡㙢㐶捣つ搳摡㘴摢㌹㐷慦戲㐶戱愷㔲挵搶捡收㐰㤵㌵㙢慣㐲㥢㌲㉥慦慣慤收慤〵㐳敦㠵㕤ㄹ㘵㉦㝡〲㤸㔷愳〳慢㝤挶摦㠵昰昹㝤㌲摡㈶㠸戹戸㝡㜷㡢㝡㈳㡥愰敢㍥慥㠸㝤扤㝣改㠷户㡣㥥㄰搰〹㐸㌰㡡㈸㠴扤㑥㌲㈴挳㠱搰晣捤㠶㡢㙦捦愷ㅢ攰㜰ㄱ㑤㙣换㈶㍢㥢㡡ぢ㐶㙢愵㠲ㄵ㜶戸㈳㑡愳㔳㥣攴㤲戵昵愶ㅣ㜳晤㜶㑥づㄶて㑢㐶ㄱ〶㜹戳㕡㜸㉦戴㄰㉡㠶㡦摤㍣捡挰扦㜷攷㜴摢㑣㈰昰慡㝢ㄳ敦搵戳搰昱〷ㅣ㕦㜳㜳愵敤㕡捥敢㥡㐸昸戶捣㌸慣㑦愶扢㍤㜱ㄷ戹㈳㉣㜳㔴㕡㘱㜹扤㌰㘴慤㥢㈲〸ぢ挱㡥㝢㍣㈳搶㜶捤慣㉣改㜵㜱㔶慥㠶挵㔷摤㥡攲愵愴搳敢攲㌲㙢挴攴昶㘷㡦㤷㕡㥡慦㘳㠳搸戳挷慤捤昷㑥ぢ挱㈳㥤㑥㉢㈹㘹㈷㘳㠲戱慥戹ㄲ散㑦敦戲㔵搱㝥㐵昹扣㌲㔳㕤㜱㌹㍦㕦㥢ㄹ㜰ㄳ㘱㝥〲愱㠵㌰㍦挱慥㈱㤶挶晥晤㑤昶愴敤摣㙤㜷㝢戴㤳㠱慣挷㤵挹搶㘲㔱挶㐰摣㍦攰敤扤㕥㜶㥤ㄱ摣㝢慤㤷昲㔸㉣㙦㤸㔲㕣㌰㥡ㅦ㔹㕢戰ㄶ㤹㌹㙢挴ㅤ扦㉢搵昲㝢愴扤攴昶戵摤㔶ㄳ昸挵㜱捡〲摣挳㜶㜷㔳摦昵㤰愷㜴ち㉤㘵愴㐱㍡㘷捣㐹㜰愶ㄶ搶ㄹ愷昳ㅤづ敥㥦摥㔱づ㐳㘹摢挶晤㄰戹㜵㡡昱㙤㡣㠸〳ㅢ㌷搸扣㑤㘹改㜶㍥搸愲捡愲ち㙥ㄸㄴ㝣愲昹㈵㕢昴㥥改㕣搲㔶㠶㘱扣摢㉢づ㝣㠵捦慢㥣慣昲晢㉣攷㝢㈶㉦㌴散㈱㐷㐰搰扡㌵攷㥢㤹挸㘴㐰㐶㐲捥敤㝡㌹㡣搹㌳㠹ㄵ愵晡㠸搵㕤㤴㝣㐹㜷戱㕦搰㥢㤳㡡㉢㔶㘱㥢㙢㘸㜲㜱㕥戵㔴ㄸ㈹㡤㕡㥣㤵攰〶ㄶ㙦㔷㉦戲㑥挶慤㤶愵㤵㕡㠹扦㥡㤸㕣㕣㔱㌵㐷㙢㙢戸㥢㤹摦戰㙤ㄳ㈷㡤ㄵ㉡捥㉥㡤愲ㄷ搹攷㘴扡户戸㝣㔵攵㌴晣昰㘲㙤㜹㜴㥥戹愶昶㥥㘸㈸㐴戳昳戱扢㔶㔰〵㠳慡㉢搸昵㙥㉦㔸㐶ㄶㄶ户挷㕤㤲ち㝥㌹戲愱㙦㉥敥〲㔶慡〷昶㉤㈹㘱敦ぢ㔳〵㉥昷㠲㈴㑥ㅢ㉥㐶㙡㠲摥捣收㜳敥㠰戱㌷戳戰㑤扦㔶㘸扢〳敦晤㥣㠵㈳戴㍥ㄸ㑡㍤㠷㠰㉣㥣㜷搴㠲挶㝤搳晦搳㙦㑤㐲㑢㘰㜹㠲ぢ㠵挴㡢㜷㤳㘶〷㠰愷搸㌱㐴ㄹ㐳㑡㑢㈸㤰㙢㡤换㜰㔱㌰っ㔱㕣㕢〹㘷㜲㉥㜶搰㝢㌰㈲㘰㘰挶㥤〷㡣挸㔳㙣㠶ㄳ扦戲㌹㔲㜳昲〶㉢攵戲挹㤸㘳扣㉥挷愸㙥㜵挹㉣ㅣ㐳㡣㉥㠲㐸㘰㍡㈲㜳㍤㐴收㝡ㄱ攱㘲捤ㅢ慦㤲愶慤捡挹㘶戵㔴㕦㔵㉥攵扢挸昰收攸㝢㈲㔸ㄱ㐲搸晢昱㍥ㄲ戱㤸搲戶摥攵戰㌷收搱摣晤㔸㘵搰㜵㙣㝥㠴㜴㔰慥昰敡㕤摥搵㐲昸㙡捥㠱昵っ㤰㄰ㄷ㝦戸戰搸㘵昱㑤捦㈰㤱搱㐹ㅤ㐹〰晥昴愱愰㑣昰慦㜳㌹挸㠴昷ㅡ㈶〱㄰㕥㔴㌱ぢ㜶捦㤹攴晣㌶慡ぢ㑤换戱愶ㅡ攱晤愵㐱摣㤹挵ㅤ摦㜵㤸㈵㔷扢㈸㔸㡥㍢㌷㥤扣㌳㘵搸㙤挸愹㘷㈰ㄴ敡敥㙡㜷慥〵慥慤㘹捥㍥扣晦户㘰ぢ挶搸晦挳㤱㤹㤹㈱㤶㉡捣㐹㠶㥥㠹㝡攸挳㔸愷ㄵ㘰㔹㥦ㄶ挰㉣〲㘶㠳㠴㔶㈲戳戵㤷㡣㝢㉦〶㉢敡㐰愸捣㝢㐴㕤㘵㔶〷㤳ㄱ〳㜷㡥㜰慦〹㉥㌱扡扢㡥㐲扥ㅥ㠴搹㠷ㅦ㝡㠸㍢ぢ〱挵㠵戸㝢㝥敥戱㌹〵ㅣ攲昹攷㠰愸ㅣ㠴㕣扥ㅡ㜳挱昹㤷㉥㑡捦㠳〴㉤㈲㑢㤷昹㐸攳㝡愲昲㄰㜱昹攲㝥㝣慤㡡敢晥〲〷㔵㐰㌶㈷摥㙣捦捤㑤攲㤴〵ㅣ㈷㜲㑡㉦〴摣㌸ㅣ〴㌳㠹㈴〷挰戰㕥攴㔸攴摤〴捥㈶散捦戸搷㍢戵ち〰㕥昳〲挶ㄱ搰㡣ㅣ㡤㕦㐳㔴晢㤶㥢昸㤵ㅣ㘶摣㤵㔱㥣愵愳㜵㝣㔵㈵挰㌹挶敡挵㔰㔱愷㈰挵愱ぢ㘵搷昴㠹㕥ち戲昹㔰挶搰捤摡〶昴㤱㌴攲㌰ち㈷昴摣捦挶㜳摣扦っ〰扤㥣挰㑡㝢挰ち〲㡥㈲㘰つ〰㡣ㄱ扤ㄲ㥣搷慣㌵㥦㕡㍦搲㡥摤愳愹㜶っ搵㌶㐲㈸捤晡㐱㜰晥㘶つ攸㘳㈱㐱〹愵㔹㡦㐳㥡捤㝡〶㐴攳㌷敢昱づ敡㑣愰戶戸㔹㌹ㄵ戱㥢昵〴愸ㅢ㈷㠲戰㔹㘳㄰㠷昵戰㘳㜱ㄳ戸㉤㘹搶㜳㠰戳㥢昵㈴㘸㜶㉤慤㔴㌹挵搸㈰昵㘸戹㕣慡㜳㠱㤵收㌴〱㔵ㅦ〶攷㌶㈷㝤愱昳㈰㥢㙦㑥摥㕢〱㄰㌷戴㘸挴㘱搴㜹㐸戸扤挹搷㥣ㄶ〰扡㐸攰挷摢〳㑥㈶㘰ㄵ〱攷〳㈰捤㔹〲攷㌵攷〵㍥戵改㐸㍢捤㜹ち搵㔶㔳敤㔲〸愵㌹㐷挰㑤㍡敥㠸㈳㤶慦㤸㡤捤㠵㌲㌸㤴㑥㥡㜲ㄴ㘹㌶攵攷㈰ㅡ扦㈹㉢づ㡡㌷㔸戶戸㈹㜹㈳挶㙥捡㌵㔰㌷㑥〵攱㕣㍦〱㜱㔸㔷ㅤ㡢㔷㠰㙢㌴㈵ㄸ昹㌴㘶愴㉣㈴换㜷㈵攴㜶㔳搶愰戹挳㤲㙡改攴搲㈸㙥㐶㘲昶搳户㘰昴愰愵㈳㘶ㅥ㈳挲搸㘹㤰晡〲ㄴ愵㕤㌹挵㔱㔷㠱㜳摢㤵㑥搱敢㐰㌶摦慥搷㐰つ挰㠰㍥㡤㐶ㅣ㐶㕤㡢㐴㥢㜶㕤て㠰摥㐰攰㜵敤〱愷ㄳ昰㈱〲扥〴㠰戴敢㐶㜰㕥扢㕥敦㔳㥢㠵戴搳慥㘷㔰敤㑣慡㝤ㄳ㐲㘹搷戳挰㌵摡㜵ㄳ㌸扡〰ち晡㙣愴改户㙦㐱㌴㝥扢㥥攳愰扥つ搴ㄶ户敢㉤〰摢敤㝡㉥搴㡤て㠳戰㕤㤳㄰㠷昵㐷ㅣ㡢户㠲摢㤲㜶扤ㅤ㌸扢㕤㍦ち捤ㅥ㌶愷㝢ㅢ㕡敡搲摡㑤敦〰㕥㥡昳㘳㠰㉢摥㤳㜲㥢㤳扥搰ㅦ〷搹㝣㜳昲摥ㄵ㠰〱㝤㍥㡤㌸㡣扡ㄷ㠹㌶捤昹〹〰昴㈷〹晣㑥㝢挰〵〴㝣㡡㠰敦〲㈰捤㜹㈱㌸慦㌹扦敦㔳ㅢ㐴摡㘹捥㡢愸㜶㌱搵ㅥ㠴㔰㥡昳ㄲ㜰ㅤ挷㤵㑦㔰晡搳㐸戹㑤昹ㄹ愴搹㤴㍦㠱㘸晣愶晣慣㠳㝡〸愸㉤㙥捡㠷〱戶㥢昲㔲愸ㅢ㥦〳㘱㔳昲收㐸㔸㕦收㔸㝣〴㕣愳㈹挷扦㠸㍥ち㥣摤㤴㤷㐳㔳慦㔸㠵摦摤㡤攲搷㉥愸挸搸慢攷㘳〰㑢㍢㕥〱慣晡ㄹ㌸户ㅤ改〴㝤㈵挸收摢昱〹愸〱㠸㕢戹㌴攲㌰敡㐹㈴摡戴攳㔵〰攸慢〹㝣慡㍤攰ㅡ〲扥㐸挰搳〰㐸㍢㕥ぢ捥㙢㐷摥㜱㜳敤ㅥ㠴戴搳㡥搷㔱敤㑢㔴㝢づ㐲㘹挷㉦㠳昳㕦㍤㤵晥ち㈴㙥㝢㕥㡦㌴摢昳㜹㠸挶㙦捦慦㍡㈸摥㘸摢攲昶㝣〱㘰扢㍤扦〶㜵攳〶㄰㕥㍤愳㄰㠷昵㡤㡥挵摦㠳摢㤲昶㝣〹㌸扢㍤扦づ㑤㡤摦改扦ㅦ㍦挷ㄹ愷㍤㕦〶㔸摡昳㈶㘰搵ㅦ挰戹敤㐹㘷攸㥢㐱㌶摦㥥慦㐰つ挰㠰晥㈶㡤㌸㡣㝡ㄵ〹搷敦扥换攷户〰搰摦㈶昰捦敤〱户㄰㜰㉢〱㝦〱㐰摡昳㌶㜰㕥㝢昲㈶愱㙢搷㌷挹扤㥤㙡㜷㔰敤㙤〰愴㍤敦〴ㄷ㍡敥昰㜲ㅣㄷ捦扢㤰㜶㕢昲㙥愴搹㤲摣㐷ㄹ扦㈵敦㜱㔰慣搱ㄶ户愴〲搸㙥挹㝢㤱㌲扥〳挲㥥挹扢㘴㘱晤㕤㜰㍣㙦㄰摦㕢搲㤲㥤挰搹㉤昹㍤摡㤹㔵戵㑣愹㐳敢攰ㅡ㐲慥㌴攲㝤㐸㘰㐵搷㘸㐴㝡㐰晦〰㘴昳㡤挸㕢㤷㌸〲晡㠷㑥㠲㡣ち㠳扡捥昶㌵攲晤㄰敢㝦㈷戰扢㍤攰㍦〸㜸㠰㠰ㅥ㄰㘹挴ㅦ㈱攱㌵㈲㙦㘶扡㜶晢改ㅣ㝢㈹昵㘳㠸昵㠳㈰㙡㘷㄰㘹挴㥦㈰挱㙢㘵㕦㌹㠱㘶㝣〸㥣摢㡣て㈳㑤㜷敥㠲敦昱㥢昱ㄱ〷戵㉢扥户戸ㄹ㜷〳搸㙥挶㥦㈲㘵㍣ち挲㘶捣戲愴晡㌱㜰㍣敦敥昸摥㤲㘶㥣ち㥣摤㡣㍦㐳慡㝢ㄹ戶㈹㥤ㅦ㙡㐹㔵㕡㕢㜳㑦㠰愴㌵ㅦ㐷㐲昵㠱戸㕤㤲慥搰㍦〷搹㝣㙢敥㐵㕤㤴㔶㍦改㈴挸愸㘹愰慥搷㝤慤昹ㄴ挴晡㘹〲昷㘹て㜸㠶㠰㕦㄰戰㉦㠸戴收㉦㤱昰㕡㜳㝦㌰慥㕤㕦㙢晥㈷挴晡扦㐰㐲〹㤰㉤扢㈷㌷〹攵㡣昸㙥㤴㜲㙦愸戶㑤昱挸戵收〸㤶〰㑢戰㐳㕦愷攸扤戰昹搲㘹摦㈷㘹㝤㘲愰昹愹ㅢ摣㙥㤴㉡ㅣ㜷挲ㄴ搴慣搵〷捤㔸愷㙥㌵㈲摦摤㝤㤴㜰㘸㉦摣戵摥戲戳愰㐹〲㤳搶昱昷愸挳挳㠱㉥㥥㔳㐲㐲晦ちㄹっ敦㈴扥㠹搱捦㠲㜲㜳㠷㝦㙡挰㤵晥㥡㜹捥㈷㤴〲㌳挱愶㘵换㉤〸㙡㙥搷搸㘲攱㘶摡昴ㄱ㍥㙣搷㙥㙦愶㜹敦昲㌷㍣㝤㠶〴㌶戴扦っ敡㘰㔷晡㥣㤳攸〴㈴㌴〳捣㘶㜷挳㠸挴捤㔵散㡢㉤慦㙦ㄸ挱㕥㈴㤳晣つ愷㥤攲收㡢㥤㡤㐲㔷慡ㄸ㤶㍢㕢㝦戲敤改捥㠵愹敥敤㕢㝥㈲㉦㙡捣㌹〴愵〹敤㠶㈶ㅡ㔷ㅦ〰㕦慢㔰㠷ㅦ攳㜷㤰㙦㝦㐴㈹㡦ぢ㜹愵㔸挷ㅥ挷㘸慤㡦て㑤ㄴ㜱换㘵㔶㘸ㄷ㔸㙣㝢㑥㔶慣㜳㤴㑦愲㐹㐳㠷㔷㡦㔶㑥ㅢ㤵搲㠴㙡㝣㜶㠴㘷搳㤳㈶昱㌴㘱晣挹㘷㙦昸㌶㜲㈸㜲愸慣㝦㡦挴攴㡥挸㑣㝣㌱㍣㡣ㄷ㤱搸㘷㜰昶攰戲攱戸㤵捥挷㤲挵㑣㈱ㄷ㉤㈶㌳㘶㍡㌳㤰戵㜲㠹㑣㌶㤳㡣攷搳㠹㕣摥㜸挹㠳ㄶ㔲㤶㘵㈶ち搹㘲捡㉣㈶愳ㄹ㌳㤳捥ㄵ慣㝣㈱㤵㡣ㄷ攳戹㘴㌲㙦扣散㐱搳搱搴㐰㈲㕥ㄸ挸㘶昳〳挹㘸慣㘸㥡戹昴㐰㈲㤷挹㈴㤲愹㡣ㄵ㑦㐵づ㜳㑡愲晦㠰㠴晥㈳挹㉢㈰㤱㔹慥晣㑦ㄴ扤㑡昲㘷捡㘷扢㜲て㉡㥡扤㠳㤰戳捥㠶㔴晡㕦㐸㈲㐳捥ㄹ㡤搷㤱㤸㌲㌸㝢搸户㘷㙦晣ㄵ戲㙤㈰㙢㝥㙣搰㜸〳攲ㅥ㠸㘵戳㜲ㄹㅥㅣ㠹捣㜱慣搸㡦摢晤㉦㌸㜹收㑥捤㐳㡡挳㈹㝥戸㡦㔶㘷㜷户扢敤㥢㤴愱摢捥挷㌷㡥㠰㝥ぢ搴敢戶ぢ㕣㘹㔳㤷㔹〸㈹扢慥㝥㠷搹㡢摡㘲ㄶ扢㔲〵㘳戴挷ㄱ㕡㉤㠵㤴㕤㑢扤晤搶㍢敦㌰愰改㐰捤㈸㘵㐰慡㌷㈱㘵㔰㌶〷搵㤱挸㤶愰攲昵ぢ㐱戵っ扣〴㤵〱摥づ慡慣㤹㐸㈷搲昹㑣㌴㥤㑦㈷㤳㈹㌳㌷㠰挶㑦挷搳搶㐰挶㡡挶戳㈹㘳㔲〳㥡㑦愴ぢ〳〳挹㑣㈱ㅤ㑦㕡戹㝣㌶㤳㑥挷㘳昱㘴㍣㥤捤㤹挵㘲摥攸昲愰ㄴ愵昲愶㤵㑤攴㔲挹挴挰㐰㉥㘳收攳改㘲㈲㌶㄰捤攷昲搶㐰㘴戹㔳ㄲ捤〷㝡㜵㤸愴ㅢ㈴戲挲㤵昷㔰㌴㤹㘴ち攵㐷戹㜲㠱㡡ㄲ昱扤㉢㈱摦㍡㐱㜵戴㝢㐶〶㤵㘶ㄴ㘹挶㑣攴ㄸ㔷扥㈳ㅢ㘰㐷㤶㜰㈷愴搴戱㤰摢㘱昲㝢戴㐵㈳㑣㜶〱㠲㘱㜲ㅣ昲㜱攰㜷㕤㄰攰戰㐷昷攳㕤㘹㔳㤸㥣〰愹㠴挹敥〰慡攱戶ㄸ搳㤵㑥㈵〶昶戸㐱慥昲㐸㐹㤸晣扡㙤㤸晣慡㙤㤸ㄴ愰㈴㘱戲ㄷ㑣㈱㑣㌸㑡㐹㤸散つ摥づㄳっ㍢㔶ㅡ挳㑣㘶挰㡡㈶ㄳ戱愸㤹㑦㘱㌰㈹挴戲挹㠱慣ㄹ㡦㈵㡣㘹ㅥ戴㤰㌷㡢㠵㐲㝥㈰㌱㄰㉦㈶ぢ㤹㔴搶捣㥡戹㐲㌶㥥ㄸ㐸愴搲戱㐴摣搸挷㠳㈶愲㜹㉢㥤㑥愶捤㔴㈲㤱ㅣ㈸㐴捤㘲㍥㤵㠸㘷㌲挵㘴㈲㥥㡣㈵攳㤱愲㔳ㄲ扤㉦㜴昴晢㐸昶〳㠹㥣散捡昷愷攸〰㤲改㤴慦㜲攵㠲㈷㔴㤴㝡㑢㤰㙦㥤㌰㌹挵㍤㘳㑢㤸慣㜶攵扢戳捤ㄳ㉣挹ㅥ㙣愰㌲攴㜶㤸晣愴㈹㑣㔲㐰㌰㑣㐶㤱㡦㈳愰搳㄰攰戰挳愴攲㑡㌳ㄴ㌹ㅦ戵〶㔲〹㤳㉣愴慡摡ㄶ㔳㜷愵㠷㄰〳㑤㌶戴㕡㠷㤴㠴挹晤扥㌰㌱㘶〰㌲敥㌵㑦晤愰㙤散㥣〶㑢ㄲ㍢㌳愱㡣搸㔹て㕥㘲攷㌰昰㜶散攴㘳㔶㌴㤷㡣㐵搳〳㘶㍥㘹㥡㠹㙣㍣㕥㑣㈷慤㜸搶㉡愴㡡㔶㈲㘵捣昲㐱㘳ㄸㅦ㤲改㐴㈲ㄷ㑦㐶㜱ㄱ戲戲㘹㉢㙥㘶愲㔶㈲㙤㈶㔳〹㘳戶〷捤㘱㍣挹攳㐲㤸挲㤰㤲捣挴ㄱ㘲㠵㙣㌲㘹ㄵ戲昹㕣搱㉣ㄴ㤲㤱つ㑥㐹昴㈰㜴昴㄰挹ㅣ㤰挸改慥㝣㉥㐵昳㐸收㔳晥㈱㔷㉥㔰㔱㈲扥㜷㈳攴㕢㈷㜶捥㜰捥㘸㉣挲㜹㕡慦㕢㐷㐰搶收扡戵ㄸ攲收敢搶㤹㙥戹昷㐲换敡愵挸㤷愷愴搵㈶挸敤㐸晢㐶㔳愴㉤〷㠲㤱㜶㌶昲㜱㘰〳ち〲ㅣ㜶愴㥤攳㑡㥢㈲敤㕣㐸㈵搲㔶〲愸㍥搲ㄶ昳㌱㔷㝡っ㌱戰㈷㤱昶㜱愴㈴搲慥昷㐵㥡㘶愴挹㜵敢换㙤㠳敡㝣㈸㐹㔰ㅤてㅣ㠲敡ㄳ攰㈵愸㑥〰㙦〷㔵〶㤷㤱㘲搴㑡ㄷ㌱㘱㐹㥡搹戸㤹㐲㔰攵昳改㝣搶㉣收㔲㔱换㌸搱㠳收攲㠹㘲㈲㕡㐰㠸愴搲挹㔸㈱㥡㠹愷捤㘸㌱ㄵ㡤愵㡡戱㔴㈱㔶㌰㠶㍤㘸㜲㈰㥡ㄹ㠸㈷昲㜹㉢㤵㑣攲㉢㔷㐸攴㤳挵㤸㠹〷㤷愳挹㘴㈶ㄵ昹愴㔳ㄲ㝤ㄲ㜴戴㐹㤲〳㠹㕣攰捡昳ㄴㄵ㐸㉣捡㍦攵捡㍤愸㘸昶㕥〸昹搶〹慡㡢摣㌳㌲愸㌴愳㐸㌳㘶㈲ㄷ扢昲晤攰㜹㕤愶㝣㝦愴搴愷㈱户挳攴攲愶㌰㔹〳〴挳攴㌳挸挷ㄱ搰愷㐲㠰挳づ㤳捦扡搲愶敢搶愵㤰㑡㤸搴〰㔴㤷戵挵㕣攱㑡搷㍡昶㘴㝡㜳㈵愴ㄲ㈶攷晢挳挴㥢摥㥣搷㌶㑣扥〰㈵〹ㄳ㍥㠹㠹㌰戹ち扣㠴挹改攰敤㌰戱ㄲ㘶ち慦攸㐸愷㌳㔱㌳㠹㔹㑡㙥㈰㤳㠹挵愲㠵㕣㍥㍥㤰㑣㐷㌳挶㠷㍣㈸慥㍡㤹㘲㌶㥤挶㐴㈵㤵㡣㈶〷㌲㠵㘸㉣㥦㐸㘲摡㥣㑤挵昳㔹换攰㤳㔵戶搵㕣挲㉣㘴㌳戱㜸㉥㤶ㅢ挰攴ㅢㄷ㌷㉢㡦㈱㉢㥡挲㐳敤戹愸ㄵ㡤㕣敤㤴㐴㥦〱ㅤ㝤㈶挹㔹㈰㤱㙢㕣昹㈶㡡捥㈶㌹㠷昲㉦扡㜲挱ㄳ㉡㑡扤搷㐲扥㜵挲攴㍡昷㡣㉤搷慤㉦戹㜲㙥㉢攸昳㔹㤲昷㌳㑣扥〲戹ㅤ㈶昵愶㌰戹〰〸㠶挹昵挸挷㠱つ㝥〸㜰搸㘱昲㔵㔷摡ㄴ㈶㕦㠳㔴挲攴㈲〰搵㡤㙤㌱㌷戹搲㑢ㅣ㝢ㄲ㈶㌷㐳㉡㘱㔲㙥ㅢ㈶慢摢㠶挹㌷愱㈴㘱㜲㈹㑣㈱㑣扥〵㕥挲攴㜳攰敤〶挵愴搶ㅡ㠸ㄵ㌰㘱㐹愴㌰〶ㄴ㜲㔹㡣〳戹㠱㘸搴挴搴㌵㤷㉢ㅡ㤷㜹搰㐴㈱㘹收搳㘹㉢㥤挰挰㤳捦ㄴ捤戴㤵㡢挵愳搱㌴㐲捡㉣㐶㑤攳㜲てㅡ㐳㈸㘴ㄲ㤹㘲㈲㤷挸㈵㌳㤹㤴㌹㔰挸っ愴搲㠵㑣㙥挰㡣㔹愹㐲㠴扢戲㉣㠹扥〲㍡晡昳㈴㔷㠲㐴㙥㜱攵㕦愰攸㉡㤲慢㈹扦搵㤵ぢ㥥㔰㔱敡扤つ昲慤ㄳ㈶户扢㘷㙣〹㤳㍢㕣㌹敦㘶改敢㔹㤲〱愴搴㕤㤰摢㘱㜲㜴㔳㤸摣〰〴挳攴㙥攴攳〸攸ㅢ㈱挰㘱㠷挹㍤慥戴㈹㑣敥㠵㔴挲攴㈶〰搵㜷摢㘲敥㜳愵㌷ㄳ〳㝢㜲搱昹〱㔲ㄲ㈶㑢摢㠶挹攲戶㘱昲㐳㈸㐹㤸摣〲㔳〸㤳晢挱㑢㤸摣ち摥づ㤳慣㤵㠹㤹㔸㉡㘷慣㔴ㄱㄳ㕦㡣ㄶ㥣搴ㄶ戳〳㌱〴て收㌵挶㙤ㅥ戴㠰愹㜲慣㤸㑤愵捤㝣㌶㠹㜹㜰㉥㤱㐲㈴㘱㑥㤳捡㘰戵㔵挸ㅢ户㝢㔰㉢㤳挹㈴〱攵㈷㤹㡢ㄵ戲戱〴愷捤㠸㤱㝣㈶㥥㐹挶㈲晦敥㤴㐴摦〱ㅤ㝤㈷挹㕤㈰㤱晦㜰攵㜷㔳㜴て挹扤㤴㍦攰捡〵㑦愸㈸昵晥〸昲慤ㄳ㈶㍦㜶捦搸ㄲ㈶て扡㜲㍥晣愳敦㘷㐹昸㤴㡥攲慥戲ㅤ㈶〷㌷㠵挹〳㐰㌰㑣ㅥ㐶㍥㡥㠰晥ㄱ〴㌸散㌰㜹挴㤵㌶㠵挹㑦㈱㤵㌰㜹㄰㐰昵㔸㕢捣攳慥昴㈱挷㥥㡣㈶㍦㠷㔴挲㈴搱㌶㑣㘲㙤挳攴㐹㈸㐹㤸㍣ち㔳〸㤳愷挰㑢㤸㍣〶摥づ㤳㈴戶㕤㘲㤹㥣㘹つ㈰㑣搲㔶㌱㤳捡㈵ㄱ〹㤸㐱ㄴ捣㘴ㄶ㘱昲㌳てㅡ㑤挷戲㔸㜷ㄷ㡡㔸㑣〱㡡敤ㅡ㕣㐹戰晡挹挵ㄱ㘲㠹㘸搲㜸摣㠳㘶㜰〱㑢㘴慤㈸攲㉤㥥㠴㝤㠴摦㐰㌴ㄹ㐷扣㈴ち搱㝣㈲ㄶ㜹摡㈹㠹㝥〲㍡晡攷㈴㑦㠲㐴戸㤹㉣愳捣㔳ㄴ㍤㑤昲っ攵扦㜰攵㠲㈷㔴㤴㝡㝦〹昹搶〹㤳晦㜴捦搸ㄲ㈶晦攵捡て㘳㥢晦㥡㈵㤹㠵㤴晡ㄵ攴㌸〲晡户㄰戱ち晣㡢㍣ぢ㤱戴挰㜳〴㍥て㌲㌹ㄸ㜱㐳㐲晤挶搵昹ㅤ㌲愸摣㐵㥤攷㕣㥤ㄷ〸敦〸晤ㅥ晣㈱攳㍦戳攲摢㐰㥡㡥扤搴愶昷㥢捣挱晢㑡㌶挰㑡愰〳扦㜶ぢ挹晥㔱㘷昰攰㜷㘷㡢㍢搵㤳㘱㡡㝦愱㥤ㄱ㙦晦〷㍢慣㙢㘳㝢㤹ㄶ昷挴㥦㝥ㄱ㐵つ㜱敢慥敤㉦挵㈷㝡挵ㄵ㌷敡㜶㈸㉦愸㘱㜷っ敦㠴㔸㔱㤹攵扤㘶㙢ㅢ㜷搷㙣扡晢㍥㡡㝤ㅡㄲ昷戹っ㔷㙤㐹搵搳挳敢ㄵ戰晢㡤㡣改㝣㝢挵づつ捥昷㘲㠵摤ㅡ㔲㍣㠴㠳㐷〳慣㠲㙢戱㠶㥦㍢㜶〶㍢搴〱敤㥣敤扣㍣〰て㈵戸〶收㡣慥㉤昷愲づ扢戵昹㡤攱散㔲㕤昶戹㝢㤰慦昴㡢㜰㡦昱㌲ㅣ㘵捣㤸㌶㌸㉤㤶つ㙤㡦愶昸㈷捥搲散㝡㥥㤳㥦戰晥㈳㑣慡㍦㈲㤷晥㔷晡㈵㥥收㑦昶㘹收㑣㑢愴㐲ㄱ㥣收愰㜶㤵㤱摦㡣昳㔵㌶捥㐶扥㕢愵㕡昳㤹搸挸晣㠴昵㥦㜹愶㔷扣㌳扤捣㌳扤㘶㥦㘹〸ㄵ㔲㍤㌸ㄳ㉢㐵晤戰㝥㥤攸㍦㈱捤〲搰㠰㝡ㄵ㡣㥢慦晥散㌰㤲挳㡤搰敤㤱㙡㝤㑡㝦ㄲ㔴摢㍥攳㘸㌸ㄹ㘳摥㘷昰㈶㉣攱〸攸㝦攰昴㕥㙦㝥ぢ㈲改捤㙦㐲慡摦〲㤹ㅣ㔴㉣愷㐰摦㘶㐹愱挳捤慤㠸〲㈳搰㜷〸愵〹㐰㐳㐸戳㌷慢㜷摥挴㉥㍦捥㉤㔱ㅦ㐴愶攲㌶愱敤㜹〳㈹愳ㄳ㌲㌴㌰晣㤱㔴晦〰搸慤㙦㔸ㅢ㐴㠷㍤昴㈴愲扢㙣昴㥣㘹挹戸㝡〳㘸搷㔵㘱ㅤ㈶㥡扢㡦戶敤㉥愲㝢㙣㌴㠲㈷愹㕥㜳㙣愳挸昰昵ㄴ愲戹㥢改ㅡ㔰㤳挱戸攷㔶摣摤㈴㐳戰摡㤱っㄲ慤扥㝥〵ㄶ摢晡晡㡦㑥挶㤸㌷㈲散〲㑢攲挰敤㜱㝡ㅣ昶挸戹㉢愴攲挰ㅤ㈰搲㍢㠲挰㠱扢扢㔰㍥捣敥昹㝡慡ぢ摤㤹愸づ挵慤㐱㜱昳ぢ㌸愵攷㘶㍥㠴慡戸搷㘶扢㘲㙦愴㡣摤㈱㠳㥢攱戸㤸晡㉤挰㙥扤昱扥〳愲摦攷愱愷ㄱ摤㘷愳攱戸㠴晡ㄵ搰慥㉦挲㝡㉦愲戹㠵㘷摢摥㠷㘸扥㜶挷㙥挲㠴晡愵㠳㘶㤱挳㝡㕦愲戹ㅢ攸㥥㑥ㅤ〰挶㜳㌳㜷〷㕤搳㉡㐱愶㡤㥢㥦㠴挵戶㙥晥戹㤳㌱收摤ち㈹㔸ㄲ㌷ㅦ㠸搳攳戰摤㥣㠶㔴摣㝣㄰㐴扡ㅦ〴ㄷ愸っ㠴晣愸慣慢昳㝥㘴㔰㤹㜳㤱挸㈱慥㑥㤴昰づ㌵ㄳ扣昸晢愷㌸户攷敦㌸㔵戸㌵㘵晢攴㌰愴㡣㈴㘴攲㤳㜸㑡晤愴挹㈷㈹愲㠷㍣昴㉣愲㌳㌶ㅡ挳㑦㐲㍤〰戴敢慥戰㍥㤸攸㌹ㅥ㥡㍢㙤挶〷㙣昴攰㌴搸晥愱㘳㥢㤵〸敢㐳㠹收づ㥡㙢㐰捤〳攳昹㥢㍢㙡㥥扦戹㈷搵捥摦摦㠵挵戶晥晥㡥㤳㌱收つつ换㘱㐹晣㍤㠴搳攳戰晤捤つ㉣昱昷ㅣ㠸昴㕣㄰㠴昵㑡ㄷ㍡て㍣㜵㘴〸㌹挶㠵捥㈷慡㐳ㅤて㕥摣㝣〷㑥改戹㜹㈱㔵㑥㐲㤶敤收ㄳ㤰㌲ㄶ㐱〶㌷挳ㄵ㘹㜵㑢㤳㉢ㄶㄳ㙤㝡攸ㄳ㠹㕥㙡愳攱收愴扡ㄹ㘸搷㑢㘱扤㡣㘸敥ㄹ搹戶㠷㠹㕥㘱愳㠷㘸晢㐶挷㌶㡢ㅣ搶㉢㠹收㥥㤲㙢㐰ㄵ挰㜸㙥戶ㅣ〶㔸㙣㉤㤳㐱愲㜵昴昸ち㉣戶㜵昳㤷㥤㡣㌱㉦㜹攰摥㡦戸昹㜸㥣ㅥ㠷敤㘶㙥〰㠹㥢㑦㠰㐸㥦〸〲㌷搷㕣攸㌰㜸捦捤摣摢ㄱ攸㐹㠴㥡㌶㤴㤳㈶昱昵㔵㌸慦攷敢㍣昵戸敤㘱晢攳㜴愴っぢ㌲ㄹ㐲ㄲㄹ㜵〵挰㙥攵挳晡㘴愲捦昴搰ㅦ㈲扡㘴愳㌱㠴㐴搵愵㐰扢㜱ㄷ搶慢㠹㍥换㐳㙦㈴扡㙣愳㜱ㄵ㠸慡㑢ㅣ戴敤敢ち搱㥢㠰㜱㑦愷捥〶攳昹㥡ㅢ㌵慥㘹㜵㍥㤹㌶扥扥〰ㄶ摢晡晡㤳㑥挶㤸㜷㐶㕣〰㑢攲敢戵㌸㍤づ摢搷摣㐵ㄱ〷慥㠳㐸㥦〶〲㕦换㜶〹㑦扡ㅥ扣攷㙢㙥㤰〸㜴〳愱愷摢搰㑢㈱ㄴ㕦㝦〴攷昵㝣扤㤱㝡摣㍢戰㝤晤㌹愴㡣㌳㈱ㄳ㕦㈷愳敡㙣㠰摤捡㠷昵㈶愲㍦敦愱㉦㈳晡ㅣㅢつ㕦挷搵ㄹ㐰扢づ〹敢てㄳ㝤愵㠷扥㥣攸㡦摡㘸昸㍡慥㌶㌸㘸摢搷攷ㄱ捤摤つ昷㜴敡㉡㌰㥥慦慦㜶ㄸ㔴ㄶ㕢㑢㘴㔸敤ㄳ㐸㑥㈴ㄹ愶扣づ㡢㙤㝤㕤㜳㌲挶扣㠲攲〶㔸ㄲ㕦㝦ち愷挷㘱晢㥡㕢ㄱ攲挰ぢ㈱搲ㄷ㠱挰搷㌷戹搰㡢挱㝢扥收㉥㠳㐰㉦㈱慡㐳摤〲㕥摣㕣挶㈹㍤㌷㝦㠶㉡㕣㝢摢㙥收晥㠱㜱㈹㘴㜶㐸愷㔵〹㘰户摥昸昹㈸搱㜷㝡㘸㙥㈱ㄸ㔷㐰ㄶ攲㘰㤳㔵ㄶ挰つ㉦㕦㐹昰㕤ㅥ昸㜶㠲慦戲挱㐳〰㥢づ搸㜶昲㌵〴㜳㙦挰㍤㤹扡〷㡣攷攴㝢ㅤ〶㝥〸愸晢挹㈰搱敡攴攳㘱戱慤㤳㡦㜳㌲挶扣捡攲〱㔸ㄲ㈷㝦〵愷挷㘱㍢㤹ぢ㜹昱摣昵㄰改慦㠲挰挹て扡搰慦㠱昷㥣捣㌵扡㐰㙦㈰昴㐶ㅢ捡搵戶㜸㝡〵捥敢㜹晡㈶敡㜱昹㙡㝢㥡㑢㜰攳㘶挸㙣㑦㘷搵㔲㠰摤捡㠷昵户㠸收扡搸㐶㜳ㄵ㙥摣㘲愳ㄱ搰㌱戵〸攸㠶慢㙦㈳晡㐹て晤㌸搱㝣㌳ㄲ㙣㈳愰㘳㙡扥㠳戶㝤㝤ㄷ搱㕣㘰扢愷㔳㑦㠳昱㝣晤㡣挳㠸慦㝦㑤愶㡤慦〷㘱戱慤慦㘷㍢ㄹ慤㙦挶㠸㜰㕤㉣慥晡ㅥ㑥慦敦㈳昹㍥㐸㔸㍤㠷っ㜱搷愱㔰愵扢戸敢摦㠵愷挵㥥㜷㌳㘶㌸ㄹ扣〹愰敦㠷㔲㠴ぢ㘶㌱昶敦攰戰㐶㝥〱㝣摢㐵㤰扤㍡戱㥦昰㙢扣摦㤴换㥥㔰㤱㍦攲改㉥摡慦ㄷ攵敡㔶㕥愱㌰㈲扦㠰改挱挳㝥㔵扣㘱㜴ㄱㅥ㙡挵㈳㝥㜸㔱戲昳㥢っ㍣散捡㠷慥摣挷挹戴㜰㔴㌶㡡㑢慡㜸扥㙣㔲㜱㐱つ㡦捥ㄶ扡昰收扥㍡㥥㌸ㅡ㝤㉦晣ㄸつ扦㐹敡㠴㠳昰戱㥦〱㙣晢㜳㈰晥捥愷昵昱㌳摦昳挱つ㝦戸て㡡〷昹㡣攰扢晢㈹㥡昱ㅦ㘸戶㕥昷攵摡㝤敢戸搴慥〵㔵ㄶ敤㙣晦㌲〴㉦收㤱昲〶㠲搸㔷〳搶昸㌱〸㕦㜰愷愴ㅥ㜸ㅣ㐲㍦〸㠹扣敢㐵㐸㈰挴捤㠳搶㡡昱挷㔹㥣昸〵㕡㕥㤲搹摤捤摡㉥扦晣敥挳摥㑡㥣㌰慢昳㡦㠰㑣戴昲挶㤹〲㤳捡挳㈶㕦晣摥㔵ㅥㅥ戱㐶㑦慥慦昲㕥昶㡥㌹㌱摥㠹愸ㅦ〲㡡愷攲㥦攲ㅡ㤷㔶昵挳㝥㈹搷戲㈲㝤挴㈷㡤晣〳㔲㠹攵㥦㐲慡ㅦ㈵㜹っ㈴慣摥㐴㠶㜴㡣晥㤶㡥挱㤵愷㘴ㅣ攴敦ㄸ㑦㐰㈹昲戶㙢散攷攰㌰敡扦〳㥥㥤挳㜸㤲㜶昱㈳挲㠳晢㘶㕢㜵ㄳ㉦昶昲㝣扤㐹㕥愴㈶㈵搷㑦ㄳ㐵㕦㉢づㄵㄸ攷挲晡ㄷㄴ㉤〵㘳晢ㄹ㙦戵戵㉤㙡戶㘱㔰敤敤搹挱扢ㄵ愹㐳て攸晦愶㤲搸〹搲㄰敤㍣摢㘲㠷换㕥戶㤹摢ち捡㠰㐰扣昳ㅢ㈴㤰㘱㝢㤲㉢㔸㤱晥搶㉦㥤攲㑡㥦昳㐹㈳摢㠳ㄱ㑦㍥㡦㠴晥ㅤ挹ぢ㈰㘱挵㌵愴㌸㙣攷ㄶ㑦敥攸㘶散攴昷攴㑢㤰㐶戸挴ㄴ㘳㉦㈳〱㑦敥㡣㉦㝡搲愹昷㜶㙥扤敦扢敦扥㐶扤㕦〱挸愹㌷㍤挱㝡扦㑡㤱捦㝦扢㠲㙦慡昷㔴〸愴㠶㝦㐱挲慢㌷㤷㤴㈲攵㙢户㍣改扥慥昴㝦㝣搲〸㔷㜴㔲搴搷㤱搰㝦㈵㜹〳㈴慣戸愸㤳㝡㜷戵搴扢摦捤㤸攴慦昷摦㈱㡤扣ㅦ㐴㡣晤〳〹搴㍢㡡㉦㕦扤㍢摣㝡扦ㅣ摦愵㔱敦户〱㙡愹㌷㡤昸敢捤昵㘰㔳扤㔳㄰㐸つ㠳㐰㝡㌵㍣搸㤵㜶昸愵㠷扡㔲扣㉣摦挳㐶戸戲〲㡦搷㙤㠱㙡㠳㘴ㄲ㐸㔸㜱㜱㈵昵晥摢㍦㥡㉦㈹㜳摤㡣㌷㥣っ戹愴㠴愱ㄴ攱摡ぢ摦昸㜱ㄷ㈸敡捤㔵㤷慦摥慦㐱挱ㄹ㥢㝣晤㘵ち戰㉤昵㡥㔰攴㙢敦㠵戰搳㔴敦挵㄰㐸扤户〵搲慢㌷搷㕡㈲摤捥㉦㕤改㑡户昷㐹㈳㕣敡㠰て攸ㅤ㐰昵㡥㈴㍢㠱㠴ㄵ㔷㍢㔲敦摦户搴晢㐴㌷攳〵㝦扤㜷㠵㔲㠴㡢㈱㝣〷㌴㕦ㄴ㠸㝡㥦〴㕥㐶㡣摤挱晢㐷㡣摦㝡ㅥ昰㡦ㄸ㔳㠹㙡ㅥ㌱晡㈸昲㜹㠰㙢㉡㥦㈷晦换戵昳挸愷摣〷㡦㌰㘲㑣昳散㜸㈳挶扥㉤㜶戸晣㙡昲㈴㔷㔸攲戳晤㠰昴㍣挹㤵㤴㐸昷昷㑢㉢慥昴〰㥦㌴戲ㄶ㔲昰昸㐹ㄶ愸㍥㤰攴㈰㤰戰㕡㠷っ昱攴捦㕡㍣挹昵㡤㘴㍣收昷㘴ㄴ㑡ㄱ㉥㜵昰ㅤ搰㌱㔰㜸㤲㡢ㅣ昱㘴ㅣ晣ㄴㄹ㝢昱㝡㠰㔱扥㤱㘰〴慦攰㜷摤㄰昰扢㌳〹㘸㡢㍢㔳ㄴ昹摣㜹扡㘳搶ㄹ㠸ㅥ㜰敤㕣㔷㌲ㅢㅤ昲㘰捦㡥攷捥て戴搸攱ち慢挹㥤㥢㈰㄰挷ㅤち愴攷㑥㉥㤶㐴㍡搳㉦攵愲㐸愴㠷昹愴㤱㑦㐱ちㅥ户㐴㐰昵㙣㤲㐱㤰戰扡㄰ㄹ攲戵㝢㕢摣挹㈵㡣㘴摣攳㜷攷㕣㈸㐵戸㥡挱㌷㝥昷〴ち㜷㜲ㅤ攳ぢ愳㍢摣㝡愳㍢㌶敡扤㄰搸㤶づ戹㠸㈲㥦晦戸攴㘹慡㌷㔷㌵㔲㤷挵㐰㝡昵收昲㐵愴㑢晣搲㙢㕣改㔲㥦㌴昲ㄵ㐸挱攳㤱㙦㔰扤㡣㘴㌹㐸㔸㜱〵㈱搵晢㝡㑢扤戹慡㤰㡣ㅢ晤昵㕥〹愵挸搷㕣㘳㐷㠳㐳扤㙦〰㉦㘱㜴っ昸㌱㘱㜴扤攷〶㝦ㄸㅤぢ愸㜱ㅣ㠸捣㤹攴㕡㡥攲攸攳㈱昱扢㠲ぢㄶ㥦㑢扦攸摡挲㤵扣攱搲㤳愸搴㝣㉤捦戵搸攱摡愶挹愵㕣扥㠸昳ち㐰㝡㉥扤捤㤵㕡㝥㈹㤷㈳㠲㉤晡愵㕣㈵㠸㠳㉥㜷ㅣ昴〱昸户㉢㘸愸晢摣㡣换㥣㡣ㄹ㤲㠱晦㔲挲捤昸㥣㤳㌱㤳㉤㜲ち㡣昶捡㥡〱摣愴挷搰ㅢ愶㜵㙣〸摥ㅦ晣慤㡡〴㕦戵㙢㠹戹捥㍢〱㈸攳㙤ㄹ㈱慥㈷㕡ㅦ㤱昰捤㠲㝤て㉢昰㕥㥤㉥昳晤㕣㥣㄰㠷换扣㠵㈳昷㍥㡣㌲㕦㕣㌳扡㡤㠳㥤敥㘱戶昵㈴ㅥ㜶㡡㈷ㄲ㥤㕤散㜷㑤昰㝤攸㠴㑣㙦ㄸ摤愱㌵㐷昰愸ㅢ㡥㐰㘰慦昱㙦捣戸〵攴晤㤷㉥戵挵挰㉥晢搵昴慢㘱㥥㥡㑡㝢㈹㘱㐳㥣㤴㙦昱㙡㠱昱昷㉥㥦改ㄸ㐱〱搴㠳㙣ㅣ搸搰㘵㜰㙥㌴昵㜲挲㑤㘹ㄷ扥〳扤㥣㘸㌷戸㐷晣㥣攲挴㕡㘲改㤲㤶㔸攲㘴㕢㌲㉥㙥㠹㈵㑥挰㈵攳㈲㝦㉣㥤㡡搳昷捡㌴ㅢ㘷㤴㔸㝡扤㘳愳挴搲搲攰搹㝣㐸㥢㙦っ㐴㌱㍡昰摤㠹攵㍢㡣㌰㥥㜴搵昳愲㤷ㄲ㉦㉡㑥户改㐹㕤㘳㌵㝦㠱ㄴ慢愰敢攴㤰㤰扦晦㜶㌱㙢㈹㝤搶挵慣〳攷戹㠲㌳㘶㠲㙤㔷㜰愶摣攰㌸㐳昶㌸挵㤹戱㔴散攳㉤慥攰㙣㔹㌲捥㙢㜱〵㘷搰㤲昱㌱扦㉢㑥挷改㝢㘵㥥散扡㘲户㡥㜳挵ㄵ㤳搰慤㍡㜱挲㄰㕣搱〹㔷㠴攸ち捥愱挵ㄵㅦ㠲㥥ㅤ㔰㕥捡㜶挵㉢㐰㠸㉢㌶戲㥡㥣㌴戳搰晡っ㝦㌵㌹㐱昶慡搲换㠹㜱㠳攳㠴搸攳ㄴ㈷挲㔲攸㜳㕡慡挹挹戱㘴㥣摤㔲㑤㑥㤸㈵㘳㤳扦㥡㘷戳㥡㌲㉤㜶慢㜹㠷㔳捤敢摡㔵㤳㔳㘶愹收㌹㕥㌵扤㤴㕤㑤㑥㤴愵㥡攷戲㥡散扤㔲捤て㈳攱戵㘶搰㤱摡慤挹㜹戰㔷戱㕥捥㝦㍤㑥㜱摥㉢㠵晥㔰㑢㌵㌹ㄷ㤶㡣搳㕢慡挹昹戱㘴㙣昰㔷昳㍣㐸㝢㘵ㄶ散㔶㜳愷㡥㑤挱㘹挱ㄳ㔵〷慡挹ㄹ〴晦戳㠰㈰㕡ㄳ晦㕤ㄵ㙥㈸〲㉥搵晣㌸ㄲ㜶㙢㝡㈹扢㥡㥣ㄷ㑢㌵捦㐷㐲㜱㑡㉣搵晣〴ㄲ㕥㌵户㜵愴㜶㌵㌹敤昵㉡搶换改慥挷㈹㑥㜳愵搰昵㤶㙡㜲敡㉢ㄹ戵㤶㙡㜲㍡㉣ㄹ㔵㝦㌵㉦㠴戴㔷㈶扤㙥㌵㕦改戸㔸㠲㜶摢攰㥤昲戴㙡て慡搹㡤㙡昶戰㥡㥣㄰㑢㌵㉦㐲挲慥愶㤷戲慢挹挹慦㔴昳㘲㈴㔴ㅦ〹㉣敢㑢㥣〴ㄹ挵㠹慤㘰㍥㑤㈹攷戴㠲昹っㄲ㥥㉢㌸㝦昵慡摢换㜹㙢㠳㍢挰捦愹改攰愴㘲慢㕢㕣挱戹慢㘴㥣搲攲ち捥㘷㈵愳攴㜷挵㘵㤰昶㐶㐱㈲慥㉢㕥㜳〲㕢〵ㅦ㔱㘳晡㉦㘷戴攲㡡换㤱戰㕤攱愵㙣㔷㜰攲㉡搵扣〲〹挵㌹慢㔴昳昳㑥㠲㡣㍡搸挵㕣㐹㈹攷愳㠲昹〲ㄲ㥥㉢㌸昷㙣㔴㥥㜳捥〶㜷㤸㥦㔳戳挰㐹挵㜲㉤慥㤸敤㘶㤸㉤慥攰㕣㔴㌴㑥昲扢攲㡢㤰昶捡㡣搳㜵挵㙥ㅤㄷ㝡㐳㔹ㄸ愷敦㐶㔴㠴ㄱㄵ摤㡣ち捥㐶挵ㄵ搷㈲㘱扢挲㑢搹慥㔸㠸っ㜱挵㜵㐸㈸㑥㍦愵㥡㕦㐲挲慢㈶愷㥡㡤㡡㜱㡡搹攰㤶晡㌹挵㈹愵ㄴ晡戸㤶㙡㉥㜳㌳㡥㙤愹㈶愷㥥愲昱㐱㝦㌵扦ち㘹慦㑣㌰摤㙡敥摡昱〹愹愶㠱㍥摥㠵搳昳昵搶㕤愸愶㘶㌵㌹昹㤴㙡㝥つ〹扢㥡㕥捡慥收戱挸㤰㙡摥㠰㠴攲搴㔲慡㜹愳㤳㈰愳㑥㜲㌱㕦愷㌴攷㘲㙥㐲挲㜳㐵挱㤱㜶㘱㘸っ昴㜲㙡搸㜰〵愷㠴つ敥ㄴ㜰㐷〳ㄴ㕣慦昲㈷ㄵ㑥㍡改㙦扤㥤㝤扢㜶ㅥ㜳㔸捦攵捦㍥昸㥢㑢㥥㌸㝥挶ぢ㙦㕥㜹攵ㄳ捦㕤昲搰㥢昷收㘶㍣㜰敤戵昷㉦扣晡愱摦㙣㕢扣㈶㜸晢摦ㄶ㕤戳㌱戶㝡攳愹挵愳づ㤸户昱㠳愷ㅣㄹ㕢扡捤昴㡥㡥㐹㤳摥户摤㡦㜶摥㉦戲改搴㍢搵昷㥦搹㘹㌴戴ㅡ㈷搸㠲㈹ㄲ㑢昴㉥攷㌳摦㘰㠵㘴㔲〳ㅢ晡㘶愷㝡昴㐵㠴㤳ㅢㅣ㜸㔳〲愸晥ㄶ挸攴㘰敦愹昸摡㥡㔵㔶㥣㤱戰摡晡摢㈰㑡收㈱㉣挳㉤攰摣㑦㠴昳ㄱ昲晡㔶㔰慣㐸㘴㈶㐲晥㌶昰㜴㠶㤴㥦㌳ㄲ㐱摤づ慡敦〰㐱昹㑦挷搷㔶㉤㍦愷ㄱ㔲晥㍢㤱㔰㌲㜹㘰挹敥㈲㠷〴㘳㉡挲㐹〴㡥㠰扥ㅢ㔴摦〳㠲㤲㥤㡤慦慤㕡戲㜳㜰〲㈹搹扤㐸㈸晢㝡㡦搳㝦㠷ㅣち㈳㍥晢㌰ㄸㅣ〱晤㕤㔰晤㍤㄰㤴㡣㔷攳慤㕡㌲㕥慣愵㘴昷㈱愱捥㈷㘱ㄹ扥敦㈴愴㘴㥦〰㠳〳㙦㠸〰搵㍦〴㐱挹㜸〱摤慡㈵攳昵㔵㑡㜶㍦ㄲ敡㘲ㄲ㤶愱㈹ㅡ㜹㜵挵㠱㡤㔸㔰㐴攳愷㕤搴〳㑥㐲捡捦敢㉢づ摣㍥〰搵㍦〶㐱昹㜹搵摢慡攵攷㐵㔱捡晦㈰ㄲ敡ち㤲㌱攵攷㈵ㄱ〷摥㔷〱㡡昲㕦改愲ㅥ㜶ㄲ㔲㝥㕥ㄴ㜱攰㍦慡〰搵㍦〵㐱昹扦㠸慦慤㕡㝥㕥挹愴晣㡦㈲愱攴晡挵㌲㍣㐶づ〹㈹ㄹ慦㘳㌸昰㍦㘳㠰敡挷㐱㔰㌲㕥㕤戶㙡挹㜸昱㤱㤲㍤㠱㠴㤲㑢づ换搰ㄴㄹ㌷㈲ぢ〷㝥㑢っち捦捡㐵㠷晣㔳搴㐱㐲捡捦㡢㡦愰㥥〶搵捦㠰攰昶慥㡣换㠴晥〲㍣愱晣㡢㜰㝣挶ㄱ搰扦㈴慡㐳㜱㘴㤶㉢敢㌴攷捡㍡ㅢ㤹戸㜴㉡㡥搶㤲戱户㤳挱㘹㤵晥㙦㐸㤵㡣慢攴㝥㐵づ〹戱散㤶㕢㜱㐸ㄵ捤扥㘶㤳ㄱ㡥慤㌸昰ㅢ㘳㔰㥣㥢愳慡〰愷㌶〳ㄵ㐷㕡挹搸挳㝦敥攷㈰㔵㌲㈶搲挶昳攴摣㜳㜳㙣挴㠱㍢㈴愰戰捣㔱㔱っ散搲㘲㤹㈳愵㘴散散户晣㈲愴㑡挶㌴摡㜸㠹㥣㙢㤹㘳ㅢづ晣攷㈰愰戰捣㔱㑤っ㙣摦㘲㤹㈳㥤㘴㙣攷户晣ち愴敡㍥ㄲ摡昸㤳㤳㄰㝦㜱㙣挲㠱㠷昷㐱㘱㤹愳㤲ㄸ攸㙤戱捣㤱㑡㌲愶昸㉤扦〶愹㤲㌱㠵㌶晥㠷ㅣㄲ昲挷㔱㐴ㄴ扡㥢㉤㐵㌸㥣攰挰つㄵ㔰㥣㤲〳㠹〰㜵㌳㔰㜱㜰㤱㡣㉥晦㈹晦ㄷ㔲㈵挳〰㙤晣㥤㥣㝢㑡㜶㝣㔱〸㌵㕢㡡㜰〴挰ㄱ搰㙦㠲攲㤴散晢〲散㘸〶㉡㡥〷㤲ㄱ昴㥦昲ㅤ㐸㤵昴㕣摡攰慦挸摣㔳㐶搸㠳㜱㘰㙥〷㈹㉣戳敦㡡㠱户晦㙥摦㈱㜱㈳㤹晤㔹㌲摥㜲㌲㈴㤲㍢㘹㑢㝡ㅥ㙤㠴㝣㤶ㄵ晢㥡㈸晣扤搹㔲㠴㥤づ〷敥挹搸愷㘴㜷ㄳ攰摦㥡㠱㡡㕤㔰㌲摥昰㥦㌲っ慤〸㝢愳搸攸ㄶㅢ㈱昶挳〹㕥㘲摤戸㐹晤晦挵敥㕣て㥣㐲敦㈸敤愵㠴㔵ㅣ㜸㘴㙡㍥㤹㑥攴挰㐳戹㥥㈲㑥㔴ㅣ㔰攸㐸摤敢改㝢㈹攲㤴攲攰㈱晡ㄱ敡㜳昰愰㕣㙦㘳敢㜳搸㄰晤㙤㍤㝤㉦㐵㥣㔲ㅣ㈲㐴㝦㍢敡㜳㠸愰㕣㙦㙦敢㜳㜰㄰晤ㅤ㍣㝤㉦㐵㥣㔲ㅣ〸㐴㝦㐷敡㜳㈰愰㕣敦㘴敢㜳〸㄰晤㥤㍤㝤㉦㐵㥣㔲散敥愲扦ぢ昵搹摤㈹搷扢摡晡散捦愲扦㥢愷敦愵㠸㔳㡡㝤㔷昴㜷愷㍥晢㉥攵㝡て㕢㥦㥤㔳昴愷㝡晡㕥㡡㌸愵搸ㄱ㐵㝦㑦敡戳㈳㡡㝥㥦慤捦㉥㈸晡晦收㘴㈸敤愵㙣㝤㜶㌷搱摦ぢ㠹〸扢㥢攸敦㡤〴晡㉥晢㤳攸㑦㜳㌲㤴昶㔲戶㍥晢㡥攸敦㠳㐴㠸㝤㘷㠲扤摡收晦愷㠱㑦搳㑣㉥摢慦㘱㤷敤㙣晣昷㥤摣㐳ㅥ扢挱扤㉤挵搳㥢愰㘱㕢㐴摡㙢㈷扤㥤敥㙥㈷㡢㕢攳晦散㌶㌷㌷慤昸㠷㝢ㅡ㔳㈷摥改收捡戴㑢㙤ㄹ捡搹攲摥ㄷ摥〹昳昹ㄱ愵ㅢ㐹攱ㄵ㝢㤵捣㌹摥㠷㠴㘲㕦攲㜸敡扤㔹㐸〶㔷昶㈹㍡㔸敦て攲搸㘹㈴㙤㍢散㕤㘲攷〰㈴ㄴ晢㤴搸昱收〰㍣㌹晢㤶搸㌹㄰〹挷㑥㈳㘹摢㘱㉦ㄳ㍢〷搱〴晢㔶㤳ㅤ捥㙥ㄴ晢㤸搸㜹㍦ㄲ㡥㥤㐶搲戶挳摥㈶㜶愲㌴挱㍥㈶㜶㘲㐸昰㈳昵㘲㕦ㄳ㍢㜱㈴ㅣ㍢㡤愴㙤㠷扤㑥散㈴㤰㔰散㙢㘳敤戰捦㠹㥤〱㈴ㅣ㍢㡤愴㙤㠷扤㑦散愴㘸㠲㝤慥愹㕥㔲ㅥ昶㍤戱㤳㐱挲戱搳㐸摡㜶搸ぢ挵㑥㤶㈶搸昷挶摡㘱ㅦㄴ㍢㠷㈰攱搸㘹㈴㙤㍢散㡤㘲攷〳㌴挱㍥㌸搶づ晢愲搸㌹ㄴ〹挷㑥㈳㘹摢㘱慦ㄴ㍢㝣㈳戸㘲㕦ㅣ㘳愷㤷㌱挷㐵慡㘱晦㠷㈶㜷昱愶ㄵ㍥捦捥挴ぢ搴昰昹挳㑣㈵挱〷㤱㥥攵ㄸ愰㤱㕥挶搸挴㝡ㄲ㙣搴㥢敤搷㘳㑣㑤慣㈷挱㐵扤㐱扦ㅥ㘳㘸㘲㍤〹㈶敡つ昹昴㈲㙥㔰昵㌲㜸㈶㌶㈰㔱㐴〳㜳㝣〶㝡ㄹ㉣ㄳ敢㐹搴㔰㙦慥㕦㡦挱㌱戱㥥㐴〹昵收昹昵ㄸっㄳ敢㐹㔴㔰㙦扥㕦㡦㡤㍦戱㥥㐴〱昵ㄶ昸昴㈲㙣㔵ㄹ摤ㄷ㈲㠱㠷㌴搹㕡挲ㅦ㙥昳㙣〵攱ㄷ搹㍣扤㉢晣ㄱ㌶㑦㘷〹扦搸收改〴攱㤷搸㍣㉢㈷晣㔲㥢㘷愱㠵㍦搲收㔹ㄸ攱㤷〹慦㔸っ〹散攵㐸㌸㠱摤㐸摡㠱捤愲〹㘶㐵〳搳㐸摡ㄸㄶ㔷㌰㐷㌵㌰㡤愴㡤㘱ㄵ〴戳戲㠱㘹㈴㙤っ慢㈵㤸愳ㅢ㤸㐶搲挶戰慡㠲㌹愶㠱㘹㈴㙤っ慢㉦㤸て㌶㌰㡤愴㡤愱㑢〴㜳㙣〳搳㐸摡ㄸ扡㐹㌰挷㌵㌰㡤愴㘰㝡改㉦㠹〵户ㄳ愳搵昱㜹㜶愶摢挹㝢改慤㠹ㄱ昴搵挴〸㝡㙡㘲〴晤㌴㌱㠲㕥㥡ㄸ㐱ㅦ㑤㡣愰㠷㈶㐶搰㍦ㄳ㈲扡晦ㅦ㑥戹㑢愹</t>
  </si>
  <si>
    <t>㜸〱捤㕣〹㤸㈴㐵㤵慥攸敥捡慥愸敥㥥㉥ㄸ㠶㙢㘰㘸㜰㠶㙢㥡愶敥〳戶敤改㘳㉥收㥥㥥㠱て㄰㥢慣慡慣改㘲敡ㄸ慡慡攷〰㕤㤰挵ㄵ戹㔴挰㕤㘴㍤㐰㔰ㄱ㜱昰晡㐰挰㘵㤱㐳㔱㔱㐱〵慦㐵㌹㐵〵晤挶〳ㄴㄵ搹晦㡦捣慣捥慡捡敥ㄹ搰晤㍥㜲扡愲㕥扣㜸昱㈲攲㝦㤱㤱敦㐵㐶㡤㐷㜸㍣㥥搷㜰昱㥢㔷〷㠹挳挶㜷㔵㙢㐶㜱㘰戴㕣㈸ㄸ㤹㕡扥㕣慡づっ㔷㉡晡慥搵昹㙡慤ㅤ〲摡㐴ㅥ攵㔵敦㐴㌵㝦㥥攱㥢搸㙥㔴慡㄰昲㝡㍣㍥㥦㙣㐳戹捦晡〴散㡣㘴㉤搹挱〴㔲ㅥ愹㌱改㘴㐲㔱㈹㤹昸㤱㜴㜷㈱搹㌴㍡戲㉥㝤づㅡㅥ慦㤵㉢㐶㝦摦愹愶晡挱㔰㘸㈰㌴㄰㑥㠵攳〳挱晥扥搱愹㐲㙤慡㘲っ㤶㡣愹㕡㐵㉦昴昷慤㥦㑡ㄷ昲㤹㔵挶慥㑤攵慤㐶㘹搰㐸〷㈳㘹㍤㥡っ㐵㘳戱㕣㉡㤵散敥㠶收戵愳㈳敢㉢㐶慥晡捦搲搹㐳㥤敢㐶㐷〶搶ㅡ戵㝦㤶捥㌹搰〹㤵㘳攵愲㥥㉦晤㤳㤴㝡〹㝦㙣捣挸攴㘹㈷挳愸攴㑢㕢〶搰敤〶愰㤱㑢っっ㔷慢㔳挵㙤㌴昹愸㔱㈸㙣㌴㜲捡㍥挵戱㙡㙤扤㕥㈹㔶扢㡢挴捦愸ㄸ愵㡣㔱㥤㔳㕣扡㌳㘳ㄴ㉣挱慡慦㜸慡㕥㔹慢ㄷ㡤づㄲ扤㐵搳㠶㉢戳㐶愹㤶慦敤敡㈹㙥慥ㅡㅢ昵搲ㄶ㠳㈲摥攲昲愹㝣㔶㜴㜴攰捦搳㝥㡣㕢捦㤴愱搰㥦攲攸愴㕥愹愹ㅣ㑤ㄸ㜲㤳㜵㑣ㄷ㌵㡡㠶㝥㜱㑡昵㌵搵愲捤挶昳挵㔵㐶愵㘴ㄴ搸〸㉤戹戸㐹㐸〱㘴摡愱㡥㤴㍤ㅣ㕡㐹㜴㔹昷〹挷挲㔶戴㕥㈴晤慢换㕢搶㤶㉢㐵捣挹挱㘰晦㘰愸㍦ㄴ㕣㌴ㄸㅣ㠸㐶㈲晤㈹㐵挵㈱㤱搱〹昱㘰㔰〶㔰㐳敥挷扡晢㈳改ㄸㅣ〹㐵攵㕣昲づ㐰㈲㍡㕥挰慤搹摣㑡摢㠴摥㌶㤱㙥㥢挸戴㑤㘴摢㈶㡣戶㠹㕣摢挴㤶戶㠹挹戶㠹㝣摢挴㌹㙤ㄳ㕢㔱搳扥㝣㥤㥤㙤搶戵㍣戶攱挸搵㍢㤷慤戹昱昷搹㔷慥扡攵㔳〳㠲㜷愳扡㤹て〴㌱戰戹㤴捦愱搷攸摢攸㔴つ晤つ〶㠳愱晥ㄵ㜹㘶㐲挱晥㌵昹搲㘰㜸㈰摣扦㐶摦挹敦㤰㍣〸㜵攴挱㐸戴㐳㤰ㅣ戸㉥㕦攸㍢戵㕣㤸㉡ㅡ㝤换昴っ㙥摢晥扥㤱㜲㕥ㅥ㑡愹昹㐸㠴㜸ㄶ㈳攱㘸㜶扥攵戲㈳㝥㜲晤捦㑥戹㈶㜱攴㥦扢㜲㍦㍢㔸㜰㍤㔰摤㌸ㅣ挴㈸ㅡ㕡扡戳㔶㌱㡡㐶晦敡晣㔶愳㤰㌷慡散㑤㌸ㄶ㡣㐵㈳挹㜰㈸ㄵ㑢㐶㐳昱㐴慡㝦㍣愳ㄷっ昶㌳ㅣて愵愲昱㘰㌰ㄹっ㠶愳挹㜸㈲㈹ㄷ戰搵㈳㤰㘸㝤㐸㝣敢换㤵㜲ㄵ㌳㔰ㅥ㐹晥㔱㐸㠴㜸挲敡㑤收摢㜷晥㘱攸戱㕢挷慥㍥㜲㘸昴愵㐳㕥㕥㈵戸㌰愹摥㉣〴ㄱ㙣㌰㈵敤ㄸ〵㉣戸㤴㈵㐳㘸㔱㘵ㅣ收㕣挴㈶㡥㐶愲ㅤ㠳愴㘳戸㘲攸昲㔸昲㡥㐳㈲挴攳㔶戳摦㜹㝡挹㔵㕦晢昱改愳㥦㜹㘵摢慦捥扣晥挱〵㠲㑢愱㙡㜶㌱㠸攳ㅡ㥡慤捦愰㜰搸㙣搶㌹㝤晡愹晢〴㈴摡〰ㄲ㑥㥦㠸㍣㤱扣㈰ㄲ㈱扥㙢戵户攷㤳㠵敢㝥晢搸㑢愷扣攷摣㑦㍦昴昵挳慦㕤㉣㜸㔷慢昶挲㈰㑥㙣㙣て㔸慡㌹ㅢ挷㘲慢㕡㡣㈵攳〳㈱㘷慢ㄱ戶㄰㐵愲挵愸㘷㜰㈴㈹攳㘴㈵㤰〸昱㤰搵攸〵㠳ㅦ扦攵㌳㔷㉤㕡㝡换摡ㅦ㡥㠷敦敦㍦㐳㜰㤵㔷㡤愶㐰㐰㥦摢㙤ㄲ㌲㥢っづ㠴㤲捥ㄶ㑦愲晡㤳㤱㘸晦挲㘴戹㕥敤摢戸㑣づ㤲晢㔶㈴㐲㝣搵㙡昴晢戱昹敢扥戱散摤㉢㉥㐹晣㘶搵晤慦㍥昸㔷挱愷㡡㙡㜴〹㠸㐶㘴㤵㐱㌹慢㜹㕦㐶攳〳つ㌷收㌰挴攵〸ㄲ㙤ㄴ〹挶㤸㤰㘳㘴㉤㐵㈲挴㕤㔶㜳〷㕦昴搳摦晡㈳慢搷㕣㔳づ㉦㔸㝦摡〷㝦摥扤ㅣ挵ㅢ慣㘵㘱慣愲敦挰㐲㍢扤㠶㠷〷㌰㕦昷攵攱㠵㘷㔷㉥㤶㑢攴㐲愱㙣㉣愸㐷㜴㉦㤷㠹㝤㕤㈵㈹摢㥤㍢㉤㕦捡㤶㜷愸㘵昳戰ㄱ扤㙡㑣慦愲㡢慤戲㤱昲㔴㈹㕢㥤敦㕥㌸㕥搳㙢挶愱捤㘵搳㑡㕡慡㡤攳愱㘲㔴㔵㝢ぢ㥡慢㥤慡ㄷ愶㡣攱㥤㜹戳昸昰愶㘲㍣㔲捡改㤹㑢㤷㔵㡣㜳敢愵㉤㍤ㅡ㠶㝢戲㕤改㙥ㄹ愵㔹㘴昶慢㙦㜴戲㕣㌵㑡慡㝢㡢㡢敢昳㤹慤㐶㘵摣愰㜳㘳㘴搵㔰攷戱挸㝡慥㉤㕥㔷挲㐰昱愴捡ㅥ攵攴收戰㌰ㄹ愵慣㤱㐵㝦户ㄹ㤵摡慥㑤㝡扡㘰ㅣ搸㈰㘲戶㠹㠲㐳ㅡ搸换捡㤹愹敡㘸戹㔴慢㤴ぢ㡤㈵挳搹敤㍡㥥愵搹㌵攵慣㠱㐷㘱〷㉦㡦昰戴户ぢ攱㌹摥敤㜹㐴扤搵〱㘵〸㠷㠹昹㘴㍣戸㜱摡つ㙣挴攸㌰㡡㠲挱㌹搹戶㜰㉦捡㤴㕥慡㌹㙥㘶㐱挷㤸攸〹㔲晡搸㤹愵㔵ㅦ敢㤶晢晦ㄵ㙥㙢㥢㙢㡤㝥改㜶昸ㅢ㉢昴㔲戶㘰㔴㘶昵㘳〵㝢㈴㔷㈰昱摥㠱扢㜹㐶昴昸㤸ㄴ㍢挵㉥敦㡥㝣戶㌶愹㑤ㅡ昹㉤㤳㌵昰攰敢晡㝣㠴戶攵㤲愷㠰㈵㔷㌱㔹㡤挴敦昷㘸㙢㈸愴昹攵㕡㌳敦攵ㄳ晦昵㝢㌲昴愶愵昲㥣攰收㔶扤挵㘵攵㑡戵扤摤㙤㤴㉢昴敡㘴㡤搳㜳搶㐲晡㉣㜲ㅤ㤳昵㐸扣昴㍢昶敡㈸搱挵改愰㍦搸㔳ㅣ㌳㜲㍡扣㜰㜵㜷ぢ摤㕢㌴ㅤ扢㌱愳㥡㤱昴〰㔷攲㕥搹愹㠱挲捤摦㕤攴散㌷㜶搶挶昴㥡摥㔹㠴㉦〹㉢㐹〸㉤㔶戵㑣㡡㌵㝢ㄴ捦慥敤户㜲搰㄰㔰愴㐳㑢㤷㘲㤸㥡㜰攳攰㝥昱戴㕢改散㠳㘰摦㌱〸慤㜹愲㌷晡㠴㜰㔵戳换㡤搲愶㕤摢㡣㉡挵㝤摡慣㔰㌶摦㕥㔴戶㉥㤳摥㕣换ㄷ慡〳攸改昲㑡㜹㙡摢㍦㔳て㜵挹つ㐸散换扢ㅢ戳㜸摦挷挴㌸慦㜳㍢㙤㌳㌱攱昱㔱ㅢ㌹㤲㕥愸㕣㠳〴捡㕥挳㤷扡攴㘶㝣昹㘷㉢昳搲㕤㝤㍤晥㌳扤扥敥㈲㄰摡㔴㌱㔴㐴攰㔳ㄹ愰摤㔳㍣慤㕣搹㥡㉥㤷户㜲㍥捤㔱戹敡愴㘱搴㤴㤷㙤㐵ㄵ㉡㝡㄰愲扤扤挱㌹㜶戸攳昴捦戵搳㤱昴っㄷち㝤戶挶慡㜶〶㔸敤昰昷戵㌳㐱っ〵㠳〳㝤敢搶慤㕣摦㜷㐲摦㐶愳㙡㔴戶ㅢ㔵㤰愶㈳㕢慢攴㌳㝤㙢㡣摡㘴㌹ぢ摥㘸〵㈱戱㕥攸ㅢ搱愱㙥摤敡戱㠱㥤㠵㙡㔱摣〴㤰攸搴扥晦㤴摦扣㝣捡ㅤ㘷㉥扦㙤搳〵㌷晦敥捥㑦㕥㉣㙥戴ち㕡㥣㙥晡捤㝣㐰换户㈳ㄱ㌷㐰㡣㡢て攸挶㑢㥥㡤扣搴㤹愴㤱㘰〹㔱㐶挱ち㤲㌵戳㠲扥㌷㔷ㄱ㘹㌰挹㈱ㄱ昴戶㔵散戰〵㠴㝤㠹㙢愱㥦㔳㐳㤹㤷捥㝡慢㜹ㄹ㌱昸攵㉣㘵㠲㍥㍣㑤㉣〹愹㈴㠸㤲〰㡡㉢愱搸ㄵ㠰㉢慣㠲ㄶ㜷㥦捥戹〲㠰㙢愸戸っ㘲敥〰㙣㘷ㅢ㍢㤸散㐴攲〰攰㍣㌳㉢攸攰㉢〰捥愷搰㍢㤰㠸㈳㤱㈸〰摥〹挲扥挴㐵㘸愳づ㐰ㅦ搸慤〰扣ぢ㕣扦㥣愵㑣㌰㙣㜰〳㘰攷㑣〰散戰ち㕡㈲っ㠶〸ち㠰㑢㐱㠸㈹ぢ㠰扦㈰挳捦〳㔸攳㥦㔱愶扡ㅣ㌹㜹〵㤳㉢㤱㌸〰㜸㍦戲摡〷挸㔳㑦搸㍥㉥㔱㝥㈱ㄸ㜵㈸㍣慥〲㈱慦㐶㈲ㄸ㜹㈸㍣慥〱㘱㕦㘲慢ㄳ㡦㘳挰㙥挵攳㕡㜰晤㜲㤶㌲挱㜸挶つて㝤㈶㍣捥戶ち㕡㐲㥦㝥㘸㔲㜸摣〰㐲扣摤挲〳㜴攳㈵㙦㐴㕥摥挴攴ㄳ㐸ㅣ㜸㝣捡捣㡡ㄳ昰慤〰戸㤹㐲㥦㐶㈲ㄸち㈹〰㙥〱㘱㕦㘲戳ㄳ〰挶㑤慤〰散〶搷㉦㘷㈹ㄳ㐱㐸戸〱戰㙡㈶〰㑥戱ち㕡㘲戱〸㌴㈹〰敥〰㈱㔶捣〸挰㥤㈸㤶㜷㌱戹ㅢ㠹〳㠰晦㌶戳㈲㡡㙦〵挰㍤ㄴ晡ㅦ㈴㠲㘱㤹〲攰㕥㄰昶㈵㠶搰㠶㝤㐷㘸昷㠱慤㐲戸㤶㔵晦〱㤴昸㈵换㕢〱㔲㘵㠲〱㥦ㅢ〸㌱㙢慣㉤敢㘲搴㉡㘸㠹つ㑦㠲㈶〵挲户㐱㠸㌰挴摣㤷㠵敦戲㌷㡦㌰㜹ㄴ㠹〳㠴敦㥢㔹㜱㌲扥ㄵ〸㍦愰搰㘳㐸〴挳㐴〵挲攳㈰散㑢ㅣ攷〰㐱㌲慡㙣ㅤ攴㑦挰昵捦㔶㈶ㄸ㝣扡〱㜰㠴㌵捥ㄶ〰ㄶ㔸〵㉤㜱敡㌰㌴㈹〰㥥〱㈱づ㠳㤸㍢〰捦愱㔸晥㠲挹昳㐸ㅣ〰晣捡捣㡡ㄱ㝣㉢〰㝥㑤愱ㄷ㤰㠸㌱㈴ち㠰ㄷ㐱搸㤷㤸㡢㌶散㔹㈰ㄹ攴戶〲戰〷㕣晦㙣㘵㘲㈹㈴摣〰㤰㌳〱攰戳ち㥡㈳㘷㉦㍤昱搷ㄱ昱㈸摦㌵㜷㙡摥搸挱昵㙦㑥づ扢㡢愳㔳搵㕡㔹昹㤳㍤戹戱昲摡㜲㙤㉣㕦摤㔶搰㜷捤捤㔹挴㘹㤳㐶〹搱㕥〵㐱㕦ㄳ慦扣㙤㥢㤱㤵戹昱昲㔴㈵㘳慣ㅣ㝢㌳㐴㠳㠰〳愶㔳㠱㘰㥢挰昵挶〲ㅣ散㔵〸捣ㄲ㕣ㅥ敦㈹㔰搸散愷慡㍤㑥㐷㑣愹㐸捥挳摥㘹㐴㌷攵㙢〵愳㉢愷㥥㌶㡡昶攵㠰㈲㐲攸㙣㘷㙥搳㈴晣户戱㥥摣昲㑡㍥㕢挸㤷っㅡ攳〰㔳㜴戵戱〵攱昲㝡敥扤㘱慦戳㈷户愹愲㤷慡摢攸昹㘷㜶敤摦㤰㔳㈱㠲㌷㌷㤲㉦㔵搱㡣戲㈲改摥摣昸㘴㜹〷㕥㐲㑣ㄵ㑢换昵㙤搵㌷㠵㔵昸㙣㌶㉦㘵ㅡ搱㈶摡摡㠴慦捤昷㐶敤愳扤〲㙤〷㘲㌳慣愴昶㡣晢㌰㔵攱㜹愶愷㠸㤹㙡㠷㍢㜴ㅤ㑣㤴ㄹ㍤摥㔵愰㥡摤㝣㠷ㄵ㥢㘲㜴㜶户㘱搳摥㌵㕣慣扦摣改㠶戸愴ㅦ搲晤㔷㈴愷㉣摦扣㜲㝡昷敡ㅦ㝡晤攲㕤つ㝤晢扣㔹㌰て挲㜳捣㔹挴つ〴㑥㉡摣㥣㤸っ捣㌵捦㑣㝦㑥挹㜰㤲捥㤹㈶㤷㈱摥散捥慤搶搳㐶〱㘱㜲㔱慦捤㌱㌳摣慦挰摥㝣搵㉡ㅢ㉤ㄷ㡢㍡㘷ㅤ㕦㌲愸㍤㘵㕦㙥㜸慡㔶挶㍥戴捣㈱㔱㔳搳㘲改㍢挱搲㜷㥡〱㙤㙥㈳户捦ㄴ㑤㕤攵㉤㝡㈵㕦㥢㉣收㌳㍥㘶戸挵昵愶㤸慥㔸㐲㍡〰愶㝤搹换㐹㜳㠴㙣挶愹㌰昷〰㌶㤵〸ㅤ捤㡦㐹摤㈶㌴晣ㄳ㙦㜰㜷〵㡢㡦㝡愶挸㔷愱捤ぢ捦㔶慤㐶慡㉦㝢散㌷㡥㝢㉥挰ㄴ㔵敢㤳㔸㑢〱㝣攴摦㉤㠲㤹づ敥㑦捣ㅡ㝡㜷㐲挰扦扡慣㘷捤㌷て㥤搶敢㐲ㅦ㑣换搵愶ㄲ攰㘶挸㈸昶搷戰㙦户㍤㥦㌵㉡㍥㌲挶昱收戲㠳摢㈸㥡㘹㐳㌸㐱敤ㅥ慦户换攷搶搶㑡㕢搷㐲㉢挴㜴扥ㄹ㕤搹愲晦挵つ挹愱㜶昶捡慦㥥㔲っ敦㈴㐷㈶搶㠳攲㜸㥡〴戸㜷㈱摢㤰㜸㌷愰戰搹㌶㡤晢ㄲ搸扤㤰㄰敡㔰㉦摡戸㘳攲挳敥㠲摡㙡昱慡㠱㜴㌹戶㐸㌴㜳㜷挴㘷扦扤搳挶㌱换㡤慣摦㕣㘲戹ㄵ挳㤶摢摡㍡㘰㙡慤㜹㝢戹愵㔹㈸㉢㡥ㅢ㙡敦㐴昴愰ぢ㕡㍢㉡ㅦ挱㥢〵晡㈷㌶ㅡ〵㍤㤳扦晦㡢愵扥愵㔵㙣㤹㤴㉢㝤㘷慥㍤㜱昹㔹㉤㍥㠵摦㉦扤愸攷昱ぢ㙥㉡搸㘰㜰㜵戰搰搲㔰㉡㍢㤱㠸户㠳㐹慦挰昱っㄳ㘷㈳换攷㤸㐷昳㐱攴〰敢慤搵㕥㔷㑤愱愳ち㔷㑥㈹愹㌹つ㡡㑤搶㈷㘸ㄷ戸㝢㥦愰㔹搶挰㐷㜶㔳㠹㤵ㄱ〶〸㝢ㅣ㥣攳搶㌸㝡㈰㈰攷㔰㤰挱戹㡢㐰㉦〵〲ㄴ搸〲〱㕡㕥摢て戹〵㌶愲㌳扣㔳㙢㜶搳〱攸㕣㔴〳愰㕢ㅤ敤㉣㈶挷㥣㝥〷戰㥤㜹㙣愷〶㘶㌳愰㡣戳㑤㐰て㠴挸㘱㔸昲昲挵愹㘲㥦昵ㄲ㙥敦挰㌲㐴㔷挰ㅥ挴ㄶㄸ慢㌷〰㝢〸戸㝢〷昶㍣㔴㠳愰㐷ㅥ㑡㈵㔶㐶㥣て挲挶つ愴㍤㥥昹㄰㤰㠷㔱㤰㐱扦㡢挰攱ㄴ㔸㐰〱敥〳㈸㘰㡦㐰㉥㘰〳㕢㝦㈱攸〲攵㤱㄰〴㤴敦㜲㘸收敤㘶㐱㜹ㄴ㑡攵㕢㤰㠸㑢挱㙣㠶昲㜲昰㑣㈸ㄷ㐲㘴㤶㘷扡㘸㝡愶㡢㉢㔰㔳㠱戸㠸扡慦㐴慥〱挴㘳挰摤㍢㠸敦㐷㌵〸㝡攴戱㔴㘲㘵〴㜷〳㙣㡣ㅣ戳昳㌸〸挸攳㈹㜸戵扢挰㘲ち昴㔳攰ㅡ〸㈸㄰㑦㐰慥づ攲晤敦挲扢捤㤳挲㈷戹摤攰㈷㐲㄰㈰㜲ㄷ挱㙥㥡攳戱㐰っ㔲㜳㠸㥡㙦〰戳ㄹ㐴㠶昹㈶㠸㘱㠸捣〲愲愷ㄹ挴㥢㔰㔳㠱ㄸ愱㙥㙥ㄲ㌴㠰ㄸ〳㜷敦㈰㜲㌳〱㠲ㅥㄹ愷ㄲ㉢㈳㙥〶㘱㡦挴戱戰㈷㈰㈰㤳ㄴ攴㙥㠳㡢㐰㡡〲㈷㔱攰ㄶ〸㈸㄰㑦㐶㙥扥㍤ㄳ挷㜵㥣㘱戱㤶捤慣搱㌷扣㘵㑡㜷挳㜳㄰㜵㠰攷㙥㐷㈳㕣㜴㉣㍣摦捡㐶㠶搸〸㌷㄰㥡昱攴慥㠱㠹攷ㄲ㠸扣ㅥ㍣敦㐲㑤㠵攷㌰㜵摦㡤㕣〳㥥愳攰敥ㅤ㑦敥㑤㐰搰㈳挷愸挴捡〸㙥㔰搸㜰昱㔱㘲㡤㘴㈹〴攴㌲ち㜲昳挲㐵㘰㌹〵㔶㔰攰㕥〸㈸㍣㔷㈲搷㙢攳㘹敥摣㤶摣㌰㕣〵㌹㘰昸㠰㐳㜱㠸ㅣ㜳㡤㕣㑤挵㙢愸昸摢㘰㌶㘳昸㕤昰㑣っ搷㐲攴昵㘰昸〸㙡㉡っ搷㔱昷愳挸㌵㘰戸〱摣扤㘳挸慤つ〸㝡攴㐶㉡戱㌲攲〷㈰㙣㠸ㅣ㌷昶㌸〴攴㈶ち㜲敦挳㐵㘰㌳〵㑥愵〰户㐳ㄴ㠶愷㈱㌷挷挶搰㝡户敥戲㌶㥥づ㌱㐰挸㕤ㄱ㕢慦攳戶㍥㠳㝡捦愴摥㘷㈰搰っ攱㜳攰㤹㄰扥つ㈲慦〷㐲敥㜵㈸〸捦愲敥攷㤱㙢㠰㜰〲摣扤㐳挸捤ㄱ〸㝡攴搹㔴㘲㘵挴慦㐱搸㈳㜱摣搶㍡〴㘴㥡㠲㉦戸ぢ㘴㈸㤰愵挰㡢㄰㔰㄰ㅡ挸敤㙦㐳㘸㜹㐰㌳慣㡥㕢㈰ちㄸ昷㌸㜴ㄳ㙣㙢㈶㑥㔲㜷㥥扡ㄹ㠶㔱㔴㥥挳ㅣ〸㜶搱㑢㔷扡搹㐳㙣昱摥改昲晢㜳昴攳挷㙢扢ち㠸㥤㐸搲㘳㌴㈹晡扥㘶㌱晣搸㜲愵㐳㜸㍡㥡㕦㝦搶敢㉥㠷慡慥〳㥡㕥㉤慢㙡㉣㘱㤸攰晤攰摦㕢㕦㥦搶敢戳攳搳敦㤹㔸㠷㤷㔶〰晦㠰㌵昹っ㡥收㤴㜳戵扥㜱㙣つ昴昱㔵㍤㝣愵攰戰昷㙡㘸㜴㙤㤳〳敢㈸昱〰搹㜶扥扡昲㙦㉤㤵㜷㤴㔴㙦扣㜸㍤㔳愳ㄵ攰㍣㜶戲ㄹ㍦㍥敡㝡ぢ挰ぢ㌰愴㘰㘵㔹㠲㐸㑦㝢㠰㍥㌹昱搴捡挸㉦ㅡㅤㄹ摤㌸㘱㐴㡣㐴㉡㥥㡣㈷㘳愹㔴㔴㑦㈷昵㜰㔸て㠵㘳㤹㑣㌶㥣㑡〵㐳ㄱ㙤㕢㕤㌴愴挷㐲㐱㍤㥥捥㠵㡤㘸㌴ㄸ㌷㔲扡㘱〴㤳㤱㘴㌴ㄱ捥〶ㄳ昱㡣㜶㙥㕤㌴㥢㐸㐵㤳挱㐴㌶㤸㠹愷愲㠹㐴㌴㤵挸㘶㌲㠹㕣挶㐸㘷㈳搱㘴㈴ㄱ愰㘹搹ㄳ㔹〱㈱慢㑣㙡㐸〲㜴捤ㄵ㝦㡡慣敤㑣㜶㤰捦㌸㐱昱敢愲慡愶搷ぢ晥扥晡昰㐴㐲愴㐵㐶㘴㠵搱搱搹㈹ㄶ㌵扤挵㙦昱晤ㄹ㠱慢搷愰㥡挶昵摡晢㙥ㄸ㘸摦㉡愱㔷づ晢戳戲㌲挳㍢挰㤷敦㐴攲て搰攱㔷愶昸㔷㄰㜳㐶㐷㈶ㅣ㕢ㄸㅡ愳挳晤挰㙢㍣㑣愸㕤〸㜶㌷搸㉡攴挱㈹挵㙡㠰ㄱ㠳㠲㈵㠰㈶攴㐵挸愹㘳㜵㐲昹晢㘴㕤っㄶ晥㤴㤰愰扦捦㍢㐹㥣㡦㠱㜰晥㠲昶㘸晦づ敥㡣㤳㔲散㠲ㄸ㈷㘶攳挴㘲㈸愰㐶㜴〹〸㑣㉣扡晤㕣㡥戵昷㠲㌰㈷㔶㍣㠴㠳㍣挱㜴㌶ㅣ㡦㠶愳〹㈳㥣捡挵㈲㠶㥥㐸㠷戳㤹㘸㈲ㅥ㡤㙢㤷搶㐵㡤㜴㈲ㅣ㑤㠷昵㔴㈲愶攳扣㕢㍣愵㘷㔳攱㘸㍣㤲ち㈷㔲㤱㐸㌴ㄵ㘰㐰㐱昵昲㌲㄰昲㜲㈴〱挶ㄱ㡡㜵〵㔹㔷㤲挵愸愲㔱㑡捣〵㡢㔳㐴㤴㌱〴㥡て戴㐷㕥㠵㔴㕥㡤挴ㅦ㘰㤸愰捣㜰つ㠸㘶㌳㝣㄰㍣ㄷ㌳晣〷搸㡤㘶㤸㘷㘹㌱て〸㕥㡢㥣㍡㈵㈸㔴㜴挰ㄶ慦〳ぢ㝦收㠷搱㠱㌲㠳㠱づ搵捤昰㘱㜰㘷㌶㐳〶愲慤㘶㘰攰愰捣昰㔱㄰㌰〳㠳〴㕥〱〶ち㡡㘰㔴愰〸㐶〶扣〴㝤㝤〵㠹㙥㐱㐲换捡敢挱㤵㌷㈰昱〷攸敥㉢㐸㍥づ愲ㄹ㤲ㅢ挱㜳㠱攴㈶戰ㅢ㈱㘱扣愰㘶收〲慡晦㈴㜲敡㜰愲㔸〴ち㝦ㅥ㜹㌳㔲㕡换㠷㡦愰慦慦㈰㌹捤〱㠹攴㜲挹㤵㔱㙣㜶ㅤ晤戱㈸㔶愳扦ㄵ〴㐶㝦ㅣ扥愸㔱晢㉣〸㜳ㄲ愶㠲ㄱㅣ㤴捣㈵㈳㤱㤴ㄱつㅡ搹㔴㌴㤵㡥挷㤳愱㕣㌴㤴㠹〷愳㌱㙤㜷㕤㌴ㄸ捡收㌲昱㐴㈲ㅣ捥攵愲搹㜸㉣ㄵ搳㈳挱㐸㌶㥣挳ㄴ捥㠵搳㠹〰攳〶㌵扤㙥〳㈱㍦㠷㈴挰㜰㐱戱㍥㑦搶ㄷ挸敡户㔹㜵㈹㜱㈲㔸ち昱㔵ㄶ攲慡搳户戳捡ㅤ㐸晣〱挶〶ち㉢慥〵㤲㌷扦扣㄰㐹㠰攱㠲攲㉦挲愸攴㔷挸㍦ㅡ㤴㠸㠰挲㥦㐷摥㘳ㄱㄴㄲ㌱㘴ㄴ㠶挳慥ㄸづ戹㘲ㄸ㐷㈵搵㥤晢㐰〰挳〴扥愸㑤扢ㅦ㠴㠹㘱㉣愱敢㐶㈲慥ㅢㄱ摣㥤昱㕣㍡ㄹ㡢挶㤲愱㈰づ愵㐶㌳改㑣㈸愸㍤㔰ㄷ捤攵㔲㈱㈳㡥ち搹㙣㈲㡡〳攸㝡㌲ㄶ㑥改攱㘴㌰㥥挵挲㥦㑡㘹て搶㐵㐳㔸ㄳ㔲㐶㈴慥㠷㐲㤱㘸㉣㠵挲㘸㡥㉢㐵㌸ㄳづ㈵㤲㈱㍤挰〸㐳つ晥㙢㈰攴搷㤹㍣㠴㈴挰攸㐲昱扦㐱搶㌷㤹㝣㡢㝣〶ㅣ㡡㑦㈹㔹慦㈴ㄸ㐶㈸昴㐳㑥昴ㅦ愱搰愳㐸晣㠱户㈲㔵ㄵ㥢搰ㅦ戲昹晤㠴晡㜱㔶㌸㠱㌸て㠳挲㥦㐷晥挸㈲㤸ㄱ愳㐸ㄵ晡挷㌸搰搷㝥〲敥捣㌷昵㈲㔷㤳㡣愱㡥㌲挹晦㠲㠰㐹㤶攲㡢晤搳㥥〰㘱慤慤昱戴ㅥ挴挳㌷ㄵ㡡〶愳改㑣㌶㠹㈹㥥挹挶㡣㜴㈸ㄵ〹愶昴㡣昶戳扡㈸搷捦㔸㍡㘴㠴㡤㑣㌶㙡愴㤳愹㘴㉡㤶挸㐴㐳㐹㍤㥡㌲㜴㤸攴攷㜵搱㘸㕡捦挰搶戹㐴ㅣ捦㜴㍤っ㌲㙢愴㘳改㥣㤱〸ㄹ愹㠴ㅥつ㉣戳㝡㈲㥦〴㈱㥦㘲昲㌴㤲挰㜲㥢晦っ㔹捦㌲㜹㡥晣ㄵ㌶㥦㔲搳㤵挴㉡㘴㤵㐹づ㜲㥡攴搷ㄴ㝡〱㠹㍦戰ㅡ愹ㅡ昲㡢㈰㥡㤷愰摦㠰攷戲〴晤ㄶ散挶㈵㘸㡤愵㐵㐶㘸慤㍤挸愹攳扢㘲ㅤ㈸晣㜹攴敦㉤㠲ㄹ戱〱愹㌲㘰㡦挳㠰搳㑢㔰㤷慢慤㌶愲㤲戲搵换㈰㘰慢㜱㝣愹㈵攸㑦㈰㑣㕢㐵挲改愰㥥挱㑤㤳挳㘱敥㐴㈴㥤捡㈵㡣㐴ㄲ戹㑣㈴㤳㡣ㅡ㘱敤捦㜵搱㔴㌸ㅤ捡㈶戲搹㌴捥㝣㐷ㄳ愹戴慥㐷攲㜰戳㤲㤱㜰㈸㤴㑥挵挲〱㐶㌸㙡扤㜹〵㠴晣ぢ㤲挰㘶㥢昵㔷戲晥㐶搶愹㌶㡢〲㤲愲攲㜴㈴ち㜱攱㐴㥣扡愴㐰攲て㥣〱〱户㥢㠰愱㡤攲㥦㐴挰㌴㔶㌸㤹㘸㥤㐵慤㘴昹挰㈲㐱㈱㌱〱㑡㘱昸愷㔷愷㥦㙣搳ㄸ扥〴㙥敢㐳散㙣㔴㔲ㄸ㜶㐳ㄵ㌰搴㤱㔷挶敦㐱摥挴㌰ㄱ㠹㘵㠲挱㙣㈲㘹㠴㜳搱㈰㈷戱づ昰㐲㤸㤸ㄱ昸愳ㄹ㕤㥢㔳ㄷ捤挵攳戱㜸㈶㠷㔹㡥㕢〳敢㡦㥥っ㐶攳ㄹ㈳㤷㐹㐴戳戹㔴㈴愳昵搶㐵㌳㈹㜸慤㝡㌲㥢㐹愶戳搱㐴っ扥㑡㈸愶愷搳㐱㈳ㄳ捥挵㠲㐶㌴㤰戶㝡㈲昹㡢ㅥ戹ㅦ㤳晤㤱〴㌲㌶㝦㉥㔹〷㌰㤹㐷㝥搶收搷㐵㔵㑤戱〵㝣㠵晥昳〰㠰㕥㠸ㅡ敥愱慣㌷ㅦ㠹㍦㌰㘹㔷㙣㕡㠲昲㌶㝦㤸㔰昷戱挲〸愸挰㌹攰㉢ㅤ㐷㠱搵搳敥㉤㈱㝦㜲㤳㌷敢晥㜶㙣㜱昳㜱摥愵㌸㥥扢ぢ㕡㍣敤㜸㉤㘰㙥愶㜷戴㥤昴挶㜴搱㕦敥㠶㉡㝥扣㑦㘰慣晦㠰ㅥ㡣挸攱㐱㔳攳ㄱ昸挸㠵攸慡户㠲挲愰㕢ㄷ㘷晢㐵㡣㠶敡昳㡡㉢慢昰㥢昱换慡㑤攵攱晡捦㜲昶戳晤改挵昶㈹搳㐵搳㥣攱㜴ㄵ慦㘲㙢㠶㕤㙤㕤愵㕥て愷㌶ㄱ㡤愱㘰㌱捦愴捥㥢捥㌹㕥㐶捣㥦收慥㉣攱慣ㅤ㕥挲摢ㅡ慢搸㠷敦㘸㙢ㄷ慥慦晦慤ㅦ攰攰捣㥥慤㘰㘹㘹慡㌸〷㘳㤸敦昲㌲㘶㈴㕦㔳㉦㌳扢㔰㉥㘴ㄹ昰㘸㐷〳㈸㙤㜰攱挸挲㔰搴晢㘳㤸攲㜵戴搲〸㍤摢攴攵㤷挷㐲愵愸愲㤴昸ぢ戹㡤捤ㅣ㙦㌶㌳挶㘶ㅥ㐳㌳慥㉦㍢慤挱昰㔵ち愱挱㜱昰㤵扣㔵ㅣ昶㘵㈳扣攷晤戲㥦㡤㌰ㄴ㌴ㅢ㌹㤷㡤っ㤸㡤㉣㐳㈳攲㔱㌴挲㠶挰㠲㜴㤰搲㔳㤰㈱㑢㉤㐱摢慤っ换挵づ㘴㌸㜸搰㥥摥㜷㈰攳〵挱㠹攰戸昶っ㔹㤹㈵搷㝤㠸搷㥤㐳摦㝥㤸搷㡢㐳扤敦㜴慦㘱㔷摥㌳昴㙦昷㝥昳㠶愵户晦㜴㈸愲慥㘷㠶挴㐵愸攱㜶㌰攴㘱㜴挲昵挴攰户慣㠲收㈳㤳㠱㡢愱㐹摤攲㜱㡣愴愷㕤㕣㠲㍣㙦㜳昱つ搴攰扤愵㙥㠷㈴挷㝦ㄹ搸㈶㕡㡣扥戴㤳挰㠳攵㤷㉤っ挷挵㠳㄰㈴㌴搴㠴㌳㍤㤴扥扣㉥㝤㈹愵摦㙡㑡㡦㔱晡慢㤶㌴㔸㤰㕥㐲㘹㐶㔷戶〲㜱愵㤵㘱㜹敦㔵挸捣ち愷〹㤳㙦㠹昹ㅤ㔸搲换㠸㑢搵㌸㑢ㅣ㜹搵戰昷挹ぢ㑥ㄸ㍤散㠵愷攳㠷㕡〶㔸㘸ㄹ㐰㉣搹扤晣愹昳づ搸㉤㤶〸㐶㔲㙥㜰㝥〵ㅤ㜵㠵昳㙥慢愰昹〰㘶攰㍡㘸㔲㜰㉥㐳攷〱攷㐷㤱㔷㜰摥㠹ㅡ㜵㌸㔷愰戰昷㝡扢㥢㘶挷敤㜴㝡㥥㤸ㅣ挷挰ㄸ㌷㌵㐰昱戱摦摤㜲昲愲㡦摣昶㥡昵㝤㐱攷㙥晤㡦扦昴㍤㌲㜴晢慡戹捦㝦昵㝢搷つ〹挶㐳㙥〳晢搲㑣〳晢愲㔵搰㝣戰㌲㜰㌳㌴愹㠱慤㐵摦攵㍡㡥慥㑤摣ち愶ㅡ摤攷㥣愳摢㠰㐲挱戰挴㥣㉣㡣㤲戴㜱昰扣㠳ぢ挷ㄶ挶挵慤㤰戵㙦㈳扦摣㑣攱捦搵㠵㜷㔳昸㌴㔳㜸ㄹ㠴㙦戶㠴挱挱㔴㌹㥤挲㥦㠷㠸㕤㕦㝣挱捡戰扣昷㜶㘴ㅡ昰㌱ㄱ㥣㐶戴攵捥㘳㕣攴㔲挳攳戱ㄱ愵㠶ぢ㉦㕥㍢捣敦㑢㡥㍦㜷㔸㌰㍡㜲㐳昴㐶ぢ戸㤶㌳㘹ㅦ户ち扥搳昴慢戴挰㍤搰愴㄰㥤㐰攷㌱㔵敥㐳㕥㠱㜹㍤㙡搴愷㡡捥㈱㌳捡㌰挱㘴戸愴㘵挰㔳㜷㕥㈸㈲㍥摣〰㤰㐱㘹挶㌰愶昴〳㤴摥㘲㑡㘳㠵㡥㠸㙢㈱㙤㉦㔴㝥㤹愷昴㐳㜵改〷㈹扤搵㤴挶㐲ㅢㄱ搷㔸扡捤ㄵ戳㐸㘹〶㐳㜵昰ㄹㄴ㌱㠳〲㡦㘰㜰㘴慢敥㘵搸攳㠲敢㉣㤶㘰㡣攴㔲㠳戸昳摡㌳㜴摣摢摥㜷摦㑢挷㍥㙣摤挴㝢㠶挴攳愸攱㘶㠹昷愱㐷慥㌷敤㤵㔶㐱昳ㄹ搱〰〳㉣㘵㠹㉡㐶〲㑢㌰㈰㔲㤶戸ㅣ㌵敡㤶㤸攲昸㥦㐴㤱㠹㉤愳㈴㙤〷㜸㤸搶换ㄶ㈶挵㈵㤰戵挱昰㑢扡㍡㠲㤱㡢㈹捣㌸㐹㍢摦ㄴㅥ㠱昰挵㄰戶挱昲换㜷㔲㤸戱㡢㈹捣㐸㐹扢挰ㄴㅥ㠳昰㠵㤶㘶搳っ敦愲㌰〳愰扡ㄹ㥥戵㌲㈸昰㠸攷㤰戱㌵昷㌲搴㜱〱㜵ㄶ㌳㌰㉥㜲愹愱㙣攰昱摣㝢㤱戵㜶慥㕤愲ㅥ㕥敢㉦㕡㈲ㄸ敦戸㤹攱㝣昴摡搵っ攷㔹〵捤愷㔴〳扦㠷㈶㘵㠶昷㘰㈴㌰挳换挸㉢㌳散㐴㡤扡ㄹ摥换昱㌳搸㌰挱㘲〰愴㕤〶㥥㜹㐳愴㐴捤㐲㡢㘸昸攵ㄵ㤴㘶㝣㘲㑡㌳〶搲摥㘷㑡㘳㡡愷挴㌶㑢摡挴昶〳㤴㘶㠰㔳挷㤶㠱㡥㙤搵㕥挶㌱㉥攰捣〲㈷㠳ㅥ㤷ㅡㄶ㥣㤸搵㕦㕥昰敥ㄷ㌶㝣昹㥥㈱晦て㙦摣㌶攸晦晡㤰㘰攸攳〶攷㔶ぢ戵㤶昵攵ㅣ慢愰昹捣㙢㠰ㄱ㤳㠲昳㍦㐱〰㑥㠶㍤ち捥㐹搴愸挳昹㈱㜰〵攳づㄳ㈰挶㐲摡㝦㈱挱慣ㅥ㔹㤸㄰㔹挸摡搳挹㉦㍦㐲㘱〶ㅤ愶㌰愳㈱敤㘳愶昰ㄸ㠴捦㠶戰㡤㥣㕦摥㐰㘱挶㌱愶㌰攳㈱敤㐶㔳㜸ㄹ㠴摦㘶〹㠳〳㍢㝤〲㕦㠲㘱㡥㕤㕦㌰摣戱㤱ㄷっ㝢散㙥昴㌲愰㜱〱㜵ㄶ㌳㌰晡㜱愹㌱扤捣慢〷挳㈱㑢捤㔹扤㝡昹ㄲ挱ㄸ挸捤っ愷愱搷慥戳晡㔴慢愰攵攴㉤㐳㈷㔷愷搸㜱㉥搴晣ㄹ愵㘲昴〲づ㙦㡥㙦㤳扡㜲㈶㥢搱づ摥㈷攵ぢ〵昵㉡愶ㅢ愷攴㉡昸㠱攵㙡㥣〷挵搹㌸晣捥摥摡扤挷㌹㔱ㅥ㍡戲捦㘱㐹㤵㘳㘵㉤户慥㠲㠳㔹㥤戹㤵㔵㥣攳捤晡昰〳戱㕡つ扦捤㝦㌳ㅣ愱挳换戱づ〰㠴换㍣㍣攷晡㕥㡡㉦㥣㕣ㅤ㝥ㄳ挲㘹㍣散摦㑤戶昱㜰摤ㅢ㍢搲慢㝤〶摤㜱扣㐱捤㍡㑥㡣㜶㠸㑤戰戲戹戳㜰愱攷㌵搵㙤慣〹昲戳愸愲敤㐶挲摦㍥愹㕤ち㈴㝥㜹ㅢ㌸敡㘵戹㑡㍣㕥挶㤴捤攳攳换㐲扡㡡㥥愶ㅦ㐰㜶㜵搹㉦昳搸㑡〷㐳愲搹〲㌲㉥㕦㥤挵〹㥤晦㡤㠸慦㌸㔱㌰㑡㕢㙡㤳昵晦㍡愴㔳晤㥣㔲㝥ㅥ㑡搸ㄴ㍦㠲昱て戵捡㉦㈰㈱㠷ㅦ挱㌸㐷㜱扦攸攴㌲㌴攰㌴搶扥㠴愴㝥㉡慣ㄱ㤹㔵慥挸摣㡥ち㤲挸㑣愳昲㘵戲昸㑡搶㐴㐵㌰戴㈰㌲昶㈵ㄸ㍤愸㍥摣〵㠲〵晣㠸㈵㌶昷㙥㈷㤷搰愹㥥㝤〵挴挱㌸㕥㔵㍦㕡搵搸扢㔱搷摥摤㠳㑡敡攷㔶搳扤扢㤷㉣㐷敦㔶㈰摦搰㍢扡扦慡挵晢㐰散㌷晤ㅦ㝡昴㙤㘷㤰㕥㙤ㄳ㠳㜶㔳㉦㠴て㤹㥥㈲て㐰㕡㝢㄰㠹㥡㈲昸㈶㈲㝥昹㌵㔰捥收攸㔷㉢敤て㠱㤸㜱ㄶ㈶散㈶㍣捥㔹昸㑤敡㌲戱挶㐳㑢愹㝦戸㐹㍤㍤㜳㡥㘶晣㐳㜷㉤㜹㌵㜲ㄶ㕥㜸㈰愳戰晥づ〸晣㤹㔸搳捤㔶摣敦㍡戹㜴㔳㔵摦ㅥ〱㌱㘳摦㑥㜴敤摢昷㔰愵㘹ㅥ晣㠰㉣〷搲㜴㜴ㅢ㤰愶㉦慢㝡昱㌸〸晣㤹㝤愳捦慡戸㍦㜴㜲改㥢㉡敥㡦㥣㕣扡㜳慡挷㍦〶㌱㘳㡦㡦㜶敤昱㑦㔱愵愹挷㑦㤰攵攸㌱ㅤ挲㠶ㅥ搳改㔳扤昸㌹〸晣㤹㍤愶㜷愷戸㑦㍡戹㜴攳ㄴ昷㈹㈷㤷㥥㡦敡昱搳㈰㘶散昱攱慥㍤㝥ㄶ㔵㈴愷搸昴㙣晥〵㔹㡥ㅥ搳㜷㙡攸㌱摤㈳搵㡢㕦㠲挰㥦搹㘳扡㐱㡡晢㉢㈷㤷㙥㠴敡摢慦㐱捣搸户㜹慥㝤㝢ㄱ㔵㥡搰晣㉤㔹㡥扥搱ㄱ㘹攸ㅢ㥤つ搵㡢㍤㈰昰㘷昶㡤㕥㠵攲晥捥挹愵晢愰戸扦㜷㜰扤㕣㤷昷昹戹挱㝢㘶㉥㥥戰搶晦挹㌴㠲㌳收㡢ぢ㔸晣昷攱㐸晦ㅦ搰㡥攰㙡㑦ㅤ昲㡦ㄶ挱㑣㉦搷㕣ㄲ㍥慥搰扤㕣㙢愷㜳㕣㘳敢㌹挱愵㤲ㅤ㤶㉦㤱捤㔵㤲㘵昲㘵㡢㘰愶㤷㉢㘲扤㐶㉦㔷挲㝡㑥㜰㌱㔳昵晦㐴昶扤㔶㤹晣戳㐵㔰㔰㍣㘰换扣㐲㉥ㄷㅦ戲攵㕦㐰攰捦〴㤸换㠸搲昳㔷ㄶ㜳〵㔱㌲㝦戳〸㘶㝡戹㕡㤰㌰㐷挵㔵愲㥥ㄳ扣搵㔵晤㔷挹收㕤慥敡晦摤㈲㔴㝤摥搱昵ㅡ扤扣㤳愷㜳扣㠳敢㌹挱摢㔰㘹㝢㡤㙣摥㠱㉣㤳摣挴㈳挱㑦㉦敦戶㝡㡤摥㈷ㅢ㜲扣扢敡㘵㠲户㠸搲㈶㔸㥦㜷〷换㘴㥢㔳摢㉦㥤㌵㝡㜹〷㑣搷攷㌴㔶昵㜱㥡摤㈳㌸㠳㔵晤づ㘷㝤捥搶㝡㡤㕥捥搲改ㅣ㘷㘷㍤㈷搴戴㘱晢敡㍦㤰〲挱㉢挰改愳摣㜶つ㕡攱戶慢改㠰〲搹㠹扣㝤〵㌸㉤㤴ㄴ㑤〰㈹㘵㜴㑡愹晦ぢ捣ㄲぢ搰昸㑡捡㙦㑡㈹戳㔳慡ぢ㜹㜶〴攵㥥〰捤慦愴扡挱㤵㍤ㄴ㙤ㄳ捡晡ㄴ㙤攸ㅣ㘷㠱ㄲ敤㌵ㄵ㉡ㅢ户㐸搱搶㑡㙡㍦㔳㑡搹㡥㔲晢㈳㙦㕦〱摡㔰㐹捤㌵愵㤴㑤㈸搵㌰㔰摡㐶㐹捤㌳愵ㄴ昲㤴㙡攸ㄷ㉤愰愴づ㔲㔲〱扢㔰㄰㐴ㄵ昴晣昲㙦㘶搰㌳㠲扡㍥ㅣ㔹戲ㅢㄱ〴㔰㐹㍣摦㈴㘱㈳㈹〸㥥㤲昸㐵㤳〴㔱㔴慤捥〷挱〸换ㄶ㝣搶ㄲ㔴愷㘵づ〷㔷㄰㔵愵攳改㐶ㅤ㠲㐰慡㠲愷㥡ち㠸㥤㉡㜸戲戱㈰㘰㠳㈸㠸㥢㤲昸㜹愳㠴㈰㔴慡攰㘷㑤〵㐴㐷ㄵ㍣搱㔸攰攵〰㘶昹昱摡戴㠷捤㔳ㄴ戲㠸ㅦ愸搵攸㙢晢㡢㝣㕢愰摥ㅣ㘸㐵晥㠲愸戴ㅦ㡦戶攳晦愸㕡㕣㤷搹扦捥愹换捥愹戳㔴㥤㐳捣摦㝦昰㍦搴愰挸攲㘹愵昳㥡㑢㤴㍣㈰㈷敡㥥愳摣㕥捤㤸㈱㠱摤㐱扥捦昱㠹㝤ㄶ昴㤹晦㙤挹㐲愰挱ㄶ㠴慣㔳㉡㉢㘸㑡㜵晦㉦〲攱㘵攱㍥愸收㝤昶〶ㅦ㉣㐷愳〵挱戶愸愳㍥攳㤹ㄱ慡㠸摣㘳慤㘲㜲〳捣戰慢昲㌸㄰㜸㘱挷慦㔹㥥㠰敢つ晣㈰ㄳ晦㠱㕣挱㈰㘰㍣愰搳㔳㌴㝦扥愲㙣㡡晦〴㐵昱愷つ㘲㔹㜹㝦戲ㄷ㌷㠸晡㑤ㄶ搳㕥㤳慣㥢扢换㉡攲晣㜸扤戶敥挴㘸昸㠱昷扣㘰㜶㜳㥢愶摥㌷㈹换捥挷〳ㅤ㍦㕦搳〸㌹㑤慡㝣㉦昳昸昳㘸昶㑢ㅡ㜶挱攳㜹㜲挸摥㐲敥晡㍦昷搰攴㍡</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</si>
</sst>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5">
    <numFmt numFmtId="43" formatCode="_(* #,##0.00_);_(* \(#,##0.00\);_(* &quot;-&quot;??_);_(@_)"/>
    <numFmt numFmtId="164" formatCode="_ * #,##0.00_ ;_ * \-#,##0.00_ ;_ * &quot;-&quot;??_ ;_ @_ "/>
    <numFmt numFmtId="165" formatCode="0.0;\-0.0;&quot;--&quot;"/>
    <numFmt numFmtId="166" formatCode="0.000"/>
    <numFmt numFmtId="167" formatCode="0.0"/>
    <numFmt numFmtId="168" formatCode="0.0000"/>
    <numFmt numFmtId="169" formatCode="0.00;\-0.00;&quot;--&quot;"/>
    <numFmt numFmtId="170" formatCode="0.000;\-0.000;&quot;--&quot;"/>
    <numFmt numFmtId="171" formatCode="0.0000;\-0.0000;&quot;--&quot;"/>
    <numFmt numFmtId="172" formatCode="0.00000"/>
    <numFmt numFmtId="173" formatCode="_ [$€-2]\ * #,##0.00_ ;_ [$€-2]\ * \-#,##0.00_ ;_ [$€-2]\ * &quot;-&quot;??_ "/>
    <numFmt numFmtId="174" formatCode="0.00\ E+00"/>
    <numFmt numFmtId="175" formatCode="dd\ \-\ mmmm\ \-\ yyyy"/>
    <numFmt numFmtId="176" formatCode="#,##0.00;\-0.00;&quot;--&quot;"/>
    <numFmt numFmtId="177" formatCode="#,##0.000;\-0.000;&quot;--&quot;"/>
  </numFmts>
  <fonts count="50">
    <font>
      <sz val="8"/>
      <name val="Arial"/>
    </font>
    <font>
      <sz val="9"/>
      <color theme="1"/>
      <name val="Calibri"/>
      <family val="2"/>
      <scheme val="minor"/>
    </font>
    <font>
      <sz val="8"/>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b/>
      <sz val="8"/>
      <name val="Arial"/>
      <family val="2"/>
    </font>
    <font>
      <b/>
      <sz val="8"/>
      <color indexed="13"/>
      <name val="Arial"/>
      <family val="2"/>
    </font>
    <font>
      <sz val="8"/>
      <color indexed="13"/>
      <name val="Arial"/>
      <family val="2"/>
    </font>
    <font>
      <b/>
      <sz val="8"/>
      <color indexed="12"/>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sz val="10"/>
      <name val="Arial"/>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name val="Geneva"/>
    </font>
    <font>
      <b/>
      <sz val="9"/>
      <color indexed="81"/>
      <name val="Tahoma"/>
      <family val="2"/>
    </font>
    <font>
      <sz val="9"/>
      <color indexed="81"/>
      <name val="Tahoma"/>
      <family val="2"/>
    </font>
    <font>
      <b/>
      <sz val="11"/>
      <color theme="1"/>
      <name val="Calibri"/>
      <family val="2"/>
      <scheme val="minor"/>
    </font>
    <font>
      <sz val="8"/>
      <color theme="1"/>
      <name val="Calibri"/>
      <family val="2"/>
      <scheme val="minor"/>
    </font>
    <font>
      <b/>
      <sz val="8"/>
      <color theme="1"/>
      <name val="Calibri"/>
      <family val="2"/>
      <scheme val="minor"/>
    </font>
    <font>
      <b/>
      <sz val="8"/>
      <name val="Calibri"/>
      <family val="2"/>
      <scheme val="minor"/>
    </font>
    <font>
      <sz val="8"/>
      <name val="Calibri"/>
      <family val="2"/>
      <scheme val="minor"/>
    </font>
    <font>
      <b/>
      <sz val="15"/>
      <color rgb="FFFFC000"/>
      <name val="Arial"/>
      <family val="2"/>
    </font>
    <font>
      <b/>
      <sz val="20"/>
      <name val="TimesNewRomanPS"/>
    </font>
    <font>
      <sz val="10"/>
      <name val="Arial MT"/>
    </font>
    <font>
      <sz val="8"/>
      <color rgb="FFFFC000"/>
      <name val="Arial"/>
      <family val="2"/>
    </font>
    <font>
      <vertAlign val="superscript"/>
      <sz val="8"/>
      <color theme="1"/>
      <name val="Calibri"/>
      <family val="2"/>
      <scheme val="minor"/>
    </font>
    <font>
      <vertAlign val="superscript"/>
      <sz val="8"/>
      <name val="Calibri"/>
      <family val="2"/>
      <scheme val="minor"/>
    </font>
    <font>
      <b/>
      <sz val="9"/>
      <color rgb="FFFFC000"/>
      <name val="Calibri"/>
      <family val="2"/>
      <scheme val="minor"/>
    </font>
    <font>
      <sz val="9"/>
      <color theme="1"/>
      <name val="Calibri"/>
      <family val="2"/>
      <scheme val="minor"/>
    </font>
    <font>
      <b/>
      <sz val="9"/>
      <color theme="1"/>
      <name val="Calibri"/>
      <family val="2"/>
      <scheme val="minor"/>
    </font>
    <font>
      <vertAlign val="superscript"/>
      <sz val="9"/>
      <color theme="1"/>
      <name val="Calibri"/>
      <family val="2"/>
      <scheme val="minor"/>
    </font>
    <font>
      <sz val="9"/>
      <name val="Arial"/>
      <family val="2"/>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8"/>
        <bgColor indexed="64"/>
      </patternFill>
    </fill>
    <fill>
      <patternFill patternType="solid">
        <fgColor indexed="42"/>
        <bgColor indexed="64"/>
      </patternFill>
    </fill>
    <fill>
      <patternFill patternType="solid">
        <fgColor indexed="44"/>
        <bgColor indexed="64"/>
      </patternFill>
    </fill>
    <fill>
      <patternFill patternType="solid">
        <fgColor theme="1"/>
        <bgColor indexed="64"/>
      </patternFill>
    </fill>
    <fill>
      <patternFill patternType="solid">
        <fgColor rgb="FFFFC000"/>
        <bgColor indexed="64"/>
      </patternFill>
    </fill>
    <fill>
      <patternFill patternType="solid">
        <fgColor theme="4" tint="0.39997558519241921"/>
        <bgColor indexed="64"/>
      </patternFill>
    </fill>
    <fill>
      <patternFill patternType="solid">
        <fgColor rgb="FFFF0000"/>
        <bgColor indexed="64"/>
      </patternFill>
    </fill>
    <fill>
      <patternFill patternType="solid">
        <fgColor rgb="FF00FF00"/>
        <bgColor indexed="64"/>
      </patternFill>
    </fill>
    <fill>
      <patternFill patternType="solid">
        <fgColor theme="0"/>
        <bgColor indexed="64"/>
      </patternFill>
    </fill>
    <fill>
      <patternFill patternType="solid">
        <fgColor rgb="FF92D050"/>
        <bgColor indexed="64"/>
      </patternFill>
    </fill>
    <fill>
      <patternFill patternType="solid">
        <fgColor rgb="FF00FFFF"/>
        <bgColor indexed="64"/>
      </patternFill>
    </fill>
  </fills>
  <borders count="2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s>
  <cellStyleXfs count="80">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6" fillId="20" borderId="1" applyNumberFormat="0" applyAlignment="0" applyProtection="0"/>
    <xf numFmtId="0" fontId="17" fillId="21" borderId="2" applyNumberFormat="0" applyAlignment="0" applyProtection="0"/>
    <xf numFmtId="0" fontId="18" fillId="0" borderId="0" applyNumberFormat="0" applyFill="0" applyBorder="0" applyAlignment="0" applyProtection="0"/>
    <xf numFmtId="0" fontId="19" fillId="4" borderId="0" applyNumberFormat="0" applyBorder="0" applyAlignment="0" applyProtection="0"/>
    <xf numFmtId="0" fontId="20" fillId="0" borderId="3" applyNumberFormat="0" applyFill="0" applyAlignment="0" applyProtection="0"/>
    <xf numFmtId="0" fontId="21" fillId="0" borderId="4" applyNumberFormat="0" applyFill="0" applyAlignment="0" applyProtection="0"/>
    <xf numFmtId="0" fontId="22" fillId="0" borderId="5" applyNumberFormat="0" applyFill="0" applyAlignment="0" applyProtection="0"/>
    <xf numFmtId="0" fontId="22" fillId="0" borderId="0" applyNumberFormat="0" applyFill="0" applyBorder="0" applyAlignment="0" applyProtection="0"/>
    <xf numFmtId="0" fontId="23" fillId="7" borderId="1" applyNumberFormat="0" applyAlignment="0" applyProtection="0"/>
    <xf numFmtId="0" fontId="24" fillId="0" borderId="6" applyNumberFormat="0" applyFill="0" applyAlignment="0" applyProtection="0"/>
    <xf numFmtId="0" fontId="25" fillId="22" borderId="0" applyNumberFormat="0" applyBorder="0" applyAlignment="0" applyProtection="0"/>
    <xf numFmtId="0" fontId="31" fillId="0" borderId="0"/>
    <xf numFmtId="0" fontId="26" fillId="23" borderId="7" applyNumberFormat="0" applyFont="0" applyAlignment="0" applyProtection="0"/>
    <xf numFmtId="0" fontId="27" fillId="20" borderId="8" applyNumberFormat="0" applyAlignment="0" applyProtection="0"/>
    <xf numFmtId="0" fontId="28" fillId="0" borderId="0" applyNumberFormat="0" applyFill="0" applyBorder="0" applyAlignment="0" applyProtection="0"/>
    <xf numFmtId="0" fontId="29" fillId="0" borderId="9" applyNumberFormat="0" applyFill="0" applyAlignment="0" applyProtection="0"/>
    <xf numFmtId="0" fontId="30" fillId="0" borderId="0" applyNumberFormat="0" applyFill="0" applyBorder="0" applyAlignment="0" applyProtection="0"/>
    <xf numFmtId="0" fontId="7" fillId="0" borderId="0"/>
    <xf numFmtId="43" fontId="7" fillId="0" borderId="0" applyFont="0" applyFill="0" applyBorder="0" applyAlignment="0" applyProtection="0"/>
    <xf numFmtId="0" fontId="8" fillId="0" borderId="0"/>
    <xf numFmtId="164" fontId="8" fillId="0" borderId="0" applyFont="0" applyFill="0" applyBorder="0" applyAlignment="0" applyProtection="0"/>
    <xf numFmtId="0" fontId="31" fillId="0" borderId="0"/>
    <xf numFmtId="0" fontId="26" fillId="0" borderId="0"/>
    <xf numFmtId="0" fontId="26" fillId="0" borderId="0"/>
    <xf numFmtId="0" fontId="8" fillId="0" borderId="0"/>
    <xf numFmtId="43" fontId="26" fillId="0" borderId="0" applyFont="0" applyFill="0" applyBorder="0" applyAlignment="0" applyProtection="0"/>
    <xf numFmtId="173" fontId="26" fillId="0" borderId="0" applyFont="0" applyFill="0" applyBorder="0" applyAlignment="0" applyProtection="0"/>
    <xf numFmtId="164" fontId="26" fillId="0" borderId="0" applyFont="0" applyFill="0" applyBorder="0" applyAlignment="0" applyProtection="0"/>
    <xf numFmtId="0" fontId="40" fillId="0" borderId="0"/>
    <xf numFmtId="0" fontId="41" fillId="0" borderId="28"/>
    <xf numFmtId="0" fontId="26" fillId="0" borderId="0">
      <alignment wrapText="1"/>
    </xf>
    <xf numFmtId="9" fontId="26" fillId="0" borderId="0" applyFont="0" applyFill="0" applyBorder="0" applyAlignment="0" applyProtection="0"/>
    <xf numFmtId="0" fontId="26" fillId="0" borderId="0"/>
    <xf numFmtId="0" fontId="8" fillId="0" borderId="0"/>
    <xf numFmtId="164" fontId="8" fillId="0" borderId="0" applyFont="0" applyFill="0" applyBorder="0" applyAlignment="0" applyProtection="0"/>
    <xf numFmtId="0" fontId="8" fillId="0" borderId="0"/>
    <xf numFmtId="0" fontId="5" fillId="0" borderId="0"/>
    <xf numFmtId="43" fontId="5" fillId="0" borderId="0" applyFont="0" applyFill="0" applyBorder="0" applyAlignment="0" applyProtection="0"/>
    <xf numFmtId="0" fontId="8" fillId="0" borderId="0"/>
    <xf numFmtId="0" fontId="8" fillId="0" borderId="0"/>
    <xf numFmtId="0" fontId="4" fillId="0" borderId="0"/>
    <xf numFmtId="43" fontId="4" fillId="0" borderId="0" applyFont="0" applyFill="0" applyBorder="0" applyAlignment="0" applyProtection="0"/>
    <xf numFmtId="0" fontId="4" fillId="0" borderId="0"/>
    <xf numFmtId="43" fontId="4" fillId="0" borderId="0" applyFont="0" applyFill="0" applyBorder="0" applyAlignment="0" applyProtection="0"/>
    <xf numFmtId="0" fontId="8" fillId="0" borderId="0"/>
    <xf numFmtId="0" fontId="8" fillId="0" borderId="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cellStyleXfs>
  <cellXfs count="147">
    <xf numFmtId="0" fontId="0" fillId="0" borderId="0" xfId="0"/>
    <xf numFmtId="0" fontId="9" fillId="0" borderId="0" xfId="0" applyFont="1"/>
    <xf numFmtId="0" fontId="7" fillId="0" borderId="0" xfId="43"/>
    <xf numFmtId="0" fontId="35" fillId="0" borderId="0" xfId="43" applyFont="1"/>
    <xf numFmtId="0" fontId="36" fillId="28" borderId="0" xfId="43" applyFont="1" applyFill="1" applyBorder="1"/>
    <xf numFmtId="0" fontId="38" fillId="0" borderId="0" xfId="43" applyFont="1" applyBorder="1"/>
    <xf numFmtId="0" fontId="8" fillId="0" borderId="0" xfId="43" applyFont="1"/>
    <xf numFmtId="0" fontId="8" fillId="0" borderId="10" xfId="43" applyFont="1" applyBorder="1"/>
    <xf numFmtId="0" fontId="8" fillId="0" borderId="0" xfId="47" applyFont="1" applyFill="1" applyBorder="1" applyProtection="1"/>
    <xf numFmtId="0" fontId="8" fillId="0" borderId="0" xfId="43" applyFont="1" applyBorder="1"/>
    <xf numFmtId="0" fontId="8" fillId="0" borderId="0" xfId="47" applyFont="1" applyAlignment="1" applyProtection="1">
      <alignment horizontal="left"/>
    </xf>
    <xf numFmtId="0" fontId="12" fillId="0" borderId="0" xfId="47" applyFont="1" applyFill="1" applyBorder="1" applyAlignment="1" applyProtection="1">
      <alignment horizontal="left"/>
      <protection locked="0"/>
    </xf>
    <xf numFmtId="0" fontId="12" fillId="0" borderId="0" xfId="47" quotePrefix="1" applyFont="1" applyFill="1" applyBorder="1" applyAlignment="1" applyProtection="1">
      <alignment horizontal="left"/>
      <protection locked="0"/>
    </xf>
    <xf numFmtId="0" fontId="9" fillId="0" borderId="10" xfId="43" applyFont="1" applyBorder="1"/>
    <xf numFmtId="49" fontId="9" fillId="0" borderId="10" xfId="37" quotePrefix="1" applyNumberFormat="1" applyFont="1" applyFill="1" applyBorder="1" applyAlignment="1" applyProtection="1">
      <alignment horizontal="center"/>
    </xf>
    <xf numFmtId="0" fontId="8" fillId="0" borderId="11" xfId="37" quotePrefix="1" applyFont="1" applyBorder="1" applyAlignment="1" applyProtection="1">
      <alignment horizontal="left"/>
    </xf>
    <xf numFmtId="0" fontId="8" fillId="0" borderId="12" xfId="43" applyFont="1" applyBorder="1"/>
    <xf numFmtId="0" fontId="8" fillId="0" borderId="16" xfId="37" quotePrefix="1" applyFont="1" applyBorder="1" applyAlignment="1" applyProtection="1">
      <alignment horizontal="left"/>
    </xf>
    <xf numFmtId="0" fontId="8" fillId="0" borderId="17" xfId="43" applyFont="1" applyBorder="1"/>
    <xf numFmtId="0" fontId="8" fillId="0" borderId="11" xfId="43" applyFont="1" applyBorder="1"/>
    <xf numFmtId="0" fontId="8" fillId="0" borderId="14" xfId="43" applyFont="1" applyBorder="1"/>
    <xf numFmtId="172" fontId="8" fillId="0" borderId="15" xfId="43" applyNumberFormat="1" applyFont="1" applyBorder="1" applyAlignment="1">
      <alignment horizontal="right"/>
    </xf>
    <xf numFmtId="166" fontId="8" fillId="0" borderId="13" xfId="43" applyNumberFormat="1" applyFont="1" applyFill="1" applyBorder="1" applyAlignment="1">
      <alignment horizontal="right"/>
    </xf>
    <xf numFmtId="0" fontId="9" fillId="0" borderId="14" xfId="43" applyFont="1" applyFill="1" applyBorder="1"/>
    <xf numFmtId="0" fontId="9" fillId="0" borderId="0" xfId="43" applyFont="1" applyFill="1" applyBorder="1"/>
    <xf numFmtId="2" fontId="9" fillId="0" borderId="15" xfId="43" applyNumberFormat="1" applyFont="1" applyBorder="1" applyAlignment="1">
      <alignment horizontal="right"/>
    </xf>
    <xf numFmtId="0" fontId="0" fillId="0" borderId="0" xfId="0" quotePrefix="1"/>
    <xf numFmtId="0" fontId="36" fillId="28" borderId="19" xfId="43" applyFont="1" applyFill="1" applyBorder="1"/>
    <xf numFmtId="0" fontId="36" fillId="28" borderId="20" xfId="43" applyFont="1" applyFill="1" applyBorder="1"/>
    <xf numFmtId="0" fontId="36" fillId="28" borderId="21" xfId="43" applyFont="1" applyFill="1" applyBorder="1"/>
    <xf numFmtId="0" fontId="36" fillId="28" borderId="22" xfId="43" applyFont="1" applyFill="1" applyBorder="1"/>
    <xf numFmtId="0" fontId="36" fillId="28" borderId="23" xfId="43" applyFont="1" applyFill="1" applyBorder="1"/>
    <xf numFmtId="0" fontId="36" fillId="28" borderId="24" xfId="43" applyFont="1" applyFill="1" applyBorder="1"/>
    <xf numFmtId="0" fontId="36" fillId="28" borderId="10" xfId="43" applyFont="1" applyFill="1" applyBorder="1"/>
    <xf numFmtId="0" fontId="36" fillId="28" borderId="25" xfId="43" applyFont="1" applyFill="1" applyBorder="1"/>
    <xf numFmtId="169" fontId="6" fillId="0" borderId="0" xfId="43" applyNumberFormat="1" applyFont="1" applyAlignment="1">
      <alignment horizontal="center"/>
    </xf>
    <xf numFmtId="0" fontId="6" fillId="0" borderId="0" xfId="43" applyFont="1"/>
    <xf numFmtId="0" fontId="0" fillId="0" borderId="0" xfId="43" applyFont="1"/>
    <xf numFmtId="0" fontId="8" fillId="0" borderId="0" xfId="64"/>
    <xf numFmtId="0" fontId="5" fillId="0" borderId="0" xfId="62"/>
    <xf numFmtId="169" fontId="5" fillId="0" borderId="0" xfId="62" applyNumberFormat="1" applyFont="1" applyAlignment="1">
      <alignment horizontal="center"/>
    </xf>
    <xf numFmtId="165" fontId="5" fillId="0" borderId="0" xfId="62" applyNumberFormat="1" applyFont="1"/>
    <xf numFmtId="0" fontId="34" fillId="0" borderId="0" xfId="43" applyFont="1"/>
    <xf numFmtId="0" fontId="9" fillId="28" borderId="26" xfId="43" applyFont="1" applyFill="1" applyBorder="1"/>
    <xf numFmtId="0" fontId="9" fillId="28" borderId="27" xfId="43" applyFont="1" applyFill="1" applyBorder="1" applyAlignment="1">
      <alignment horizontal="center"/>
    </xf>
    <xf numFmtId="0" fontId="9" fillId="0" borderId="0" xfId="43" applyFont="1" applyBorder="1"/>
    <xf numFmtId="0" fontId="7" fillId="0" borderId="0" xfId="43" applyFill="1"/>
    <xf numFmtId="0" fontId="42" fillId="27" borderId="0" xfId="0" applyFont="1" applyFill="1"/>
    <xf numFmtId="0" fontId="39" fillId="27" borderId="0" xfId="0" applyFont="1" applyFill="1"/>
    <xf numFmtId="169" fontId="7" fillId="0" borderId="0" xfId="43" applyNumberFormat="1"/>
    <xf numFmtId="175" fontId="36" fillId="28" borderId="10" xfId="43" applyNumberFormat="1" applyFont="1" applyFill="1" applyBorder="1" applyAlignment="1">
      <alignment horizontal="left"/>
    </xf>
    <xf numFmtId="171" fontId="8" fillId="0" borderId="13" xfId="43" applyNumberFormat="1" applyFont="1" applyFill="1" applyBorder="1"/>
    <xf numFmtId="171" fontId="8" fillId="0" borderId="18" xfId="43" applyNumberFormat="1" applyFont="1" applyBorder="1" applyAlignment="1">
      <alignment horizontal="right"/>
    </xf>
    <xf numFmtId="171" fontId="8" fillId="0" borderId="13" xfId="43" applyNumberFormat="1" applyFont="1" applyBorder="1" applyAlignment="1">
      <alignment horizontal="right"/>
    </xf>
    <xf numFmtId="171" fontId="8" fillId="0" borderId="15" xfId="43" applyNumberFormat="1" applyFont="1" applyBorder="1" applyAlignment="1">
      <alignment horizontal="right"/>
    </xf>
    <xf numFmtId="0" fontId="36" fillId="0" borderId="0" xfId="43" applyFont="1"/>
    <xf numFmtId="165" fontId="36" fillId="0" borderId="0" xfId="43" applyNumberFormat="1" applyFont="1"/>
    <xf numFmtId="169" fontId="36" fillId="0" borderId="0" xfId="43" applyNumberFormat="1" applyFont="1"/>
    <xf numFmtId="171" fontId="36" fillId="0" borderId="0" xfId="43" applyNumberFormat="1" applyFont="1"/>
    <xf numFmtId="0" fontId="0" fillId="28" borderId="0" xfId="0" applyFill="1"/>
    <xf numFmtId="0" fontId="9" fillId="0" borderId="14" xfId="43" applyFont="1" applyBorder="1"/>
    <xf numFmtId="165" fontId="9" fillId="0" borderId="15" xfId="43" applyNumberFormat="1" applyFont="1" applyBorder="1" applyAlignment="1">
      <alignment horizontal="right"/>
    </xf>
    <xf numFmtId="0" fontId="9" fillId="0" borderId="16" xfId="43" applyFont="1" applyBorder="1"/>
    <xf numFmtId="0" fontId="9" fillId="0" borderId="17" xfId="43" applyFont="1" applyBorder="1"/>
    <xf numFmtId="165" fontId="9" fillId="0" borderId="18" xfId="43" applyNumberFormat="1" applyFont="1" applyBorder="1" applyAlignment="1">
      <alignment horizontal="right"/>
    </xf>
    <xf numFmtId="0" fontId="35" fillId="0" borderId="0" xfId="43" applyFont="1" applyFill="1"/>
    <xf numFmtId="0" fontId="2" fillId="0" borderId="0" xfId="43" applyFont="1"/>
    <xf numFmtId="169" fontId="2" fillId="0" borderId="0" xfId="43" applyNumberFormat="1" applyFont="1"/>
    <xf numFmtId="165" fontId="2" fillId="0" borderId="0" xfId="43" applyNumberFormat="1" applyFont="1"/>
    <xf numFmtId="165" fontId="36" fillId="34" borderId="0" xfId="43" applyNumberFormat="1" applyFont="1" applyFill="1"/>
    <xf numFmtId="167" fontId="2" fillId="0" borderId="0" xfId="43" applyNumberFormat="1" applyFont="1" applyAlignment="1">
      <alignment horizontal="right" indent="1"/>
    </xf>
    <xf numFmtId="0" fontId="2" fillId="0" borderId="0" xfId="43" applyFont="1" applyAlignment="1">
      <alignment horizontal="right" indent="1"/>
    </xf>
    <xf numFmtId="0" fontId="38" fillId="0" borderId="0" xfId="37" quotePrefix="1" applyFont="1" applyBorder="1" applyAlignment="1" applyProtection="1">
      <alignment horizontal="left"/>
    </xf>
    <xf numFmtId="170" fontId="37" fillId="34" borderId="0" xfId="43" applyNumberFormat="1" applyFont="1" applyFill="1" applyBorder="1"/>
    <xf numFmtId="169" fontId="38" fillId="0" borderId="0" xfId="37" quotePrefix="1" applyNumberFormat="1" applyFont="1" applyFill="1" applyBorder="1" applyAlignment="1" applyProtection="1">
      <alignment horizontal="right" indent="1"/>
    </xf>
    <xf numFmtId="166" fontId="38" fillId="0" borderId="0" xfId="43" applyNumberFormat="1" applyFont="1" applyAlignment="1">
      <alignment horizontal="right" indent="1"/>
    </xf>
    <xf numFmtId="170" fontId="37" fillId="34" borderId="0" xfId="43" applyNumberFormat="1" applyFont="1" applyFill="1" applyBorder="1" applyAlignment="1">
      <alignment horizontal="right"/>
    </xf>
    <xf numFmtId="0" fontId="38" fillId="0" borderId="0" xfId="43" applyFont="1" applyAlignment="1">
      <alignment horizontal="right" indent="1"/>
    </xf>
    <xf numFmtId="168" fontId="38" fillId="0" borderId="0" xfId="43" applyNumberFormat="1" applyFont="1" applyAlignment="1">
      <alignment horizontal="right" indent="1"/>
    </xf>
    <xf numFmtId="2" fontId="37" fillId="32" borderId="0" xfId="43" applyNumberFormat="1" applyFont="1" applyFill="1" applyBorder="1" applyAlignment="1">
      <alignment horizontal="right"/>
    </xf>
    <xf numFmtId="171" fontId="38" fillId="0" borderId="0" xfId="43" applyNumberFormat="1" applyFont="1" applyBorder="1" applyAlignment="1">
      <alignment horizontal="right" indent="1"/>
    </xf>
    <xf numFmtId="171" fontId="38" fillId="0" borderId="0" xfId="43" applyNumberFormat="1" applyFont="1" applyAlignment="1">
      <alignment horizontal="right" indent="1"/>
    </xf>
    <xf numFmtId="166" fontId="37" fillId="32" borderId="0" xfId="43" applyNumberFormat="1" applyFont="1" applyFill="1" applyBorder="1" applyAlignment="1">
      <alignment horizontal="right"/>
    </xf>
    <xf numFmtId="0" fontId="38" fillId="0" borderId="0" xfId="43" applyFont="1" applyBorder="1" applyAlignment="1">
      <alignment horizontal="right" indent="1"/>
    </xf>
    <xf numFmtId="167" fontId="37" fillId="32" borderId="0" xfId="43" applyNumberFormat="1" applyFont="1" applyFill="1" applyBorder="1" applyAlignment="1">
      <alignment horizontal="right"/>
    </xf>
    <xf numFmtId="0" fontId="37" fillId="32" borderId="0" xfId="43" applyFont="1" applyFill="1" applyBorder="1"/>
    <xf numFmtId="169" fontId="37" fillId="34" borderId="0" xfId="43" applyNumberFormat="1" applyFont="1" applyFill="1" applyBorder="1"/>
    <xf numFmtId="2" fontId="38" fillId="0" borderId="0" xfId="43" applyNumberFormat="1" applyFont="1" applyBorder="1" applyAlignment="1">
      <alignment horizontal="right" indent="1"/>
    </xf>
    <xf numFmtId="2" fontId="38" fillId="0" borderId="0" xfId="43" applyNumberFormat="1" applyFont="1" applyAlignment="1">
      <alignment horizontal="right" indent="1"/>
    </xf>
    <xf numFmtId="2" fontId="37" fillId="0" borderId="0" xfId="43" applyNumberFormat="1" applyFont="1" applyFill="1" applyBorder="1"/>
    <xf numFmtId="0" fontId="38" fillId="0" borderId="0" xfId="43" applyFont="1"/>
    <xf numFmtId="0" fontId="37" fillId="0" borderId="10" xfId="43" applyFont="1" applyBorder="1"/>
    <xf numFmtId="0" fontId="37" fillId="29" borderId="0" xfId="43" applyFont="1" applyFill="1"/>
    <xf numFmtId="171" fontId="37" fillId="29" borderId="0" xfId="43" applyNumberFormat="1" applyFont="1" applyFill="1"/>
    <xf numFmtId="0" fontId="37" fillId="26" borderId="0" xfId="43" applyFont="1" applyFill="1"/>
    <xf numFmtId="171" fontId="37" fillId="26" borderId="0" xfId="43" applyNumberFormat="1" applyFont="1" applyFill="1"/>
    <xf numFmtId="0" fontId="37" fillId="0" borderId="0" xfId="43" applyFont="1" applyBorder="1"/>
    <xf numFmtId="0" fontId="38" fillId="0" borderId="10" xfId="43" applyFont="1" applyBorder="1"/>
    <xf numFmtId="0" fontId="37" fillId="0" borderId="10" xfId="43" applyFont="1" applyBorder="1" applyAlignment="1">
      <alignment horizontal="right"/>
    </xf>
    <xf numFmtId="2" fontId="37" fillId="0" borderId="0" xfId="43" applyNumberFormat="1" applyFont="1" applyAlignment="1">
      <alignment horizontal="right"/>
    </xf>
    <xf numFmtId="0" fontId="37" fillId="25" borderId="0" xfId="43" applyFont="1" applyFill="1"/>
    <xf numFmtId="2" fontId="37" fillId="25" borderId="0" xfId="43" applyNumberFormat="1" applyFont="1" applyFill="1" applyAlignment="1">
      <alignment horizontal="right"/>
    </xf>
    <xf numFmtId="165" fontId="38" fillId="0" borderId="0" xfId="43" applyNumberFormat="1" applyFont="1"/>
    <xf numFmtId="170" fontId="8" fillId="0" borderId="13" xfId="43" applyNumberFormat="1" applyFont="1" applyBorder="1" applyAlignment="1">
      <alignment horizontal="right"/>
    </xf>
    <xf numFmtId="170" fontId="8" fillId="0" borderId="15" xfId="43" applyNumberFormat="1" applyFont="1" applyBorder="1" applyAlignment="1">
      <alignment horizontal="right"/>
    </xf>
    <xf numFmtId="170" fontId="9" fillId="0" borderId="15" xfId="43" applyNumberFormat="1" applyFont="1" applyFill="1" applyBorder="1" applyAlignment="1">
      <alignment horizontal="right"/>
    </xf>
    <xf numFmtId="0" fontId="10" fillId="24" borderId="11" xfId="43" applyFont="1" applyFill="1" applyBorder="1"/>
    <xf numFmtId="0" fontId="11" fillId="24" borderId="12" xfId="43" applyFont="1" applyFill="1" applyBorder="1"/>
    <xf numFmtId="0" fontId="11" fillId="24" borderId="13" xfId="43" applyFont="1" applyFill="1" applyBorder="1"/>
    <xf numFmtId="0" fontId="9" fillId="33" borderId="16" xfId="43" applyFont="1" applyFill="1" applyBorder="1"/>
    <xf numFmtId="0" fontId="9" fillId="33" borderId="17" xfId="43" applyFont="1" applyFill="1" applyBorder="1"/>
    <xf numFmtId="167" fontId="9" fillId="33" borderId="18" xfId="43" applyNumberFormat="1" applyFont="1" applyFill="1" applyBorder="1" applyAlignment="1">
      <alignment horizontal="right"/>
    </xf>
    <xf numFmtId="0" fontId="9" fillId="30" borderId="16" xfId="43" applyFont="1" applyFill="1" applyBorder="1"/>
    <xf numFmtId="0" fontId="9" fillId="30" borderId="17" xfId="43" applyFont="1" applyFill="1" applyBorder="1"/>
    <xf numFmtId="166" fontId="9" fillId="30" borderId="18" xfId="43" applyNumberFormat="1" applyFont="1" applyFill="1" applyBorder="1" applyAlignment="1">
      <alignment horizontal="right"/>
    </xf>
    <xf numFmtId="0" fontId="45" fillId="27" borderId="0" xfId="43" applyFont="1" applyFill="1"/>
    <xf numFmtId="0" fontId="46" fillId="0" borderId="0" xfId="43" applyFont="1"/>
    <xf numFmtId="0" fontId="47" fillId="0" borderId="17" xfId="43" applyFont="1" applyBorder="1" applyAlignment="1">
      <alignment horizontal="center"/>
    </xf>
    <xf numFmtId="165" fontId="46" fillId="31" borderId="0" xfId="43" applyNumberFormat="1" applyFont="1" applyFill="1" applyAlignment="1">
      <alignment horizontal="center"/>
    </xf>
    <xf numFmtId="174" fontId="46" fillId="0" borderId="0" xfId="43" applyNumberFormat="1" applyFont="1"/>
    <xf numFmtId="165" fontId="46" fillId="0" borderId="0" xfId="43" applyNumberFormat="1" applyFont="1" applyAlignment="1">
      <alignment horizontal="center"/>
    </xf>
    <xf numFmtId="165" fontId="46" fillId="0" borderId="0" xfId="78" applyNumberFormat="1" applyFont="1" applyAlignment="1">
      <alignment horizontal="center"/>
    </xf>
    <xf numFmtId="169" fontId="46" fillId="0" borderId="0" xfId="72" applyNumberFormat="1" applyFont="1" applyAlignment="1">
      <alignment horizontal="center"/>
    </xf>
    <xf numFmtId="169" fontId="46" fillId="31" borderId="0" xfId="43" applyNumberFormat="1" applyFont="1" applyFill="1" applyAlignment="1">
      <alignment horizontal="center"/>
    </xf>
    <xf numFmtId="169" fontId="46" fillId="0" borderId="0" xfId="43" applyNumberFormat="1" applyFont="1" applyAlignment="1">
      <alignment horizontal="center"/>
    </xf>
    <xf numFmtId="169" fontId="46" fillId="0" borderId="0" xfId="43" applyNumberFormat="1" applyFont="1" applyFill="1" applyAlignment="1">
      <alignment horizontal="center"/>
    </xf>
    <xf numFmtId="2" fontId="46" fillId="0" borderId="0" xfId="43" applyNumberFormat="1" applyFont="1" applyAlignment="1">
      <alignment horizontal="center"/>
    </xf>
    <xf numFmtId="0" fontId="49" fillId="0" borderId="0" xfId="43" applyFont="1" applyBorder="1"/>
    <xf numFmtId="166" fontId="46" fillId="31" borderId="0" xfId="43" applyNumberFormat="1" applyFont="1" applyFill="1" applyAlignment="1">
      <alignment horizontal="center"/>
    </xf>
    <xf numFmtId="166" fontId="46" fillId="0" borderId="0" xfId="43" applyNumberFormat="1" applyFont="1" applyAlignment="1">
      <alignment horizontal="center"/>
    </xf>
    <xf numFmtId="0" fontId="8" fillId="0" borderId="0" xfId="0" applyFont="1"/>
    <xf numFmtId="0" fontId="0" fillId="0" borderId="0" xfId="0" applyAlignment="1">
      <alignment horizontal="right"/>
    </xf>
    <xf numFmtId="176" fontId="0" fillId="0" borderId="0" xfId="0" applyNumberFormat="1" applyAlignment="1">
      <alignment horizontal="right"/>
    </xf>
    <xf numFmtId="177" fontId="0" fillId="0" borderId="0" xfId="0" applyNumberFormat="1" applyAlignment="1">
      <alignment horizontal="right"/>
    </xf>
    <xf numFmtId="0" fontId="0" fillId="0" borderId="0" xfId="0" applyAlignment="1">
      <alignment horizontal="left"/>
    </xf>
    <xf numFmtId="0" fontId="9" fillId="0" borderId="0" xfId="0" applyFont="1" applyBorder="1" applyAlignment="1">
      <alignment horizontal="left"/>
    </xf>
    <xf numFmtId="176" fontId="9" fillId="0" borderId="0" xfId="0" applyNumberFormat="1" applyFont="1" applyBorder="1" applyAlignment="1">
      <alignment horizontal="right"/>
    </xf>
    <xf numFmtId="177" fontId="9" fillId="0" borderId="0" xfId="0" applyNumberFormat="1" applyFont="1" applyBorder="1" applyAlignment="1">
      <alignment horizontal="right"/>
    </xf>
    <xf numFmtId="0" fontId="9" fillId="0" borderId="17" xfId="0" applyFont="1" applyBorder="1" applyAlignment="1">
      <alignment horizontal="left"/>
    </xf>
    <xf numFmtId="176" fontId="9" fillId="0" borderId="17" xfId="0" applyNumberFormat="1" applyFont="1" applyBorder="1" applyAlignment="1">
      <alignment horizontal="right"/>
    </xf>
    <xf numFmtId="177" fontId="9" fillId="0" borderId="17" xfId="0" applyNumberFormat="1" applyFont="1" applyBorder="1" applyAlignment="1">
      <alignment horizontal="right"/>
    </xf>
    <xf numFmtId="4" fontId="0" fillId="0" borderId="0" xfId="0" applyNumberFormat="1" applyAlignment="1">
      <alignment horizontal="right"/>
    </xf>
    <xf numFmtId="0" fontId="9" fillId="0" borderId="0" xfId="0" applyFont="1" applyBorder="1" applyAlignment="1">
      <alignment horizontal="right"/>
    </xf>
    <xf numFmtId="0" fontId="9" fillId="0" borderId="17" xfId="0" applyFont="1" applyBorder="1" applyAlignment="1">
      <alignment horizontal="right"/>
    </xf>
    <xf numFmtId="166" fontId="0" fillId="0" borderId="0" xfId="0" applyNumberFormat="1" applyAlignment="1">
      <alignment horizontal="right"/>
    </xf>
    <xf numFmtId="0" fontId="9" fillId="0" borderId="0" xfId="37" applyFont="1" applyFill="1" applyBorder="1" applyAlignment="1" applyProtection="1">
      <alignment horizontal="center"/>
    </xf>
    <xf numFmtId="0" fontId="37" fillId="0" borderId="0" xfId="37" applyFont="1" applyFill="1" applyBorder="1" applyAlignment="1" applyProtection="1">
      <alignment horizontal="center"/>
    </xf>
  </cellXfs>
  <cellStyles count="8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2" xfId="44"/>
    <cellStyle name="Comma 2 2" xfId="46"/>
    <cellStyle name="Comma 2 3" xfId="63"/>
    <cellStyle name="Comma 2 3 2" xfId="69"/>
    <cellStyle name="Comma 2 3 2 2" xfId="79"/>
    <cellStyle name="Comma 2 3 3" xfId="75"/>
    <cellStyle name="Comma 2 4" xfId="67"/>
    <cellStyle name="Comma 2 4 2" xfId="77"/>
    <cellStyle name="Comma 2 5" xfId="73"/>
    <cellStyle name="Comma 3" xfId="60"/>
    <cellStyle name="Comma 4" xfId="51"/>
    <cellStyle name="Euro" xfId="52"/>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Millares_GAAP" xfId="53"/>
    <cellStyle name="Neutral" xfId="36" builtinId="28" customBuiltin="1"/>
    <cellStyle name="Normal" xfId="0" builtinId="0"/>
    <cellStyle name="Normal - Style1" xfId="54"/>
    <cellStyle name="Normal - Style2" xfId="55"/>
    <cellStyle name="Normal 10" xfId="65"/>
    <cellStyle name="Normal 11" xfId="70"/>
    <cellStyle name="Normal 12" xfId="71"/>
    <cellStyle name="Normal 2" xfId="43"/>
    <cellStyle name="Normal 2 2" xfId="45"/>
    <cellStyle name="Normal 2 3" xfId="62"/>
    <cellStyle name="Normal 2 3 2" xfId="68"/>
    <cellStyle name="Normal 2 3 2 2" xfId="78"/>
    <cellStyle name="Normal 2 3 3" xfId="74"/>
    <cellStyle name="Normal 2 4" xfId="56"/>
    <cellStyle name="Normal 2 5" xfId="66"/>
    <cellStyle name="Normal 2 5 2" xfId="76"/>
    <cellStyle name="Normal 2 6" xfId="72"/>
    <cellStyle name="Normal 3" xfId="59"/>
    <cellStyle name="Normal 4" xfId="61"/>
    <cellStyle name="Normal 5" xfId="48"/>
    <cellStyle name="Normal 6" xfId="58"/>
    <cellStyle name="Normal 7" xfId="49"/>
    <cellStyle name="Normal 8" xfId="64"/>
    <cellStyle name="Normal 9" xfId="50"/>
    <cellStyle name="Normal_Data" xfId="37"/>
    <cellStyle name="Normal_Sheet1" xfId="47"/>
    <cellStyle name="Note" xfId="38" builtinId="10" customBuiltin="1"/>
    <cellStyle name="Output" xfId="39" builtinId="21" customBuiltin="1"/>
    <cellStyle name="Percent 2" xfId="57"/>
    <cellStyle name="Title" xfId="40" builtinId="15" customBuiltin="1"/>
    <cellStyle name="Total" xfId="41" builtinId="25" customBuiltin="1"/>
    <cellStyle name="Warning Text" xfId="42"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4"/>
            <c:spPr>
              <a:solidFill>
                <a:srgbClr val="FFC000"/>
              </a:solidFill>
              <a:ln>
                <a:solidFill>
                  <a:schemeClr val="tx1"/>
                </a:solidFill>
              </a:ln>
            </c:spPr>
          </c:marker>
          <c:xVal>
            <c:numRef>
              <c:f>'PHI vs Sw'!$D$3:$D$2026</c:f>
              <c:numCache>
                <c:formatCode>0.000</c:formatCode>
                <c:ptCount val="2024"/>
                <c:pt idx="0">
                  <c:v>0.16</c:v>
                </c:pt>
                <c:pt idx="1">
                  <c:v>0.16</c:v>
                </c:pt>
                <c:pt idx="2">
                  <c:v>0.15</c:v>
                </c:pt>
                <c:pt idx="3">
                  <c:v>0.16</c:v>
                </c:pt>
                <c:pt idx="4">
                  <c:v>0.16</c:v>
                </c:pt>
                <c:pt idx="5">
                  <c:v>0.15</c:v>
                </c:pt>
                <c:pt idx="6">
                  <c:v>0.15</c:v>
                </c:pt>
                <c:pt idx="7">
                  <c:v>0.15</c:v>
                </c:pt>
                <c:pt idx="8">
                  <c:v>0.16</c:v>
                </c:pt>
                <c:pt idx="9">
                  <c:v>0.16</c:v>
                </c:pt>
                <c:pt idx="10">
                  <c:v>0.16</c:v>
                </c:pt>
                <c:pt idx="11">
                  <c:v>0.16</c:v>
                </c:pt>
                <c:pt idx="12">
                  <c:v>0.16</c:v>
                </c:pt>
                <c:pt idx="13">
                  <c:v>0.16</c:v>
                </c:pt>
                <c:pt idx="14">
                  <c:v>0.17</c:v>
                </c:pt>
                <c:pt idx="15">
                  <c:v>0.18</c:v>
                </c:pt>
                <c:pt idx="16">
                  <c:v>0.18</c:v>
                </c:pt>
                <c:pt idx="17">
                  <c:v>0.19</c:v>
                </c:pt>
                <c:pt idx="18">
                  <c:v>0.19</c:v>
                </c:pt>
                <c:pt idx="19">
                  <c:v>0.18</c:v>
                </c:pt>
                <c:pt idx="20">
                  <c:v>0.18</c:v>
                </c:pt>
                <c:pt idx="21">
                  <c:v>0.17</c:v>
                </c:pt>
                <c:pt idx="22">
                  <c:v>0.17</c:v>
                </c:pt>
                <c:pt idx="23">
                  <c:v>0.17</c:v>
                </c:pt>
                <c:pt idx="24">
                  <c:v>0.17</c:v>
                </c:pt>
                <c:pt idx="25">
                  <c:v>0.18</c:v>
                </c:pt>
                <c:pt idx="26">
                  <c:v>0.17</c:v>
                </c:pt>
                <c:pt idx="27">
                  <c:v>0.17</c:v>
                </c:pt>
                <c:pt idx="28">
                  <c:v>0.17</c:v>
                </c:pt>
                <c:pt idx="29">
                  <c:v>0.18</c:v>
                </c:pt>
                <c:pt idx="30">
                  <c:v>0.18</c:v>
                </c:pt>
                <c:pt idx="31">
                  <c:v>0.18</c:v>
                </c:pt>
                <c:pt idx="32">
                  <c:v>0.18</c:v>
                </c:pt>
                <c:pt idx="33">
                  <c:v>0.18</c:v>
                </c:pt>
                <c:pt idx="34">
                  <c:v>0.17</c:v>
                </c:pt>
                <c:pt idx="35">
                  <c:v>0.17</c:v>
                </c:pt>
                <c:pt idx="36">
                  <c:v>0.16</c:v>
                </c:pt>
                <c:pt idx="37">
                  <c:v>0.16</c:v>
                </c:pt>
                <c:pt idx="38">
                  <c:v>0.16</c:v>
                </c:pt>
                <c:pt idx="39">
                  <c:v>0.16</c:v>
                </c:pt>
                <c:pt idx="40">
                  <c:v>0.17</c:v>
                </c:pt>
                <c:pt idx="41">
                  <c:v>0.17</c:v>
                </c:pt>
                <c:pt idx="42">
                  <c:v>0.18</c:v>
                </c:pt>
                <c:pt idx="43">
                  <c:v>0.18</c:v>
                </c:pt>
                <c:pt idx="44">
                  <c:v>0.18</c:v>
                </c:pt>
                <c:pt idx="45">
                  <c:v>0.17</c:v>
                </c:pt>
                <c:pt idx="46">
                  <c:v>0.17</c:v>
                </c:pt>
                <c:pt idx="47">
                  <c:v>0.16</c:v>
                </c:pt>
                <c:pt idx="48">
                  <c:v>0.16</c:v>
                </c:pt>
                <c:pt idx="49">
                  <c:v>0.15</c:v>
                </c:pt>
                <c:pt idx="50">
                  <c:v>0.14000000000000001</c:v>
                </c:pt>
                <c:pt idx="51">
                  <c:v>0.15</c:v>
                </c:pt>
                <c:pt idx="52">
                  <c:v>0.14000000000000001</c:v>
                </c:pt>
                <c:pt idx="53">
                  <c:v>0.13</c:v>
                </c:pt>
                <c:pt idx="54">
                  <c:v>0.13</c:v>
                </c:pt>
                <c:pt idx="55">
                  <c:v>0.12</c:v>
                </c:pt>
                <c:pt idx="56">
                  <c:v>0.13</c:v>
                </c:pt>
                <c:pt idx="57">
                  <c:v>0.14000000000000001</c:v>
                </c:pt>
                <c:pt idx="58">
                  <c:v>0.16</c:v>
                </c:pt>
                <c:pt idx="59">
                  <c:v>0.16</c:v>
                </c:pt>
                <c:pt idx="60">
                  <c:v>0.15</c:v>
                </c:pt>
                <c:pt idx="61">
                  <c:v>0.14000000000000001</c:v>
                </c:pt>
                <c:pt idx="62">
                  <c:v>0.14000000000000001</c:v>
                </c:pt>
                <c:pt idx="63">
                  <c:v>0.14000000000000001</c:v>
                </c:pt>
                <c:pt idx="64">
                  <c:v>0.14000000000000001</c:v>
                </c:pt>
                <c:pt idx="65">
                  <c:v>0.14000000000000001</c:v>
                </c:pt>
                <c:pt idx="66">
                  <c:v>0.13</c:v>
                </c:pt>
                <c:pt idx="67">
                  <c:v>0.13</c:v>
                </c:pt>
                <c:pt idx="68">
                  <c:v>0.14000000000000001</c:v>
                </c:pt>
                <c:pt idx="69">
                  <c:v>0.15</c:v>
                </c:pt>
                <c:pt idx="70">
                  <c:v>0.16</c:v>
                </c:pt>
                <c:pt idx="71">
                  <c:v>0.17</c:v>
                </c:pt>
                <c:pt idx="72">
                  <c:v>0.18</c:v>
                </c:pt>
                <c:pt idx="73">
                  <c:v>0.19</c:v>
                </c:pt>
                <c:pt idx="74">
                  <c:v>0.2</c:v>
                </c:pt>
                <c:pt idx="75">
                  <c:v>0.2</c:v>
                </c:pt>
                <c:pt idx="76">
                  <c:v>0.19</c:v>
                </c:pt>
                <c:pt idx="77">
                  <c:v>0.19</c:v>
                </c:pt>
                <c:pt idx="78">
                  <c:v>0.19</c:v>
                </c:pt>
                <c:pt idx="79">
                  <c:v>0.19</c:v>
                </c:pt>
                <c:pt idx="80">
                  <c:v>0.2</c:v>
                </c:pt>
                <c:pt idx="81">
                  <c:v>0.21</c:v>
                </c:pt>
                <c:pt idx="82">
                  <c:v>0.2</c:v>
                </c:pt>
                <c:pt idx="83">
                  <c:v>0.19</c:v>
                </c:pt>
                <c:pt idx="84">
                  <c:v>0.19</c:v>
                </c:pt>
                <c:pt idx="85">
                  <c:v>0.19</c:v>
                </c:pt>
                <c:pt idx="86">
                  <c:v>0.2</c:v>
                </c:pt>
                <c:pt idx="87">
                  <c:v>0.2</c:v>
                </c:pt>
                <c:pt idx="88">
                  <c:v>0.2</c:v>
                </c:pt>
                <c:pt idx="89">
                  <c:v>0.2</c:v>
                </c:pt>
                <c:pt idx="90">
                  <c:v>0.2</c:v>
                </c:pt>
                <c:pt idx="91">
                  <c:v>0.2</c:v>
                </c:pt>
                <c:pt idx="92">
                  <c:v>0.19</c:v>
                </c:pt>
                <c:pt idx="93">
                  <c:v>0.2</c:v>
                </c:pt>
                <c:pt idx="94">
                  <c:v>0.19</c:v>
                </c:pt>
                <c:pt idx="95">
                  <c:v>0.19</c:v>
                </c:pt>
                <c:pt idx="96">
                  <c:v>0.2</c:v>
                </c:pt>
                <c:pt idx="97">
                  <c:v>0.2</c:v>
                </c:pt>
                <c:pt idx="98">
                  <c:v>0.2</c:v>
                </c:pt>
                <c:pt idx="99">
                  <c:v>0.2</c:v>
                </c:pt>
                <c:pt idx="100">
                  <c:v>0.2</c:v>
                </c:pt>
                <c:pt idx="101">
                  <c:v>0.2</c:v>
                </c:pt>
                <c:pt idx="102">
                  <c:v>0.21</c:v>
                </c:pt>
                <c:pt idx="103">
                  <c:v>0.21</c:v>
                </c:pt>
                <c:pt idx="104">
                  <c:v>0.21</c:v>
                </c:pt>
                <c:pt idx="105">
                  <c:v>0.2</c:v>
                </c:pt>
                <c:pt idx="106">
                  <c:v>0.2</c:v>
                </c:pt>
                <c:pt idx="107">
                  <c:v>0.2</c:v>
                </c:pt>
                <c:pt idx="108">
                  <c:v>0.2</c:v>
                </c:pt>
                <c:pt idx="109">
                  <c:v>0.2</c:v>
                </c:pt>
                <c:pt idx="110">
                  <c:v>0.2</c:v>
                </c:pt>
                <c:pt idx="111">
                  <c:v>0.2</c:v>
                </c:pt>
                <c:pt idx="112">
                  <c:v>0.2</c:v>
                </c:pt>
                <c:pt idx="113">
                  <c:v>0.21</c:v>
                </c:pt>
                <c:pt idx="114">
                  <c:v>0.21</c:v>
                </c:pt>
                <c:pt idx="115">
                  <c:v>0.21</c:v>
                </c:pt>
                <c:pt idx="116">
                  <c:v>0.2</c:v>
                </c:pt>
                <c:pt idx="117">
                  <c:v>0.21</c:v>
                </c:pt>
                <c:pt idx="118">
                  <c:v>0.21</c:v>
                </c:pt>
                <c:pt idx="119">
                  <c:v>0.2</c:v>
                </c:pt>
                <c:pt idx="120">
                  <c:v>0.2</c:v>
                </c:pt>
                <c:pt idx="121">
                  <c:v>0.2</c:v>
                </c:pt>
                <c:pt idx="122">
                  <c:v>0.21</c:v>
                </c:pt>
                <c:pt idx="123">
                  <c:v>0.21</c:v>
                </c:pt>
                <c:pt idx="124">
                  <c:v>0.21</c:v>
                </c:pt>
                <c:pt idx="125">
                  <c:v>0.21</c:v>
                </c:pt>
                <c:pt idx="126">
                  <c:v>0.21</c:v>
                </c:pt>
                <c:pt idx="127">
                  <c:v>0.21</c:v>
                </c:pt>
                <c:pt idx="128">
                  <c:v>0.21</c:v>
                </c:pt>
                <c:pt idx="129">
                  <c:v>0.21</c:v>
                </c:pt>
                <c:pt idx="130">
                  <c:v>0.2</c:v>
                </c:pt>
                <c:pt idx="131">
                  <c:v>0.21</c:v>
                </c:pt>
                <c:pt idx="132">
                  <c:v>0.21</c:v>
                </c:pt>
                <c:pt idx="133">
                  <c:v>0.21</c:v>
                </c:pt>
                <c:pt idx="134">
                  <c:v>0.2</c:v>
                </c:pt>
                <c:pt idx="135">
                  <c:v>0.21</c:v>
                </c:pt>
                <c:pt idx="136">
                  <c:v>0.21</c:v>
                </c:pt>
                <c:pt idx="137">
                  <c:v>0.21</c:v>
                </c:pt>
                <c:pt idx="138">
                  <c:v>0.22</c:v>
                </c:pt>
                <c:pt idx="139">
                  <c:v>0.22</c:v>
                </c:pt>
                <c:pt idx="140">
                  <c:v>0.22</c:v>
                </c:pt>
                <c:pt idx="141">
                  <c:v>0.21</c:v>
                </c:pt>
                <c:pt idx="142">
                  <c:v>0.21</c:v>
                </c:pt>
                <c:pt idx="143">
                  <c:v>0.22</c:v>
                </c:pt>
                <c:pt idx="144">
                  <c:v>0.22</c:v>
                </c:pt>
                <c:pt idx="145">
                  <c:v>0.22</c:v>
                </c:pt>
                <c:pt idx="146">
                  <c:v>0.22</c:v>
                </c:pt>
                <c:pt idx="147">
                  <c:v>0.22</c:v>
                </c:pt>
                <c:pt idx="148">
                  <c:v>0.23</c:v>
                </c:pt>
                <c:pt idx="149">
                  <c:v>0.22</c:v>
                </c:pt>
                <c:pt idx="150">
                  <c:v>0.22</c:v>
                </c:pt>
                <c:pt idx="151">
                  <c:v>0.22</c:v>
                </c:pt>
                <c:pt idx="152">
                  <c:v>0.22</c:v>
                </c:pt>
                <c:pt idx="153">
                  <c:v>0.21</c:v>
                </c:pt>
                <c:pt idx="154">
                  <c:v>0.21</c:v>
                </c:pt>
                <c:pt idx="155">
                  <c:v>0.21</c:v>
                </c:pt>
                <c:pt idx="156">
                  <c:v>0.22</c:v>
                </c:pt>
                <c:pt idx="157">
                  <c:v>0.22</c:v>
                </c:pt>
                <c:pt idx="158">
                  <c:v>0.22</c:v>
                </c:pt>
                <c:pt idx="159">
                  <c:v>0.22</c:v>
                </c:pt>
                <c:pt idx="160">
                  <c:v>0.21</c:v>
                </c:pt>
                <c:pt idx="161">
                  <c:v>0.21</c:v>
                </c:pt>
                <c:pt idx="162">
                  <c:v>0.21</c:v>
                </c:pt>
                <c:pt idx="163">
                  <c:v>0.21</c:v>
                </c:pt>
                <c:pt idx="164">
                  <c:v>0.22</c:v>
                </c:pt>
                <c:pt idx="165">
                  <c:v>0.22</c:v>
                </c:pt>
                <c:pt idx="166">
                  <c:v>0.21</c:v>
                </c:pt>
                <c:pt idx="167">
                  <c:v>0.21</c:v>
                </c:pt>
                <c:pt idx="168">
                  <c:v>0.22</c:v>
                </c:pt>
                <c:pt idx="169">
                  <c:v>0.23</c:v>
                </c:pt>
                <c:pt idx="170">
                  <c:v>0.23</c:v>
                </c:pt>
                <c:pt idx="171">
                  <c:v>0.23</c:v>
                </c:pt>
                <c:pt idx="172">
                  <c:v>0.23</c:v>
                </c:pt>
                <c:pt idx="173">
                  <c:v>0.23</c:v>
                </c:pt>
                <c:pt idx="174">
                  <c:v>0.24</c:v>
                </c:pt>
                <c:pt idx="175">
                  <c:v>0.24</c:v>
                </c:pt>
                <c:pt idx="176">
                  <c:v>0.24</c:v>
                </c:pt>
                <c:pt idx="177">
                  <c:v>0.24</c:v>
                </c:pt>
                <c:pt idx="178">
                  <c:v>0.24</c:v>
                </c:pt>
                <c:pt idx="179">
                  <c:v>0.23</c:v>
                </c:pt>
                <c:pt idx="180">
                  <c:v>0.22</c:v>
                </c:pt>
                <c:pt idx="181">
                  <c:v>0.22</c:v>
                </c:pt>
                <c:pt idx="182">
                  <c:v>0.22</c:v>
                </c:pt>
                <c:pt idx="183">
                  <c:v>0.22</c:v>
                </c:pt>
                <c:pt idx="184">
                  <c:v>0.22</c:v>
                </c:pt>
                <c:pt idx="185">
                  <c:v>0.22</c:v>
                </c:pt>
                <c:pt idx="186">
                  <c:v>0.22</c:v>
                </c:pt>
                <c:pt idx="187">
                  <c:v>0.22</c:v>
                </c:pt>
                <c:pt idx="188">
                  <c:v>0.21</c:v>
                </c:pt>
                <c:pt idx="189">
                  <c:v>0.21</c:v>
                </c:pt>
                <c:pt idx="190">
                  <c:v>0.2</c:v>
                </c:pt>
                <c:pt idx="191">
                  <c:v>0.21</c:v>
                </c:pt>
                <c:pt idx="192">
                  <c:v>0.21</c:v>
                </c:pt>
                <c:pt idx="193">
                  <c:v>0.21</c:v>
                </c:pt>
                <c:pt idx="194">
                  <c:v>0.2</c:v>
                </c:pt>
                <c:pt idx="195">
                  <c:v>0.21</c:v>
                </c:pt>
                <c:pt idx="196">
                  <c:v>0.22</c:v>
                </c:pt>
                <c:pt idx="197">
                  <c:v>0.23</c:v>
                </c:pt>
                <c:pt idx="198">
                  <c:v>0.23</c:v>
                </c:pt>
                <c:pt idx="199">
                  <c:v>0.22</c:v>
                </c:pt>
                <c:pt idx="200">
                  <c:v>0.22</c:v>
                </c:pt>
                <c:pt idx="201">
                  <c:v>0.22</c:v>
                </c:pt>
                <c:pt idx="202">
                  <c:v>0.22</c:v>
                </c:pt>
                <c:pt idx="203">
                  <c:v>0.21</c:v>
                </c:pt>
                <c:pt idx="204">
                  <c:v>0.21</c:v>
                </c:pt>
                <c:pt idx="205">
                  <c:v>0.22</c:v>
                </c:pt>
                <c:pt idx="206">
                  <c:v>0.22</c:v>
                </c:pt>
                <c:pt idx="207">
                  <c:v>0.22</c:v>
                </c:pt>
                <c:pt idx="208">
                  <c:v>0.21</c:v>
                </c:pt>
                <c:pt idx="209">
                  <c:v>0.22</c:v>
                </c:pt>
                <c:pt idx="210">
                  <c:v>0.22</c:v>
                </c:pt>
                <c:pt idx="211">
                  <c:v>0.22</c:v>
                </c:pt>
                <c:pt idx="212">
                  <c:v>0.22</c:v>
                </c:pt>
                <c:pt idx="213">
                  <c:v>0.22</c:v>
                </c:pt>
                <c:pt idx="214">
                  <c:v>0.22</c:v>
                </c:pt>
                <c:pt idx="215">
                  <c:v>0.22</c:v>
                </c:pt>
                <c:pt idx="216">
                  <c:v>0.23</c:v>
                </c:pt>
                <c:pt idx="217">
                  <c:v>0.22</c:v>
                </c:pt>
                <c:pt idx="218">
                  <c:v>0.23</c:v>
                </c:pt>
                <c:pt idx="219">
                  <c:v>0.23</c:v>
                </c:pt>
                <c:pt idx="220">
                  <c:v>0.23</c:v>
                </c:pt>
                <c:pt idx="221">
                  <c:v>0.22</c:v>
                </c:pt>
                <c:pt idx="222">
                  <c:v>0.23</c:v>
                </c:pt>
                <c:pt idx="223">
                  <c:v>0.23</c:v>
                </c:pt>
                <c:pt idx="224">
                  <c:v>0.24</c:v>
                </c:pt>
                <c:pt idx="225">
                  <c:v>0.24</c:v>
                </c:pt>
                <c:pt idx="226">
                  <c:v>0.24</c:v>
                </c:pt>
                <c:pt idx="227">
                  <c:v>0.24</c:v>
                </c:pt>
                <c:pt idx="228">
                  <c:v>0.23</c:v>
                </c:pt>
                <c:pt idx="229">
                  <c:v>0.23</c:v>
                </c:pt>
                <c:pt idx="230">
                  <c:v>0.22</c:v>
                </c:pt>
                <c:pt idx="231">
                  <c:v>0.22</c:v>
                </c:pt>
                <c:pt idx="232">
                  <c:v>0.22</c:v>
                </c:pt>
                <c:pt idx="233">
                  <c:v>0.22</c:v>
                </c:pt>
                <c:pt idx="234">
                  <c:v>0.22</c:v>
                </c:pt>
                <c:pt idx="235">
                  <c:v>0.23</c:v>
                </c:pt>
                <c:pt idx="236">
                  <c:v>0.23</c:v>
                </c:pt>
                <c:pt idx="237">
                  <c:v>0.23</c:v>
                </c:pt>
                <c:pt idx="238">
                  <c:v>0.23</c:v>
                </c:pt>
                <c:pt idx="239">
                  <c:v>0.23</c:v>
                </c:pt>
                <c:pt idx="240">
                  <c:v>0.23</c:v>
                </c:pt>
                <c:pt idx="241">
                  <c:v>0.23</c:v>
                </c:pt>
                <c:pt idx="242">
                  <c:v>0.22</c:v>
                </c:pt>
                <c:pt idx="243">
                  <c:v>0.23</c:v>
                </c:pt>
                <c:pt idx="244">
                  <c:v>0.23</c:v>
                </c:pt>
                <c:pt idx="245">
                  <c:v>0.23</c:v>
                </c:pt>
                <c:pt idx="246">
                  <c:v>0.23</c:v>
                </c:pt>
                <c:pt idx="247">
                  <c:v>0.23</c:v>
                </c:pt>
                <c:pt idx="248">
                  <c:v>0.22</c:v>
                </c:pt>
                <c:pt idx="249">
                  <c:v>0.22</c:v>
                </c:pt>
                <c:pt idx="250">
                  <c:v>0.23</c:v>
                </c:pt>
                <c:pt idx="251">
                  <c:v>0.23</c:v>
                </c:pt>
                <c:pt idx="252">
                  <c:v>0.24</c:v>
                </c:pt>
                <c:pt idx="253">
                  <c:v>0.24</c:v>
                </c:pt>
                <c:pt idx="254">
                  <c:v>0.24</c:v>
                </c:pt>
                <c:pt idx="255">
                  <c:v>0.25</c:v>
                </c:pt>
                <c:pt idx="256">
                  <c:v>0.24</c:v>
                </c:pt>
                <c:pt idx="257">
                  <c:v>0.24</c:v>
                </c:pt>
                <c:pt idx="258">
                  <c:v>0.24</c:v>
                </c:pt>
                <c:pt idx="259">
                  <c:v>0.24</c:v>
                </c:pt>
                <c:pt idx="260">
                  <c:v>0.24</c:v>
                </c:pt>
                <c:pt idx="261">
                  <c:v>0.23</c:v>
                </c:pt>
                <c:pt idx="262">
                  <c:v>0.23</c:v>
                </c:pt>
                <c:pt idx="263">
                  <c:v>0.23</c:v>
                </c:pt>
                <c:pt idx="264">
                  <c:v>0.24</c:v>
                </c:pt>
                <c:pt idx="265">
                  <c:v>0.24</c:v>
                </c:pt>
                <c:pt idx="266">
                  <c:v>0.24</c:v>
                </c:pt>
                <c:pt idx="267">
                  <c:v>0.24</c:v>
                </c:pt>
                <c:pt idx="268">
                  <c:v>0.23</c:v>
                </c:pt>
                <c:pt idx="269">
                  <c:v>0.23</c:v>
                </c:pt>
                <c:pt idx="270">
                  <c:v>0.23</c:v>
                </c:pt>
                <c:pt idx="271">
                  <c:v>0.24</c:v>
                </c:pt>
                <c:pt idx="272">
                  <c:v>0.24</c:v>
                </c:pt>
                <c:pt idx="273">
                  <c:v>0.23</c:v>
                </c:pt>
                <c:pt idx="274">
                  <c:v>0.23</c:v>
                </c:pt>
                <c:pt idx="275">
                  <c:v>0.23</c:v>
                </c:pt>
                <c:pt idx="276">
                  <c:v>0.23</c:v>
                </c:pt>
                <c:pt idx="277">
                  <c:v>0.23</c:v>
                </c:pt>
                <c:pt idx="278">
                  <c:v>0.24</c:v>
                </c:pt>
                <c:pt idx="279">
                  <c:v>0.23</c:v>
                </c:pt>
                <c:pt idx="280">
                  <c:v>0.23</c:v>
                </c:pt>
                <c:pt idx="281">
                  <c:v>0.23</c:v>
                </c:pt>
                <c:pt idx="282">
                  <c:v>0.22</c:v>
                </c:pt>
                <c:pt idx="283">
                  <c:v>0.22</c:v>
                </c:pt>
                <c:pt idx="284">
                  <c:v>0.23</c:v>
                </c:pt>
                <c:pt idx="285">
                  <c:v>0.23</c:v>
                </c:pt>
                <c:pt idx="286">
                  <c:v>0.23</c:v>
                </c:pt>
                <c:pt idx="287">
                  <c:v>0.23</c:v>
                </c:pt>
                <c:pt idx="288">
                  <c:v>0.23</c:v>
                </c:pt>
                <c:pt idx="289">
                  <c:v>0.23</c:v>
                </c:pt>
                <c:pt idx="290">
                  <c:v>0.23</c:v>
                </c:pt>
                <c:pt idx="291">
                  <c:v>0.22</c:v>
                </c:pt>
                <c:pt idx="292">
                  <c:v>0.22</c:v>
                </c:pt>
                <c:pt idx="293">
                  <c:v>0.22</c:v>
                </c:pt>
                <c:pt idx="294">
                  <c:v>0.22</c:v>
                </c:pt>
                <c:pt idx="295">
                  <c:v>0.22</c:v>
                </c:pt>
                <c:pt idx="296">
                  <c:v>0.23</c:v>
                </c:pt>
                <c:pt idx="297">
                  <c:v>0.23</c:v>
                </c:pt>
                <c:pt idx="298">
                  <c:v>0.24</c:v>
                </c:pt>
                <c:pt idx="299">
                  <c:v>0.23</c:v>
                </c:pt>
                <c:pt idx="300">
                  <c:v>0.24</c:v>
                </c:pt>
                <c:pt idx="301">
                  <c:v>0.25</c:v>
                </c:pt>
                <c:pt idx="302">
                  <c:v>0.24</c:v>
                </c:pt>
                <c:pt idx="303">
                  <c:v>0.24</c:v>
                </c:pt>
                <c:pt idx="304">
                  <c:v>0.24</c:v>
                </c:pt>
                <c:pt idx="305">
                  <c:v>0.24</c:v>
                </c:pt>
                <c:pt idx="306">
                  <c:v>0.24</c:v>
                </c:pt>
                <c:pt idx="307">
                  <c:v>0.24</c:v>
                </c:pt>
                <c:pt idx="308">
                  <c:v>0.23</c:v>
                </c:pt>
                <c:pt idx="309">
                  <c:v>0.22</c:v>
                </c:pt>
                <c:pt idx="310">
                  <c:v>0.23</c:v>
                </c:pt>
                <c:pt idx="311">
                  <c:v>0.23</c:v>
                </c:pt>
                <c:pt idx="312">
                  <c:v>0.23</c:v>
                </c:pt>
                <c:pt idx="313">
                  <c:v>0.23</c:v>
                </c:pt>
                <c:pt idx="314">
                  <c:v>0.23</c:v>
                </c:pt>
                <c:pt idx="315">
                  <c:v>0.23</c:v>
                </c:pt>
                <c:pt idx="316">
                  <c:v>0.21</c:v>
                </c:pt>
                <c:pt idx="317">
                  <c:v>0.21</c:v>
                </c:pt>
                <c:pt idx="318">
                  <c:v>0.2</c:v>
                </c:pt>
                <c:pt idx="319">
                  <c:v>0.21</c:v>
                </c:pt>
                <c:pt idx="320">
                  <c:v>0.21</c:v>
                </c:pt>
                <c:pt idx="321">
                  <c:v>0.22</c:v>
                </c:pt>
                <c:pt idx="322">
                  <c:v>0.21</c:v>
                </c:pt>
                <c:pt idx="323">
                  <c:v>0.21</c:v>
                </c:pt>
                <c:pt idx="324">
                  <c:v>0.21</c:v>
                </c:pt>
                <c:pt idx="325">
                  <c:v>0.21</c:v>
                </c:pt>
                <c:pt idx="326">
                  <c:v>0.21</c:v>
                </c:pt>
                <c:pt idx="327">
                  <c:v>0.21</c:v>
                </c:pt>
                <c:pt idx="328">
                  <c:v>0.22</c:v>
                </c:pt>
                <c:pt idx="329">
                  <c:v>0.21</c:v>
                </c:pt>
                <c:pt idx="330">
                  <c:v>0.21</c:v>
                </c:pt>
                <c:pt idx="331">
                  <c:v>0.21</c:v>
                </c:pt>
                <c:pt idx="332">
                  <c:v>0.21</c:v>
                </c:pt>
                <c:pt idx="333">
                  <c:v>0.21</c:v>
                </c:pt>
                <c:pt idx="334">
                  <c:v>0.21</c:v>
                </c:pt>
                <c:pt idx="335">
                  <c:v>0.22</c:v>
                </c:pt>
                <c:pt idx="336">
                  <c:v>0.22</c:v>
                </c:pt>
                <c:pt idx="337">
                  <c:v>0.23</c:v>
                </c:pt>
                <c:pt idx="338">
                  <c:v>0.23</c:v>
                </c:pt>
                <c:pt idx="339">
                  <c:v>0.23</c:v>
                </c:pt>
                <c:pt idx="340">
                  <c:v>0.23</c:v>
                </c:pt>
                <c:pt idx="341">
                  <c:v>0.23</c:v>
                </c:pt>
                <c:pt idx="342">
                  <c:v>0.23</c:v>
                </c:pt>
                <c:pt idx="343">
                  <c:v>0.23</c:v>
                </c:pt>
                <c:pt idx="344">
                  <c:v>0.23</c:v>
                </c:pt>
                <c:pt idx="345">
                  <c:v>0.23</c:v>
                </c:pt>
                <c:pt idx="346">
                  <c:v>0.23</c:v>
                </c:pt>
                <c:pt idx="347">
                  <c:v>0.23</c:v>
                </c:pt>
                <c:pt idx="348">
                  <c:v>0.23</c:v>
                </c:pt>
                <c:pt idx="349">
                  <c:v>0.23</c:v>
                </c:pt>
                <c:pt idx="350">
                  <c:v>0.24</c:v>
                </c:pt>
                <c:pt idx="351">
                  <c:v>0.25</c:v>
                </c:pt>
                <c:pt idx="352">
                  <c:v>0.25</c:v>
                </c:pt>
                <c:pt idx="353">
                  <c:v>0.24</c:v>
                </c:pt>
                <c:pt idx="354">
                  <c:v>0.24</c:v>
                </c:pt>
                <c:pt idx="355">
                  <c:v>0.24</c:v>
                </c:pt>
                <c:pt idx="356">
                  <c:v>0.25</c:v>
                </c:pt>
                <c:pt idx="357">
                  <c:v>0.25</c:v>
                </c:pt>
                <c:pt idx="358">
                  <c:v>0.24</c:v>
                </c:pt>
                <c:pt idx="359">
                  <c:v>0.23</c:v>
                </c:pt>
                <c:pt idx="360">
                  <c:v>0.23</c:v>
                </c:pt>
                <c:pt idx="361">
                  <c:v>0.23</c:v>
                </c:pt>
                <c:pt idx="362">
                  <c:v>0.22</c:v>
                </c:pt>
                <c:pt idx="363">
                  <c:v>0.22</c:v>
                </c:pt>
                <c:pt idx="364">
                  <c:v>0.23</c:v>
                </c:pt>
                <c:pt idx="365">
                  <c:v>0.23</c:v>
                </c:pt>
                <c:pt idx="366">
                  <c:v>0.23</c:v>
                </c:pt>
                <c:pt idx="367">
                  <c:v>0.23</c:v>
                </c:pt>
                <c:pt idx="368">
                  <c:v>0.23</c:v>
                </c:pt>
                <c:pt idx="369">
                  <c:v>0.24</c:v>
                </c:pt>
                <c:pt idx="370">
                  <c:v>0.24</c:v>
                </c:pt>
                <c:pt idx="371">
                  <c:v>0.24</c:v>
                </c:pt>
                <c:pt idx="372">
                  <c:v>0.23</c:v>
                </c:pt>
                <c:pt idx="373">
                  <c:v>0.24</c:v>
                </c:pt>
                <c:pt idx="374">
                  <c:v>0.24</c:v>
                </c:pt>
                <c:pt idx="375">
                  <c:v>0.24</c:v>
                </c:pt>
                <c:pt idx="376">
                  <c:v>0.25</c:v>
                </c:pt>
                <c:pt idx="377">
                  <c:v>0.25</c:v>
                </c:pt>
                <c:pt idx="378">
                  <c:v>0.25</c:v>
                </c:pt>
                <c:pt idx="379">
                  <c:v>0.24</c:v>
                </c:pt>
                <c:pt idx="380">
                  <c:v>0.24</c:v>
                </c:pt>
                <c:pt idx="381">
                  <c:v>0.23</c:v>
                </c:pt>
                <c:pt idx="382">
                  <c:v>0.23</c:v>
                </c:pt>
                <c:pt idx="383">
                  <c:v>0.22</c:v>
                </c:pt>
                <c:pt idx="384">
                  <c:v>0.2</c:v>
                </c:pt>
                <c:pt idx="385">
                  <c:v>0.19</c:v>
                </c:pt>
                <c:pt idx="386">
                  <c:v>0.2</c:v>
                </c:pt>
                <c:pt idx="387">
                  <c:v>0.21</c:v>
                </c:pt>
                <c:pt idx="388">
                  <c:v>0.24</c:v>
                </c:pt>
                <c:pt idx="389">
                  <c:v>0.23</c:v>
                </c:pt>
                <c:pt idx="390">
                  <c:v>0.23</c:v>
                </c:pt>
                <c:pt idx="391">
                  <c:v>0.22</c:v>
                </c:pt>
                <c:pt idx="392">
                  <c:v>0.23</c:v>
                </c:pt>
                <c:pt idx="393">
                  <c:v>0.23</c:v>
                </c:pt>
                <c:pt idx="394">
                  <c:v>0.23</c:v>
                </c:pt>
                <c:pt idx="395">
                  <c:v>0.24</c:v>
                </c:pt>
                <c:pt idx="396">
                  <c:v>0.23</c:v>
                </c:pt>
                <c:pt idx="397">
                  <c:v>0.23</c:v>
                </c:pt>
                <c:pt idx="398">
                  <c:v>0.23</c:v>
                </c:pt>
                <c:pt idx="399">
                  <c:v>0.23</c:v>
                </c:pt>
                <c:pt idx="400">
                  <c:v>0.23</c:v>
                </c:pt>
                <c:pt idx="401">
                  <c:v>0.24</c:v>
                </c:pt>
                <c:pt idx="402">
                  <c:v>0.25</c:v>
                </c:pt>
                <c:pt idx="403">
                  <c:v>0.25</c:v>
                </c:pt>
                <c:pt idx="404">
                  <c:v>0.25</c:v>
                </c:pt>
                <c:pt idx="405">
                  <c:v>0.25</c:v>
                </c:pt>
                <c:pt idx="406">
                  <c:v>0.25</c:v>
                </c:pt>
                <c:pt idx="407">
                  <c:v>0.25</c:v>
                </c:pt>
                <c:pt idx="408">
                  <c:v>0.25</c:v>
                </c:pt>
                <c:pt idx="409">
                  <c:v>0.24</c:v>
                </c:pt>
                <c:pt idx="410">
                  <c:v>0.24</c:v>
                </c:pt>
                <c:pt idx="411">
                  <c:v>0.23</c:v>
                </c:pt>
                <c:pt idx="412">
                  <c:v>0.23</c:v>
                </c:pt>
                <c:pt idx="413">
                  <c:v>0.23</c:v>
                </c:pt>
                <c:pt idx="414">
                  <c:v>0.22</c:v>
                </c:pt>
                <c:pt idx="415">
                  <c:v>0.23</c:v>
                </c:pt>
                <c:pt idx="416">
                  <c:v>0.24</c:v>
                </c:pt>
                <c:pt idx="417">
                  <c:v>0.23</c:v>
                </c:pt>
                <c:pt idx="418">
                  <c:v>0.23</c:v>
                </c:pt>
                <c:pt idx="419">
                  <c:v>0.23</c:v>
                </c:pt>
                <c:pt idx="420">
                  <c:v>0.22</c:v>
                </c:pt>
                <c:pt idx="421">
                  <c:v>0.22</c:v>
                </c:pt>
                <c:pt idx="422">
                  <c:v>0.23</c:v>
                </c:pt>
                <c:pt idx="423">
                  <c:v>0.24</c:v>
                </c:pt>
                <c:pt idx="424">
                  <c:v>0.24</c:v>
                </c:pt>
                <c:pt idx="425">
                  <c:v>0.24</c:v>
                </c:pt>
                <c:pt idx="426">
                  <c:v>0.24</c:v>
                </c:pt>
                <c:pt idx="427">
                  <c:v>0.24</c:v>
                </c:pt>
                <c:pt idx="428">
                  <c:v>0.23</c:v>
                </c:pt>
                <c:pt idx="429">
                  <c:v>0.23</c:v>
                </c:pt>
                <c:pt idx="430">
                  <c:v>0.23</c:v>
                </c:pt>
                <c:pt idx="431">
                  <c:v>0.23</c:v>
                </c:pt>
                <c:pt idx="432">
                  <c:v>0.23</c:v>
                </c:pt>
                <c:pt idx="433">
                  <c:v>0.23</c:v>
                </c:pt>
                <c:pt idx="434">
                  <c:v>0.23</c:v>
                </c:pt>
                <c:pt idx="435">
                  <c:v>0.22</c:v>
                </c:pt>
                <c:pt idx="436">
                  <c:v>0.22</c:v>
                </c:pt>
                <c:pt idx="437">
                  <c:v>0.21</c:v>
                </c:pt>
                <c:pt idx="438">
                  <c:v>0.21</c:v>
                </c:pt>
                <c:pt idx="439">
                  <c:v>0.21</c:v>
                </c:pt>
                <c:pt idx="440">
                  <c:v>0.21</c:v>
                </c:pt>
                <c:pt idx="441">
                  <c:v>0.22</c:v>
                </c:pt>
                <c:pt idx="442">
                  <c:v>0.23</c:v>
                </c:pt>
                <c:pt idx="443">
                  <c:v>0.22</c:v>
                </c:pt>
                <c:pt idx="444">
                  <c:v>0.22</c:v>
                </c:pt>
                <c:pt idx="445">
                  <c:v>0.22</c:v>
                </c:pt>
                <c:pt idx="446">
                  <c:v>0.22</c:v>
                </c:pt>
                <c:pt idx="447">
                  <c:v>0.24</c:v>
                </c:pt>
                <c:pt idx="448">
                  <c:v>0.24</c:v>
                </c:pt>
                <c:pt idx="449">
                  <c:v>0.24</c:v>
                </c:pt>
                <c:pt idx="450">
                  <c:v>0.24</c:v>
                </c:pt>
                <c:pt idx="451">
                  <c:v>0.23</c:v>
                </c:pt>
                <c:pt idx="452">
                  <c:v>0.22</c:v>
                </c:pt>
                <c:pt idx="453">
                  <c:v>0.22</c:v>
                </c:pt>
                <c:pt idx="454">
                  <c:v>0.22</c:v>
                </c:pt>
                <c:pt idx="455">
                  <c:v>0.2</c:v>
                </c:pt>
                <c:pt idx="456">
                  <c:v>0.2</c:v>
                </c:pt>
                <c:pt idx="457">
                  <c:v>0.2</c:v>
                </c:pt>
                <c:pt idx="458">
                  <c:v>0.2</c:v>
                </c:pt>
                <c:pt idx="459">
                  <c:v>0.19</c:v>
                </c:pt>
                <c:pt idx="460">
                  <c:v>0.19</c:v>
                </c:pt>
                <c:pt idx="461">
                  <c:v>0.19</c:v>
                </c:pt>
                <c:pt idx="462">
                  <c:v>0.19</c:v>
                </c:pt>
                <c:pt idx="463">
                  <c:v>0.18</c:v>
                </c:pt>
                <c:pt idx="464">
                  <c:v>0.17</c:v>
                </c:pt>
                <c:pt idx="465">
                  <c:v>0.18</c:v>
                </c:pt>
                <c:pt idx="466">
                  <c:v>0.18</c:v>
                </c:pt>
                <c:pt idx="467">
                  <c:v>0.19</c:v>
                </c:pt>
                <c:pt idx="468">
                  <c:v>0.2</c:v>
                </c:pt>
                <c:pt idx="469">
                  <c:v>0.21</c:v>
                </c:pt>
                <c:pt idx="470">
                  <c:v>0.2</c:v>
                </c:pt>
                <c:pt idx="471">
                  <c:v>0.21</c:v>
                </c:pt>
                <c:pt idx="472">
                  <c:v>0.21</c:v>
                </c:pt>
                <c:pt idx="473">
                  <c:v>0.2</c:v>
                </c:pt>
                <c:pt idx="474">
                  <c:v>0.19</c:v>
                </c:pt>
                <c:pt idx="475">
                  <c:v>0.19</c:v>
                </c:pt>
                <c:pt idx="476">
                  <c:v>0.18</c:v>
                </c:pt>
                <c:pt idx="477">
                  <c:v>0.18</c:v>
                </c:pt>
                <c:pt idx="478">
                  <c:v>0.18</c:v>
                </c:pt>
                <c:pt idx="479">
                  <c:v>0.19</c:v>
                </c:pt>
                <c:pt idx="480">
                  <c:v>0.19</c:v>
                </c:pt>
                <c:pt idx="481">
                  <c:v>0.2</c:v>
                </c:pt>
                <c:pt idx="482">
                  <c:v>0.2</c:v>
                </c:pt>
                <c:pt idx="483">
                  <c:v>0.21</c:v>
                </c:pt>
                <c:pt idx="484">
                  <c:v>0.21</c:v>
                </c:pt>
                <c:pt idx="485">
                  <c:v>0.2</c:v>
                </c:pt>
                <c:pt idx="486">
                  <c:v>0.19</c:v>
                </c:pt>
                <c:pt idx="487">
                  <c:v>0.19</c:v>
                </c:pt>
                <c:pt idx="488">
                  <c:v>0.2</c:v>
                </c:pt>
                <c:pt idx="489">
                  <c:v>0.2</c:v>
                </c:pt>
                <c:pt idx="490">
                  <c:v>0.2</c:v>
                </c:pt>
                <c:pt idx="491">
                  <c:v>0.19</c:v>
                </c:pt>
                <c:pt idx="492">
                  <c:v>0.19</c:v>
                </c:pt>
                <c:pt idx="493">
                  <c:v>0.2</c:v>
                </c:pt>
                <c:pt idx="494">
                  <c:v>0.21</c:v>
                </c:pt>
                <c:pt idx="495">
                  <c:v>0.2</c:v>
                </c:pt>
                <c:pt idx="496">
                  <c:v>0.21</c:v>
                </c:pt>
                <c:pt idx="497">
                  <c:v>0.21</c:v>
                </c:pt>
                <c:pt idx="498">
                  <c:v>0.21</c:v>
                </c:pt>
                <c:pt idx="499">
                  <c:v>0.2</c:v>
                </c:pt>
                <c:pt idx="500">
                  <c:v>0.2</c:v>
                </c:pt>
                <c:pt idx="501">
                  <c:v>0.2</c:v>
                </c:pt>
                <c:pt idx="502">
                  <c:v>0.19</c:v>
                </c:pt>
                <c:pt idx="503">
                  <c:v>0.2</c:v>
                </c:pt>
                <c:pt idx="504">
                  <c:v>0.21</c:v>
                </c:pt>
                <c:pt idx="505">
                  <c:v>0.22</c:v>
                </c:pt>
                <c:pt idx="506">
                  <c:v>0.23</c:v>
                </c:pt>
                <c:pt idx="507">
                  <c:v>0.22</c:v>
                </c:pt>
                <c:pt idx="508">
                  <c:v>0.22</c:v>
                </c:pt>
                <c:pt idx="509">
                  <c:v>0.22</c:v>
                </c:pt>
                <c:pt idx="510">
                  <c:v>0.21</c:v>
                </c:pt>
                <c:pt idx="511">
                  <c:v>0.22</c:v>
                </c:pt>
                <c:pt idx="512">
                  <c:v>0.23</c:v>
                </c:pt>
                <c:pt idx="513">
                  <c:v>0.23</c:v>
                </c:pt>
                <c:pt idx="514">
                  <c:v>0.22</c:v>
                </c:pt>
                <c:pt idx="515">
                  <c:v>0.22</c:v>
                </c:pt>
                <c:pt idx="516">
                  <c:v>0.23</c:v>
                </c:pt>
                <c:pt idx="517">
                  <c:v>0.23</c:v>
                </c:pt>
                <c:pt idx="518">
                  <c:v>0.23</c:v>
                </c:pt>
                <c:pt idx="519">
                  <c:v>0.24</c:v>
                </c:pt>
                <c:pt idx="520">
                  <c:v>0.24</c:v>
                </c:pt>
                <c:pt idx="521">
                  <c:v>0.24</c:v>
                </c:pt>
                <c:pt idx="522">
                  <c:v>0.23</c:v>
                </c:pt>
                <c:pt idx="523">
                  <c:v>0.22</c:v>
                </c:pt>
                <c:pt idx="524">
                  <c:v>0.22</c:v>
                </c:pt>
                <c:pt idx="525">
                  <c:v>0.22</c:v>
                </c:pt>
                <c:pt idx="526">
                  <c:v>0.21</c:v>
                </c:pt>
                <c:pt idx="527">
                  <c:v>0.19</c:v>
                </c:pt>
                <c:pt idx="528">
                  <c:v>0.18</c:v>
                </c:pt>
                <c:pt idx="529">
                  <c:v>0.18</c:v>
                </c:pt>
                <c:pt idx="530">
                  <c:v>0.18</c:v>
                </c:pt>
                <c:pt idx="531">
                  <c:v>0.18</c:v>
                </c:pt>
                <c:pt idx="532">
                  <c:v>0.19</c:v>
                </c:pt>
                <c:pt idx="533">
                  <c:v>0.19</c:v>
                </c:pt>
                <c:pt idx="534">
                  <c:v>0.2</c:v>
                </c:pt>
                <c:pt idx="535">
                  <c:v>0.2</c:v>
                </c:pt>
                <c:pt idx="536">
                  <c:v>0.21</c:v>
                </c:pt>
                <c:pt idx="537">
                  <c:v>0.22</c:v>
                </c:pt>
                <c:pt idx="538">
                  <c:v>0.22</c:v>
                </c:pt>
                <c:pt idx="539">
                  <c:v>0.22</c:v>
                </c:pt>
                <c:pt idx="540">
                  <c:v>0.21</c:v>
                </c:pt>
                <c:pt idx="541">
                  <c:v>0.22</c:v>
                </c:pt>
                <c:pt idx="542">
                  <c:v>0.23</c:v>
                </c:pt>
                <c:pt idx="543">
                  <c:v>0.23</c:v>
                </c:pt>
                <c:pt idx="544">
                  <c:v>0.22</c:v>
                </c:pt>
                <c:pt idx="545">
                  <c:v>0.21</c:v>
                </c:pt>
                <c:pt idx="546">
                  <c:v>0.19</c:v>
                </c:pt>
                <c:pt idx="547">
                  <c:v>0.18</c:v>
                </c:pt>
                <c:pt idx="548">
                  <c:v>0.19</c:v>
                </c:pt>
                <c:pt idx="549">
                  <c:v>0.19</c:v>
                </c:pt>
                <c:pt idx="550">
                  <c:v>0.18</c:v>
                </c:pt>
                <c:pt idx="551">
                  <c:v>0.18</c:v>
                </c:pt>
                <c:pt idx="552">
                  <c:v>0.18</c:v>
                </c:pt>
                <c:pt idx="553">
                  <c:v>0.18</c:v>
                </c:pt>
                <c:pt idx="554">
                  <c:v>0.17</c:v>
                </c:pt>
                <c:pt idx="555">
                  <c:v>0.17</c:v>
                </c:pt>
                <c:pt idx="556">
                  <c:v>0.18</c:v>
                </c:pt>
                <c:pt idx="557">
                  <c:v>0.18</c:v>
                </c:pt>
                <c:pt idx="558">
                  <c:v>0.2</c:v>
                </c:pt>
                <c:pt idx="559">
                  <c:v>0.2</c:v>
                </c:pt>
                <c:pt idx="560">
                  <c:v>0.2</c:v>
                </c:pt>
                <c:pt idx="561">
                  <c:v>0.21</c:v>
                </c:pt>
                <c:pt idx="562">
                  <c:v>0.22</c:v>
                </c:pt>
                <c:pt idx="563">
                  <c:v>0.22</c:v>
                </c:pt>
                <c:pt idx="564">
                  <c:v>0.21</c:v>
                </c:pt>
                <c:pt idx="565">
                  <c:v>0.22</c:v>
                </c:pt>
                <c:pt idx="566">
                  <c:v>0.21</c:v>
                </c:pt>
                <c:pt idx="567">
                  <c:v>0.21</c:v>
                </c:pt>
                <c:pt idx="568">
                  <c:v>0.21</c:v>
                </c:pt>
                <c:pt idx="569">
                  <c:v>0.21</c:v>
                </c:pt>
                <c:pt idx="570">
                  <c:v>0.21</c:v>
                </c:pt>
                <c:pt idx="571">
                  <c:v>0.2</c:v>
                </c:pt>
                <c:pt idx="572">
                  <c:v>0.18</c:v>
                </c:pt>
                <c:pt idx="573">
                  <c:v>0.18</c:v>
                </c:pt>
                <c:pt idx="574">
                  <c:v>0.19</c:v>
                </c:pt>
                <c:pt idx="575">
                  <c:v>0.18</c:v>
                </c:pt>
                <c:pt idx="576">
                  <c:v>0.18</c:v>
                </c:pt>
                <c:pt idx="577">
                  <c:v>0.17</c:v>
                </c:pt>
                <c:pt idx="578">
                  <c:v>0.18</c:v>
                </c:pt>
                <c:pt idx="579">
                  <c:v>0.18</c:v>
                </c:pt>
                <c:pt idx="580">
                  <c:v>0.17</c:v>
                </c:pt>
                <c:pt idx="581">
                  <c:v>0.17</c:v>
                </c:pt>
                <c:pt idx="582">
                  <c:v>0.18</c:v>
                </c:pt>
                <c:pt idx="583">
                  <c:v>0.19</c:v>
                </c:pt>
                <c:pt idx="584">
                  <c:v>0.2</c:v>
                </c:pt>
                <c:pt idx="585">
                  <c:v>0.2</c:v>
                </c:pt>
                <c:pt idx="586">
                  <c:v>0.18</c:v>
                </c:pt>
                <c:pt idx="587">
                  <c:v>0.17</c:v>
                </c:pt>
                <c:pt idx="588">
                  <c:v>0.17</c:v>
                </c:pt>
                <c:pt idx="589">
                  <c:v>0.17</c:v>
                </c:pt>
                <c:pt idx="590">
                  <c:v>0.18</c:v>
                </c:pt>
                <c:pt idx="591">
                  <c:v>0.19</c:v>
                </c:pt>
                <c:pt idx="592">
                  <c:v>0.21</c:v>
                </c:pt>
                <c:pt idx="593">
                  <c:v>0.23</c:v>
                </c:pt>
                <c:pt idx="594">
                  <c:v>0.25</c:v>
                </c:pt>
                <c:pt idx="595">
                  <c:v>0.25</c:v>
                </c:pt>
                <c:pt idx="596">
                  <c:v>0.26</c:v>
                </c:pt>
                <c:pt idx="597">
                  <c:v>0.24</c:v>
                </c:pt>
                <c:pt idx="598">
                  <c:v>0.24</c:v>
                </c:pt>
                <c:pt idx="599">
                  <c:v>0.25</c:v>
                </c:pt>
                <c:pt idx="600">
                  <c:v>0.25</c:v>
                </c:pt>
                <c:pt idx="601">
                  <c:v>0.25</c:v>
                </c:pt>
                <c:pt idx="602">
                  <c:v>0.24</c:v>
                </c:pt>
                <c:pt idx="603">
                  <c:v>0.23</c:v>
                </c:pt>
                <c:pt idx="604">
                  <c:v>0.23</c:v>
                </c:pt>
                <c:pt idx="605">
                  <c:v>0.22</c:v>
                </c:pt>
                <c:pt idx="606">
                  <c:v>0.23</c:v>
                </c:pt>
                <c:pt idx="607">
                  <c:v>0.22</c:v>
                </c:pt>
                <c:pt idx="608">
                  <c:v>0.21</c:v>
                </c:pt>
                <c:pt idx="609">
                  <c:v>0.2</c:v>
                </c:pt>
                <c:pt idx="610">
                  <c:v>0.2</c:v>
                </c:pt>
                <c:pt idx="611">
                  <c:v>0.19</c:v>
                </c:pt>
                <c:pt idx="612">
                  <c:v>0.19</c:v>
                </c:pt>
                <c:pt idx="613">
                  <c:v>0.19</c:v>
                </c:pt>
                <c:pt idx="614">
                  <c:v>0.19</c:v>
                </c:pt>
                <c:pt idx="615">
                  <c:v>0.2</c:v>
                </c:pt>
                <c:pt idx="616">
                  <c:v>0.2</c:v>
                </c:pt>
                <c:pt idx="617">
                  <c:v>0.22</c:v>
                </c:pt>
                <c:pt idx="618">
                  <c:v>0.22</c:v>
                </c:pt>
                <c:pt idx="619">
                  <c:v>0.21</c:v>
                </c:pt>
                <c:pt idx="620">
                  <c:v>0.2</c:v>
                </c:pt>
                <c:pt idx="621">
                  <c:v>0.2</c:v>
                </c:pt>
                <c:pt idx="622">
                  <c:v>0.18</c:v>
                </c:pt>
                <c:pt idx="623">
                  <c:v>0.18</c:v>
                </c:pt>
                <c:pt idx="624">
                  <c:v>0.18</c:v>
                </c:pt>
                <c:pt idx="625">
                  <c:v>0.18</c:v>
                </c:pt>
                <c:pt idx="626">
                  <c:v>0.18</c:v>
                </c:pt>
                <c:pt idx="627">
                  <c:v>0.18</c:v>
                </c:pt>
                <c:pt idx="628">
                  <c:v>0.18</c:v>
                </c:pt>
                <c:pt idx="629">
                  <c:v>0.19</c:v>
                </c:pt>
                <c:pt idx="630">
                  <c:v>0.2</c:v>
                </c:pt>
                <c:pt idx="631">
                  <c:v>0.2</c:v>
                </c:pt>
                <c:pt idx="632">
                  <c:v>0.21</c:v>
                </c:pt>
                <c:pt idx="633">
                  <c:v>0.21</c:v>
                </c:pt>
                <c:pt idx="634">
                  <c:v>0.21</c:v>
                </c:pt>
                <c:pt idx="635">
                  <c:v>0.22</c:v>
                </c:pt>
                <c:pt idx="636">
                  <c:v>0.21</c:v>
                </c:pt>
                <c:pt idx="637">
                  <c:v>0.22</c:v>
                </c:pt>
                <c:pt idx="638">
                  <c:v>0.21</c:v>
                </c:pt>
                <c:pt idx="639">
                  <c:v>0.21</c:v>
                </c:pt>
                <c:pt idx="640">
                  <c:v>0.21</c:v>
                </c:pt>
                <c:pt idx="641">
                  <c:v>0.22</c:v>
                </c:pt>
                <c:pt idx="642">
                  <c:v>0.22</c:v>
                </c:pt>
                <c:pt idx="643">
                  <c:v>0.21</c:v>
                </c:pt>
                <c:pt idx="644">
                  <c:v>0.2</c:v>
                </c:pt>
                <c:pt idx="645">
                  <c:v>0.2</c:v>
                </c:pt>
                <c:pt idx="646">
                  <c:v>0.19</c:v>
                </c:pt>
                <c:pt idx="647">
                  <c:v>0.18</c:v>
                </c:pt>
                <c:pt idx="648">
                  <c:v>0.17</c:v>
                </c:pt>
                <c:pt idx="649">
                  <c:v>0.16</c:v>
                </c:pt>
                <c:pt idx="650">
                  <c:v>0.17</c:v>
                </c:pt>
                <c:pt idx="651">
                  <c:v>0.17</c:v>
                </c:pt>
                <c:pt idx="652">
                  <c:v>0.16</c:v>
                </c:pt>
                <c:pt idx="653">
                  <c:v>0.16</c:v>
                </c:pt>
                <c:pt idx="654">
                  <c:v>0.17</c:v>
                </c:pt>
                <c:pt idx="655">
                  <c:v>0.17</c:v>
                </c:pt>
                <c:pt idx="656">
                  <c:v>0.18</c:v>
                </c:pt>
                <c:pt idx="657">
                  <c:v>0.18</c:v>
                </c:pt>
                <c:pt idx="658">
                  <c:v>0.18</c:v>
                </c:pt>
                <c:pt idx="659">
                  <c:v>0.18</c:v>
                </c:pt>
                <c:pt idx="660">
                  <c:v>0.18</c:v>
                </c:pt>
                <c:pt idx="661">
                  <c:v>0.18</c:v>
                </c:pt>
                <c:pt idx="662">
                  <c:v>0.17</c:v>
                </c:pt>
                <c:pt idx="663">
                  <c:v>0.17</c:v>
                </c:pt>
                <c:pt idx="664">
                  <c:v>0.17</c:v>
                </c:pt>
                <c:pt idx="665">
                  <c:v>0.17</c:v>
                </c:pt>
                <c:pt idx="666">
                  <c:v>0.17</c:v>
                </c:pt>
                <c:pt idx="667">
                  <c:v>0.17</c:v>
                </c:pt>
                <c:pt idx="668">
                  <c:v>0.18</c:v>
                </c:pt>
                <c:pt idx="669">
                  <c:v>0.19</c:v>
                </c:pt>
                <c:pt idx="670">
                  <c:v>0.19</c:v>
                </c:pt>
                <c:pt idx="671">
                  <c:v>0.19</c:v>
                </c:pt>
                <c:pt idx="672">
                  <c:v>0.18</c:v>
                </c:pt>
                <c:pt idx="673">
                  <c:v>0.18</c:v>
                </c:pt>
                <c:pt idx="674">
                  <c:v>0.17</c:v>
                </c:pt>
                <c:pt idx="675">
                  <c:v>0.18</c:v>
                </c:pt>
                <c:pt idx="676">
                  <c:v>0.18</c:v>
                </c:pt>
                <c:pt idx="677">
                  <c:v>0.17</c:v>
                </c:pt>
                <c:pt idx="678">
                  <c:v>0.17</c:v>
                </c:pt>
                <c:pt idx="679">
                  <c:v>0.17</c:v>
                </c:pt>
                <c:pt idx="680">
                  <c:v>0.17</c:v>
                </c:pt>
                <c:pt idx="681">
                  <c:v>0.17</c:v>
                </c:pt>
                <c:pt idx="682">
                  <c:v>0.17</c:v>
                </c:pt>
                <c:pt idx="683">
                  <c:v>0.18</c:v>
                </c:pt>
                <c:pt idx="684">
                  <c:v>0.18</c:v>
                </c:pt>
                <c:pt idx="685">
                  <c:v>0.19</c:v>
                </c:pt>
                <c:pt idx="686">
                  <c:v>0.2</c:v>
                </c:pt>
                <c:pt idx="687">
                  <c:v>0.19</c:v>
                </c:pt>
                <c:pt idx="688">
                  <c:v>0.19</c:v>
                </c:pt>
                <c:pt idx="689">
                  <c:v>0.19</c:v>
                </c:pt>
                <c:pt idx="690">
                  <c:v>0.2</c:v>
                </c:pt>
                <c:pt idx="691">
                  <c:v>0.19</c:v>
                </c:pt>
                <c:pt idx="692">
                  <c:v>0.19</c:v>
                </c:pt>
                <c:pt idx="693">
                  <c:v>0.19</c:v>
                </c:pt>
                <c:pt idx="694">
                  <c:v>0.18</c:v>
                </c:pt>
                <c:pt idx="695">
                  <c:v>0.17</c:v>
                </c:pt>
                <c:pt idx="696">
                  <c:v>0.17</c:v>
                </c:pt>
                <c:pt idx="697">
                  <c:v>0.18</c:v>
                </c:pt>
                <c:pt idx="698">
                  <c:v>0.19</c:v>
                </c:pt>
                <c:pt idx="699">
                  <c:v>0.19</c:v>
                </c:pt>
                <c:pt idx="700">
                  <c:v>0.19</c:v>
                </c:pt>
                <c:pt idx="701">
                  <c:v>0.19</c:v>
                </c:pt>
                <c:pt idx="702">
                  <c:v>0.19</c:v>
                </c:pt>
                <c:pt idx="703">
                  <c:v>0.19</c:v>
                </c:pt>
                <c:pt idx="704">
                  <c:v>0.21</c:v>
                </c:pt>
                <c:pt idx="705">
                  <c:v>0.21</c:v>
                </c:pt>
                <c:pt idx="706">
                  <c:v>0.21</c:v>
                </c:pt>
                <c:pt idx="707">
                  <c:v>0.21</c:v>
                </c:pt>
                <c:pt idx="708">
                  <c:v>0.21</c:v>
                </c:pt>
                <c:pt idx="709">
                  <c:v>0.21</c:v>
                </c:pt>
                <c:pt idx="710">
                  <c:v>0.21</c:v>
                </c:pt>
                <c:pt idx="711">
                  <c:v>0.2</c:v>
                </c:pt>
                <c:pt idx="712">
                  <c:v>0.2</c:v>
                </c:pt>
                <c:pt idx="713">
                  <c:v>0.2</c:v>
                </c:pt>
                <c:pt idx="714">
                  <c:v>0.19</c:v>
                </c:pt>
                <c:pt idx="715">
                  <c:v>0.18</c:v>
                </c:pt>
                <c:pt idx="716">
                  <c:v>0.18</c:v>
                </c:pt>
                <c:pt idx="717">
                  <c:v>0.18</c:v>
                </c:pt>
                <c:pt idx="718">
                  <c:v>0.18</c:v>
                </c:pt>
                <c:pt idx="719">
                  <c:v>0.19</c:v>
                </c:pt>
                <c:pt idx="720">
                  <c:v>0.19</c:v>
                </c:pt>
                <c:pt idx="721">
                  <c:v>0.19</c:v>
                </c:pt>
                <c:pt idx="722">
                  <c:v>0.19</c:v>
                </c:pt>
                <c:pt idx="723">
                  <c:v>0.19</c:v>
                </c:pt>
                <c:pt idx="724">
                  <c:v>0.18</c:v>
                </c:pt>
                <c:pt idx="725">
                  <c:v>0.19</c:v>
                </c:pt>
                <c:pt idx="726">
                  <c:v>0.19</c:v>
                </c:pt>
                <c:pt idx="727">
                  <c:v>0.2</c:v>
                </c:pt>
                <c:pt idx="728">
                  <c:v>0.19</c:v>
                </c:pt>
                <c:pt idx="729">
                  <c:v>0.18</c:v>
                </c:pt>
                <c:pt idx="730">
                  <c:v>0.19</c:v>
                </c:pt>
                <c:pt idx="731">
                  <c:v>0.18</c:v>
                </c:pt>
                <c:pt idx="732">
                  <c:v>0.18</c:v>
                </c:pt>
                <c:pt idx="733">
                  <c:v>0.19</c:v>
                </c:pt>
                <c:pt idx="734">
                  <c:v>0.19</c:v>
                </c:pt>
                <c:pt idx="735">
                  <c:v>0.18</c:v>
                </c:pt>
                <c:pt idx="736">
                  <c:v>0.18</c:v>
                </c:pt>
                <c:pt idx="737">
                  <c:v>0.19</c:v>
                </c:pt>
                <c:pt idx="738">
                  <c:v>0.2</c:v>
                </c:pt>
                <c:pt idx="739">
                  <c:v>0.2</c:v>
                </c:pt>
                <c:pt idx="740">
                  <c:v>0.21</c:v>
                </c:pt>
                <c:pt idx="741">
                  <c:v>0.21</c:v>
                </c:pt>
                <c:pt idx="742">
                  <c:v>0.2</c:v>
                </c:pt>
                <c:pt idx="743">
                  <c:v>0.2</c:v>
                </c:pt>
                <c:pt idx="744">
                  <c:v>0.2</c:v>
                </c:pt>
                <c:pt idx="745">
                  <c:v>0.2</c:v>
                </c:pt>
                <c:pt idx="746">
                  <c:v>0.19</c:v>
                </c:pt>
                <c:pt idx="747">
                  <c:v>0.19</c:v>
                </c:pt>
                <c:pt idx="748">
                  <c:v>0.19</c:v>
                </c:pt>
                <c:pt idx="749">
                  <c:v>0.18</c:v>
                </c:pt>
                <c:pt idx="750">
                  <c:v>0.18</c:v>
                </c:pt>
                <c:pt idx="751">
                  <c:v>0.18</c:v>
                </c:pt>
                <c:pt idx="752">
                  <c:v>0.17</c:v>
                </c:pt>
                <c:pt idx="753">
                  <c:v>0.17</c:v>
                </c:pt>
                <c:pt idx="754">
                  <c:v>0.16</c:v>
                </c:pt>
                <c:pt idx="755">
                  <c:v>0.17</c:v>
                </c:pt>
                <c:pt idx="756">
                  <c:v>0.17</c:v>
                </c:pt>
                <c:pt idx="757">
                  <c:v>0.17</c:v>
                </c:pt>
                <c:pt idx="758">
                  <c:v>0.17</c:v>
                </c:pt>
                <c:pt idx="759">
                  <c:v>0.17</c:v>
                </c:pt>
                <c:pt idx="760">
                  <c:v>0.19</c:v>
                </c:pt>
                <c:pt idx="761">
                  <c:v>0.2</c:v>
                </c:pt>
                <c:pt idx="762">
                  <c:v>0.2</c:v>
                </c:pt>
                <c:pt idx="763">
                  <c:v>0.19</c:v>
                </c:pt>
                <c:pt idx="764">
                  <c:v>0.19</c:v>
                </c:pt>
                <c:pt idx="765">
                  <c:v>0.19</c:v>
                </c:pt>
                <c:pt idx="766">
                  <c:v>0.19</c:v>
                </c:pt>
                <c:pt idx="767">
                  <c:v>0.19</c:v>
                </c:pt>
                <c:pt idx="768">
                  <c:v>0.19</c:v>
                </c:pt>
                <c:pt idx="769">
                  <c:v>0.2</c:v>
                </c:pt>
                <c:pt idx="770">
                  <c:v>0.21</c:v>
                </c:pt>
                <c:pt idx="771">
                  <c:v>0.22</c:v>
                </c:pt>
                <c:pt idx="772">
                  <c:v>0.22</c:v>
                </c:pt>
                <c:pt idx="773">
                  <c:v>0.22</c:v>
                </c:pt>
                <c:pt idx="774">
                  <c:v>0.21</c:v>
                </c:pt>
                <c:pt idx="775">
                  <c:v>0.21</c:v>
                </c:pt>
                <c:pt idx="776">
                  <c:v>0.21</c:v>
                </c:pt>
                <c:pt idx="777">
                  <c:v>0.2</c:v>
                </c:pt>
                <c:pt idx="778">
                  <c:v>0.2</c:v>
                </c:pt>
                <c:pt idx="779">
                  <c:v>0.19</c:v>
                </c:pt>
                <c:pt idx="780">
                  <c:v>0.19</c:v>
                </c:pt>
                <c:pt idx="781">
                  <c:v>0.19</c:v>
                </c:pt>
                <c:pt idx="782">
                  <c:v>0.19</c:v>
                </c:pt>
                <c:pt idx="783">
                  <c:v>0.18</c:v>
                </c:pt>
                <c:pt idx="784">
                  <c:v>0.18</c:v>
                </c:pt>
                <c:pt idx="785">
                  <c:v>0.19</c:v>
                </c:pt>
                <c:pt idx="786">
                  <c:v>0.2</c:v>
                </c:pt>
                <c:pt idx="787">
                  <c:v>0.2</c:v>
                </c:pt>
                <c:pt idx="788">
                  <c:v>0.22</c:v>
                </c:pt>
                <c:pt idx="789">
                  <c:v>0.23</c:v>
                </c:pt>
                <c:pt idx="790">
                  <c:v>0.23</c:v>
                </c:pt>
                <c:pt idx="791">
                  <c:v>0.23</c:v>
                </c:pt>
                <c:pt idx="792">
                  <c:v>0.23</c:v>
                </c:pt>
                <c:pt idx="793">
                  <c:v>0.23</c:v>
                </c:pt>
                <c:pt idx="794">
                  <c:v>0.24</c:v>
                </c:pt>
                <c:pt idx="795">
                  <c:v>0.24</c:v>
                </c:pt>
                <c:pt idx="796">
                  <c:v>0.23</c:v>
                </c:pt>
                <c:pt idx="797">
                  <c:v>0.23</c:v>
                </c:pt>
                <c:pt idx="798">
                  <c:v>0.23</c:v>
                </c:pt>
                <c:pt idx="799">
                  <c:v>0.22</c:v>
                </c:pt>
                <c:pt idx="800">
                  <c:v>0.22</c:v>
                </c:pt>
                <c:pt idx="801">
                  <c:v>0.22</c:v>
                </c:pt>
                <c:pt idx="802">
                  <c:v>0.22</c:v>
                </c:pt>
                <c:pt idx="803">
                  <c:v>0.22</c:v>
                </c:pt>
                <c:pt idx="804">
                  <c:v>0.22</c:v>
                </c:pt>
                <c:pt idx="805">
                  <c:v>0.23</c:v>
                </c:pt>
                <c:pt idx="806">
                  <c:v>0.22</c:v>
                </c:pt>
                <c:pt idx="807">
                  <c:v>0.22</c:v>
                </c:pt>
                <c:pt idx="808">
                  <c:v>0.22</c:v>
                </c:pt>
                <c:pt idx="809">
                  <c:v>0.22</c:v>
                </c:pt>
                <c:pt idx="810">
                  <c:v>0.21</c:v>
                </c:pt>
                <c:pt idx="811">
                  <c:v>0.2</c:v>
                </c:pt>
                <c:pt idx="812">
                  <c:v>0.19</c:v>
                </c:pt>
                <c:pt idx="813">
                  <c:v>0.19</c:v>
                </c:pt>
                <c:pt idx="814">
                  <c:v>0.19</c:v>
                </c:pt>
                <c:pt idx="815">
                  <c:v>0.19</c:v>
                </c:pt>
                <c:pt idx="816">
                  <c:v>0.19</c:v>
                </c:pt>
                <c:pt idx="817">
                  <c:v>0.19</c:v>
                </c:pt>
                <c:pt idx="818">
                  <c:v>0.2</c:v>
                </c:pt>
                <c:pt idx="819">
                  <c:v>0.2</c:v>
                </c:pt>
                <c:pt idx="820">
                  <c:v>0.21</c:v>
                </c:pt>
                <c:pt idx="821">
                  <c:v>0.21</c:v>
                </c:pt>
                <c:pt idx="822">
                  <c:v>0.21</c:v>
                </c:pt>
                <c:pt idx="823">
                  <c:v>0.21</c:v>
                </c:pt>
                <c:pt idx="824">
                  <c:v>0.21</c:v>
                </c:pt>
                <c:pt idx="825">
                  <c:v>0.21</c:v>
                </c:pt>
                <c:pt idx="826">
                  <c:v>0.2</c:v>
                </c:pt>
                <c:pt idx="827">
                  <c:v>0.2</c:v>
                </c:pt>
                <c:pt idx="828">
                  <c:v>0.2</c:v>
                </c:pt>
                <c:pt idx="829">
                  <c:v>0.2</c:v>
                </c:pt>
                <c:pt idx="830">
                  <c:v>0.21</c:v>
                </c:pt>
                <c:pt idx="831">
                  <c:v>0.2</c:v>
                </c:pt>
                <c:pt idx="832">
                  <c:v>0.21</c:v>
                </c:pt>
                <c:pt idx="833">
                  <c:v>0.22</c:v>
                </c:pt>
                <c:pt idx="834">
                  <c:v>0.22</c:v>
                </c:pt>
                <c:pt idx="835">
                  <c:v>0.22</c:v>
                </c:pt>
                <c:pt idx="836">
                  <c:v>0.21</c:v>
                </c:pt>
                <c:pt idx="837">
                  <c:v>0.21</c:v>
                </c:pt>
                <c:pt idx="838">
                  <c:v>0.21</c:v>
                </c:pt>
                <c:pt idx="839">
                  <c:v>0.21</c:v>
                </c:pt>
                <c:pt idx="840">
                  <c:v>0.21</c:v>
                </c:pt>
                <c:pt idx="841">
                  <c:v>0.2</c:v>
                </c:pt>
                <c:pt idx="842">
                  <c:v>0.21</c:v>
                </c:pt>
                <c:pt idx="843">
                  <c:v>0.22</c:v>
                </c:pt>
                <c:pt idx="844">
                  <c:v>0.23</c:v>
                </c:pt>
                <c:pt idx="845">
                  <c:v>0.22</c:v>
                </c:pt>
                <c:pt idx="846">
                  <c:v>0.22</c:v>
                </c:pt>
                <c:pt idx="847">
                  <c:v>0.23</c:v>
                </c:pt>
                <c:pt idx="848">
                  <c:v>0.23</c:v>
                </c:pt>
                <c:pt idx="849">
                  <c:v>0.23</c:v>
                </c:pt>
                <c:pt idx="850">
                  <c:v>0.23</c:v>
                </c:pt>
                <c:pt idx="851">
                  <c:v>0.23</c:v>
                </c:pt>
                <c:pt idx="852">
                  <c:v>0.23</c:v>
                </c:pt>
                <c:pt idx="853">
                  <c:v>0.23</c:v>
                </c:pt>
                <c:pt idx="854">
                  <c:v>0.23</c:v>
                </c:pt>
                <c:pt idx="855">
                  <c:v>0.23</c:v>
                </c:pt>
                <c:pt idx="856">
                  <c:v>0.22</c:v>
                </c:pt>
                <c:pt idx="857">
                  <c:v>0.22</c:v>
                </c:pt>
                <c:pt idx="858">
                  <c:v>0.22</c:v>
                </c:pt>
                <c:pt idx="859">
                  <c:v>0.22</c:v>
                </c:pt>
                <c:pt idx="860">
                  <c:v>0.22</c:v>
                </c:pt>
                <c:pt idx="861">
                  <c:v>0.21</c:v>
                </c:pt>
                <c:pt idx="862">
                  <c:v>0.21</c:v>
                </c:pt>
                <c:pt idx="863">
                  <c:v>0.21</c:v>
                </c:pt>
                <c:pt idx="864">
                  <c:v>0.21</c:v>
                </c:pt>
                <c:pt idx="865">
                  <c:v>0.21</c:v>
                </c:pt>
                <c:pt idx="866">
                  <c:v>0.21</c:v>
                </c:pt>
                <c:pt idx="867">
                  <c:v>0.22</c:v>
                </c:pt>
                <c:pt idx="868">
                  <c:v>0.21</c:v>
                </c:pt>
                <c:pt idx="869">
                  <c:v>0.21</c:v>
                </c:pt>
                <c:pt idx="870">
                  <c:v>0.2</c:v>
                </c:pt>
                <c:pt idx="871">
                  <c:v>0.2</c:v>
                </c:pt>
                <c:pt idx="872">
                  <c:v>0.19</c:v>
                </c:pt>
                <c:pt idx="873">
                  <c:v>0.19</c:v>
                </c:pt>
                <c:pt idx="874">
                  <c:v>0.2</c:v>
                </c:pt>
                <c:pt idx="875">
                  <c:v>0.19</c:v>
                </c:pt>
                <c:pt idx="876">
                  <c:v>0.2</c:v>
                </c:pt>
                <c:pt idx="877">
                  <c:v>0.19</c:v>
                </c:pt>
                <c:pt idx="878">
                  <c:v>0.18</c:v>
                </c:pt>
                <c:pt idx="879">
                  <c:v>0.18</c:v>
                </c:pt>
                <c:pt idx="880">
                  <c:v>0.19</c:v>
                </c:pt>
                <c:pt idx="881">
                  <c:v>0.19</c:v>
                </c:pt>
                <c:pt idx="882">
                  <c:v>0.2</c:v>
                </c:pt>
                <c:pt idx="883">
                  <c:v>0.2</c:v>
                </c:pt>
                <c:pt idx="884">
                  <c:v>0.2</c:v>
                </c:pt>
                <c:pt idx="885">
                  <c:v>0.2</c:v>
                </c:pt>
                <c:pt idx="886">
                  <c:v>0.2</c:v>
                </c:pt>
                <c:pt idx="887">
                  <c:v>0.2</c:v>
                </c:pt>
                <c:pt idx="888">
                  <c:v>0.19</c:v>
                </c:pt>
                <c:pt idx="889">
                  <c:v>0.19</c:v>
                </c:pt>
                <c:pt idx="890">
                  <c:v>0.19</c:v>
                </c:pt>
                <c:pt idx="891">
                  <c:v>0.19</c:v>
                </c:pt>
                <c:pt idx="892">
                  <c:v>0.2</c:v>
                </c:pt>
                <c:pt idx="893">
                  <c:v>0.21</c:v>
                </c:pt>
                <c:pt idx="894">
                  <c:v>0.21</c:v>
                </c:pt>
                <c:pt idx="895">
                  <c:v>0.2</c:v>
                </c:pt>
                <c:pt idx="896">
                  <c:v>0.2</c:v>
                </c:pt>
                <c:pt idx="897">
                  <c:v>0.2</c:v>
                </c:pt>
                <c:pt idx="898">
                  <c:v>0.2</c:v>
                </c:pt>
                <c:pt idx="899">
                  <c:v>0.18</c:v>
                </c:pt>
                <c:pt idx="900">
                  <c:v>0.18</c:v>
                </c:pt>
                <c:pt idx="901">
                  <c:v>0.19</c:v>
                </c:pt>
                <c:pt idx="902">
                  <c:v>0.19</c:v>
                </c:pt>
                <c:pt idx="903">
                  <c:v>0.19</c:v>
                </c:pt>
                <c:pt idx="904">
                  <c:v>0.18</c:v>
                </c:pt>
                <c:pt idx="905">
                  <c:v>0.19</c:v>
                </c:pt>
                <c:pt idx="906">
                  <c:v>0.19</c:v>
                </c:pt>
                <c:pt idx="907">
                  <c:v>0.19</c:v>
                </c:pt>
                <c:pt idx="908">
                  <c:v>0.18</c:v>
                </c:pt>
                <c:pt idx="909">
                  <c:v>0.18</c:v>
                </c:pt>
                <c:pt idx="910">
                  <c:v>0.18</c:v>
                </c:pt>
                <c:pt idx="911">
                  <c:v>0.18</c:v>
                </c:pt>
                <c:pt idx="912">
                  <c:v>0.19</c:v>
                </c:pt>
                <c:pt idx="913">
                  <c:v>0.18</c:v>
                </c:pt>
                <c:pt idx="914">
                  <c:v>0.19</c:v>
                </c:pt>
                <c:pt idx="915">
                  <c:v>0.2</c:v>
                </c:pt>
                <c:pt idx="916">
                  <c:v>0.19</c:v>
                </c:pt>
                <c:pt idx="917">
                  <c:v>0.21</c:v>
                </c:pt>
                <c:pt idx="918">
                  <c:v>0.22</c:v>
                </c:pt>
                <c:pt idx="919">
                  <c:v>0.23</c:v>
                </c:pt>
                <c:pt idx="920">
                  <c:v>0.25</c:v>
                </c:pt>
                <c:pt idx="921">
                  <c:v>0.25</c:v>
                </c:pt>
                <c:pt idx="922">
                  <c:v>0.25</c:v>
                </c:pt>
                <c:pt idx="923">
                  <c:v>0.25</c:v>
                </c:pt>
                <c:pt idx="924">
                  <c:v>0.24</c:v>
                </c:pt>
                <c:pt idx="925">
                  <c:v>0.24</c:v>
                </c:pt>
                <c:pt idx="926">
                  <c:v>0.24</c:v>
                </c:pt>
                <c:pt idx="927">
                  <c:v>0.24</c:v>
                </c:pt>
                <c:pt idx="928">
                  <c:v>0.25</c:v>
                </c:pt>
                <c:pt idx="929">
                  <c:v>0.25</c:v>
                </c:pt>
                <c:pt idx="930">
                  <c:v>0.25</c:v>
                </c:pt>
                <c:pt idx="931">
                  <c:v>0.25</c:v>
                </c:pt>
                <c:pt idx="932">
                  <c:v>0.25</c:v>
                </c:pt>
                <c:pt idx="933">
                  <c:v>0.25</c:v>
                </c:pt>
                <c:pt idx="934">
                  <c:v>0.25</c:v>
                </c:pt>
                <c:pt idx="935">
                  <c:v>0.25</c:v>
                </c:pt>
                <c:pt idx="936">
                  <c:v>0.26</c:v>
                </c:pt>
                <c:pt idx="937">
                  <c:v>0.25</c:v>
                </c:pt>
                <c:pt idx="938">
                  <c:v>0.25</c:v>
                </c:pt>
                <c:pt idx="939">
                  <c:v>0.26</c:v>
                </c:pt>
                <c:pt idx="940">
                  <c:v>0.25</c:v>
                </c:pt>
                <c:pt idx="941">
                  <c:v>0.25</c:v>
                </c:pt>
                <c:pt idx="942">
                  <c:v>0.25</c:v>
                </c:pt>
                <c:pt idx="943">
                  <c:v>0.25</c:v>
                </c:pt>
                <c:pt idx="944">
                  <c:v>0.25</c:v>
                </c:pt>
                <c:pt idx="945">
                  <c:v>0.25</c:v>
                </c:pt>
                <c:pt idx="946">
                  <c:v>0.25</c:v>
                </c:pt>
                <c:pt idx="947">
                  <c:v>0.25</c:v>
                </c:pt>
                <c:pt idx="948">
                  <c:v>0.26</c:v>
                </c:pt>
                <c:pt idx="949">
                  <c:v>0.25</c:v>
                </c:pt>
                <c:pt idx="950">
                  <c:v>0.25</c:v>
                </c:pt>
                <c:pt idx="951">
                  <c:v>0.25</c:v>
                </c:pt>
                <c:pt idx="952">
                  <c:v>0.25</c:v>
                </c:pt>
                <c:pt idx="953">
                  <c:v>0.24</c:v>
                </c:pt>
                <c:pt idx="954">
                  <c:v>0.24</c:v>
                </c:pt>
                <c:pt idx="955">
                  <c:v>0.24</c:v>
                </c:pt>
                <c:pt idx="956">
                  <c:v>0.23</c:v>
                </c:pt>
                <c:pt idx="957">
                  <c:v>0.22</c:v>
                </c:pt>
                <c:pt idx="958">
                  <c:v>0.22</c:v>
                </c:pt>
                <c:pt idx="959">
                  <c:v>0.22</c:v>
                </c:pt>
                <c:pt idx="960">
                  <c:v>0.23</c:v>
                </c:pt>
                <c:pt idx="961">
                  <c:v>0.23</c:v>
                </c:pt>
                <c:pt idx="962">
                  <c:v>0.22</c:v>
                </c:pt>
                <c:pt idx="963">
                  <c:v>0.22</c:v>
                </c:pt>
                <c:pt idx="964">
                  <c:v>0.23</c:v>
                </c:pt>
                <c:pt idx="965">
                  <c:v>0.23</c:v>
                </c:pt>
                <c:pt idx="966">
                  <c:v>0.24</c:v>
                </c:pt>
                <c:pt idx="967">
                  <c:v>0.24</c:v>
                </c:pt>
                <c:pt idx="968">
                  <c:v>0.23</c:v>
                </c:pt>
                <c:pt idx="969">
                  <c:v>0.23</c:v>
                </c:pt>
                <c:pt idx="970">
                  <c:v>0.23</c:v>
                </c:pt>
                <c:pt idx="971">
                  <c:v>0.23</c:v>
                </c:pt>
                <c:pt idx="972">
                  <c:v>0.23</c:v>
                </c:pt>
                <c:pt idx="973">
                  <c:v>0.23</c:v>
                </c:pt>
                <c:pt idx="974">
                  <c:v>0.22</c:v>
                </c:pt>
                <c:pt idx="975">
                  <c:v>0.23</c:v>
                </c:pt>
                <c:pt idx="976">
                  <c:v>0.23</c:v>
                </c:pt>
                <c:pt idx="977">
                  <c:v>0.23</c:v>
                </c:pt>
                <c:pt idx="978">
                  <c:v>0.22</c:v>
                </c:pt>
                <c:pt idx="979">
                  <c:v>0.22</c:v>
                </c:pt>
                <c:pt idx="980">
                  <c:v>0.23</c:v>
                </c:pt>
                <c:pt idx="981">
                  <c:v>0.23</c:v>
                </c:pt>
                <c:pt idx="982">
                  <c:v>0.23</c:v>
                </c:pt>
                <c:pt idx="983">
                  <c:v>0.23</c:v>
                </c:pt>
                <c:pt idx="984">
                  <c:v>0.22</c:v>
                </c:pt>
                <c:pt idx="985">
                  <c:v>0.21</c:v>
                </c:pt>
                <c:pt idx="986">
                  <c:v>0.2</c:v>
                </c:pt>
                <c:pt idx="987">
                  <c:v>0.21</c:v>
                </c:pt>
                <c:pt idx="988">
                  <c:v>0.21</c:v>
                </c:pt>
                <c:pt idx="989">
                  <c:v>0.2</c:v>
                </c:pt>
                <c:pt idx="990">
                  <c:v>0.2</c:v>
                </c:pt>
                <c:pt idx="991">
                  <c:v>0.21</c:v>
                </c:pt>
                <c:pt idx="992">
                  <c:v>0.21</c:v>
                </c:pt>
                <c:pt idx="993">
                  <c:v>0.21</c:v>
                </c:pt>
                <c:pt idx="994">
                  <c:v>0.2</c:v>
                </c:pt>
                <c:pt idx="995">
                  <c:v>0.2</c:v>
                </c:pt>
                <c:pt idx="996">
                  <c:v>0.2</c:v>
                </c:pt>
                <c:pt idx="997">
                  <c:v>0.2</c:v>
                </c:pt>
                <c:pt idx="998">
                  <c:v>0.21</c:v>
                </c:pt>
                <c:pt idx="999">
                  <c:v>0.21</c:v>
                </c:pt>
                <c:pt idx="1000">
                  <c:v>0.19</c:v>
                </c:pt>
                <c:pt idx="1001">
                  <c:v>0.19</c:v>
                </c:pt>
                <c:pt idx="1002">
                  <c:v>0.18</c:v>
                </c:pt>
                <c:pt idx="1003">
                  <c:v>0.18</c:v>
                </c:pt>
                <c:pt idx="1004">
                  <c:v>0.18</c:v>
                </c:pt>
                <c:pt idx="1005">
                  <c:v>0.18</c:v>
                </c:pt>
                <c:pt idx="1006">
                  <c:v>0.17</c:v>
                </c:pt>
                <c:pt idx="1007">
                  <c:v>0.17</c:v>
                </c:pt>
                <c:pt idx="1008">
                  <c:v>0.17</c:v>
                </c:pt>
                <c:pt idx="1009">
                  <c:v>0.17</c:v>
                </c:pt>
                <c:pt idx="1010">
                  <c:v>0.18</c:v>
                </c:pt>
                <c:pt idx="1011">
                  <c:v>0.17</c:v>
                </c:pt>
                <c:pt idx="1012">
                  <c:v>0.17</c:v>
                </c:pt>
                <c:pt idx="1013">
                  <c:v>0.18</c:v>
                </c:pt>
                <c:pt idx="1014">
                  <c:v>0.18</c:v>
                </c:pt>
                <c:pt idx="1015">
                  <c:v>0.18</c:v>
                </c:pt>
                <c:pt idx="1016">
                  <c:v>0.18</c:v>
                </c:pt>
                <c:pt idx="1017">
                  <c:v>0.18</c:v>
                </c:pt>
                <c:pt idx="1018">
                  <c:v>0.19</c:v>
                </c:pt>
                <c:pt idx="1019">
                  <c:v>0.19</c:v>
                </c:pt>
                <c:pt idx="1020">
                  <c:v>0.19</c:v>
                </c:pt>
                <c:pt idx="1021">
                  <c:v>0.19</c:v>
                </c:pt>
                <c:pt idx="1022">
                  <c:v>0.18</c:v>
                </c:pt>
                <c:pt idx="1023">
                  <c:v>0.17</c:v>
                </c:pt>
                <c:pt idx="1024">
                  <c:v>0.17</c:v>
                </c:pt>
                <c:pt idx="1025">
                  <c:v>0.16</c:v>
                </c:pt>
                <c:pt idx="1026">
                  <c:v>0.16</c:v>
                </c:pt>
                <c:pt idx="1027">
                  <c:v>0.16</c:v>
                </c:pt>
                <c:pt idx="1028">
                  <c:v>0.16</c:v>
                </c:pt>
                <c:pt idx="1029">
                  <c:v>0.16</c:v>
                </c:pt>
                <c:pt idx="1030">
                  <c:v>0.16</c:v>
                </c:pt>
                <c:pt idx="1031">
                  <c:v>0.16</c:v>
                </c:pt>
                <c:pt idx="1032">
                  <c:v>0.16</c:v>
                </c:pt>
                <c:pt idx="1033">
                  <c:v>0.15</c:v>
                </c:pt>
                <c:pt idx="1034">
                  <c:v>0.16</c:v>
                </c:pt>
                <c:pt idx="1035">
                  <c:v>0.16</c:v>
                </c:pt>
                <c:pt idx="1036">
                  <c:v>0.16</c:v>
                </c:pt>
                <c:pt idx="1037">
                  <c:v>0.17</c:v>
                </c:pt>
                <c:pt idx="1038">
                  <c:v>0.17</c:v>
                </c:pt>
                <c:pt idx="1039">
                  <c:v>0.17</c:v>
                </c:pt>
                <c:pt idx="1040">
                  <c:v>0.18</c:v>
                </c:pt>
                <c:pt idx="1041">
                  <c:v>0.17</c:v>
                </c:pt>
                <c:pt idx="1042">
                  <c:v>0.17</c:v>
                </c:pt>
                <c:pt idx="1043">
                  <c:v>0.17</c:v>
                </c:pt>
                <c:pt idx="1044">
                  <c:v>0.17</c:v>
                </c:pt>
                <c:pt idx="1045">
                  <c:v>0.18</c:v>
                </c:pt>
                <c:pt idx="1046">
                  <c:v>0.18</c:v>
                </c:pt>
                <c:pt idx="1047">
                  <c:v>0.17</c:v>
                </c:pt>
                <c:pt idx="1048">
                  <c:v>0.16</c:v>
                </c:pt>
                <c:pt idx="1049">
                  <c:v>0.16</c:v>
                </c:pt>
                <c:pt idx="1050">
                  <c:v>0.16</c:v>
                </c:pt>
                <c:pt idx="1051">
                  <c:v>0.17</c:v>
                </c:pt>
                <c:pt idx="1052">
                  <c:v>0.17</c:v>
                </c:pt>
                <c:pt idx="1053">
                  <c:v>0.17</c:v>
                </c:pt>
                <c:pt idx="1054">
                  <c:v>0.15</c:v>
                </c:pt>
                <c:pt idx="1055">
                  <c:v>0.15</c:v>
                </c:pt>
                <c:pt idx="1056">
                  <c:v>0.15</c:v>
                </c:pt>
                <c:pt idx="1057">
                  <c:v>0.16</c:v>
                </c:pt>
                <c:pt idx="1058">
                  <c:v>0.16</c:v>
                </c:pt>
                <c:pt idx="1059">
                  <c:v>0.16</c:v>
                </c:pt>
                <c:pt idx="1060">
                  <c:v>0.16</c:v>
                </c:pt>
                <c:pt idx="1061">
                  <c:v>0.16</c:v>
                </c:pt>
                <c:pt idx="1062">
                  <c:v>0.16</c:v>
                </c:pt>
                <c:pt idx="1063">
                  <c:v>0.16</c:v>
                </c:pt>
                <c:pt idx="1064">
                  <c:v>0.17</c:v>
                </c:pt>
                <c:pt idx="1065">
                  <c:v>0.18</c:v>
                </c:pt>
                <c:pt idx="1066">
                  <c:v>0.18</c:v>
                </c:pt>
                <c:pt idx="1067">
                  <c:v>0.18</c:v>
                </c:pt>
                <c:pt idx="1068">
                  <c:v>0.18</c:v>
                </c:pt>
                <c:pt idx="1069">
                  <c:v>0.17</c:v>
                </c:pt>
                <c:pt idx="1070">
                  <c:v>0.16</c:v>
                </c:pt>
                <c:pt idx="1071">
                  <c:v>0.16</c:v>
                </c:pt>
                <c:pt idx="1072">
                  <c:v>0.16</c:v>
                </c:pt>
                <c:pt idx="1073">
                  <c:v>0.16</c:v>
                </c:pt>
                <c:pt idx="1074">
                  <c:v>0.17</c:v>
                </c:pt>
                <c:pt idx="1075">
                  <c:v>0.17</c:v>
                </c:pt>
                <c:pt idx="1076">
                  <c:v>0.17</c:v>
                </c:pt>
                <c:pt idx="1077">
                  <c:v>0.17</c:v>
                </c:pt>
                <c:pt idx="1078">
                  <c:v>0.17</c:v>
                </c:pt>
                <c:pt idx="1079">
                  <c:v>0.16</c:v>
                </c:pt>
                <c:pt idx="1080">
                  <c:v>0.16</c:v>
                </c:pt>
                <c:pt idx="1081">
                  <c:v>0.16</c:v>
                </c:pt>
                <c:pt idx="1082">
                  <c:v>0.16</c:v>
                </c:pt>
                <c:pt idx="1083">
                  <c:v>0.17</c:v>
                </c:pt>
                <c:pt idx="1084">
                  <c:v>0.17</c:v>
                </c:pt>
                <c:pt idx="1085">
                  <c:v>0.17</c:v>
                </c:pt>
                <c:pt idx="1086">
                  <c:v>0.17</c:v>
                </c:pt>
                <c:pt idx="1087">
                  <c:v>0.17</c:v>
                </c:pt>
                <c:pt idx="1088">
                  <c:v>0.17</c:v>
                </c:pt>
                <c:pt idx="1089">
                  <c:v>0.17</c:v>
                </c:pt>
                <c:pt idx="1090">
                  <c:v>0.17</c:v>
                </c:pt>
                <c:pt idx="1091">
                  <c:v>0.17</c:v>
                </c:pt>
                <c:pt idx="1092">
                  <c:v>0.17</c:v>
                </c:pt>
                <c:pt idx="1093">
                  <c:v>0.16</c:v>
                </c:pt>
                <c:pt idx="1094">
                  <c:v>0.16</c:v>
                </c:pt>
                <c:pt idx="1095">
                  <c:v>0.16</c:v>
                </c:pt>
                <c:pt idx="1096">
                  <c:v>0.16</c:v>
                </c:pt>
                <c:pt idx="1097">
                  <c:v>0.16</c:v>
                </c:pt>
                <c:pt idx="1098">
                  <c:v>0.17</c:v>
                </c:pt>
                <c:pt idx="1099">
                  <c:v>0.17</c:v>
                </c:pt>
                <c:pt idx="1100">
                  <c:v>0.17</c:v>
                </c:pt>
                <c:pt idx="1101">
                  <c:v>0.18</c:v>
                </c:pt>
                <c:pt idx="1102">
                  <c:v>0.18</c:v>
                </c:pt>
                <c:pt idx="1103">
                  <c:v>0.18</c:v>
                </c:pt>
                <c:pt idx="1104">
                  <c:v>0.18</c:v>
                </c:pt>
                <c:pt idx="1105">
                  <c:v>0.18</c:v>
                </c:pt>
                <c:pt idx="1106">
                  <c:v>0.19</c:v>
                </c:pt>
                <c:pt idx="1107">
                  <c:v>0.2</c:v>
                </c:pt>
                <c:pt idx="1108">
                  <c:v>0.2</c:v>
                </c:pt>
                <c:pt idx="1109">
                  <c:v>0.2</c:v>
                </c:pt>
                <c:pt idx="1110">
                  <c:v>0.19</c:v>
                </c:pt>
                <c:pt idx="1111">
                  <c:v>0.19</c:v>
                </c:pt>
                <c:pt idx="1112">
                  <c:v>0.19</c:v>
                </c:pt>
                <c:pt idx="1113">
                  <c:v>0.19</c:v>
                </c:pt>
                <c:pt idx="1114">
                  <c:v>0.18</c:v>
                </c:pt>
                <c:pt idx="1115">
                  <c:v>0.19</c:v>
                </c:pt>
                <c:pt idx="1116">
                  <c:v>0.19</c:v>
                </c:pt>
                <c:pt idx="1117">
                  <c:v>0.19</c:v>
                </c:pt>
                <c:pt idx="1118">
                  <c:v>0.18</c:v>
                </c:pt>
                <c:pt idx="1119">
                  <c:v>0.18</c:v>
                </c:pt>
                <c:pt idx="1120">
                  <c:v>0.18</c:v>
                </c:pt>
                <c:pt idx="1121">
                  <c:v>0.18</c:v>
                </c:pt>
                <c:pt idx="1122">
                  <c:v>0.19</c:v>
                </c:pt>
                <c:pt idx="1123">
                  <c:v>0.19</c:v>
                </c:pt>
                <c:pt idx="1124">
                  <c:v>0.19</c:v>
                </c:pt>
                <c:pt idx="1125">
                  <c:v>0.19</c:v>
                </c:pt>
                <c:pt idx="1126">
                  <c:v>0.19</c:v>
                </c:pt>
                <c:pt idx="1127">
                  <c:v>0.19</c:v>
                </c:pt>
                <c:pt idx="1128">
                  <c:v>0.19</c:v>
                </c:pt>
                <c:pt idx="1129">
                  <c:v>0.19</c:v>
                </c:pt>
                <c:pt idx="1130">
                  <c:v>0.18</c:v>
                </c:pt>
                <c:pt idx="1131">
                  <c:v>0.17</c:v>
                </c:pt>
                <c:pt idx="1132">
                  <c:v>0.17</c:v>
                </c:pt>
                <c:pt idx="1133">
                  <c:v>0.18</c:v>
                </c:pt>
                <c:pt idx="1134">
                  <c:v>0.18</c:v>
                </c:pt>
                <c:pt idx="1135">
                  <c:v>0.18</c:v>
                </c:pt>
                <c:pt idx="1136">
                  <c:v>0.18</c:v>
                </c:pt>
                <c:pt idx="1137">
                  <c:v>0.18</c:v>
                </c:pt>
                <c:pt idx="1138">
                  <c:v>0.18</c:v>
                </c:pt>
                <c:pt idx="1139">
                  <c:v>0.19</c:v>
                </c:pt>
                <c:pt idx="1140">
                  <c:v>0.19</c:v>
                </c:pt>
                <c:pt idx="1141">
                  <c:v>0.19</c:v>
                </c:pt>
                <c:pt idx="1142">
                  <c:v>0.18</c:v>
                </c:pt>
                <c:pt idx="1143">
                  <c:v>0.18</c:v>
                </c:pt>
                <c:pt idx="1144">
                  <c:v>0.18</c:v>
                </c:pt>
                <c:pt idx="1145">
                  <c:v>0.19</c:v>
                </c:pt>
                <c:pt idx="1146">
                  <c:v>0.18</c:v>
                </c:pt>
                <c:pt idx="1147">
                  <c:v>0.18</c:v>
                </c:pt>
                <c:pt idx="1148">
                  <c:v>0.19</c:v>
                </c:pt>
                <c:pt idx="1149">
                  <c:v>0.2</c:v>
                </c:pt>
                <c:pt idx="1150">
                  <c:v>0.21</c:v>
                </c:pt>
                <c:pt idx="1151">
                  <c:v>0.2</c:v>
                </c:pt>
                <c:pt idx="1152">
                  <c:v>0.21</c:v>
                </c:pt>
                <c:pt idx="1153">
                  <c:v>0.16</c:v>
                </c:pt>
                <c:pt idx="1154">
                  <c:v>0.2</c:v>
                </c:pt>
                <c:pt idx="1155">
                  <c:v>0.2</c:v>
                </c:pt>
                <c:pt idx="1156">
                  <c:v>0.19</c:v>
                </c:pt>
                <c:pt idx="1157">
                  <c:v>0.19</c:v>
                </c:pt>
                <c:pt idx="1158">
                  <c:v>0.19</c:v>
                </c:pt>
                <c:pt idx="1159">
                  <c:v>0.19</c:v>
                </c:pt>
                <c:pt idx="1160">
                  <c:v>0.18</c:v>
                </c:pt>
                <c:pt idx="1161">
                  <c:v>0.18</c:v>
                </c:pt>
                <c:pt idx="1162">
                  <c:v>0.19</c:v>
                </c:pt>
                <c:pt idx="1163">
                  <c:v>0.19</c:v>
                </c:pt>
                <c:pt idx="1164">
                  <c:v>0.19</c:v>
                </c:pt>
                <c:pt idx="1165">
                  <c:v>0.2</c:v>
                </c:pt>
                <c:pt idx="1166">
                  <c:v>0.2</c:v>
                </c:pt>
                <c:pt idx="1167">
                  <c:v>0.2</c:v>
                </c:pt>
                <c:pt idx="1168">
                  <c:v>0.2</c:v>
                </c:pt>
                <c:pt idx="1169">
                  <c:v>0.2</c:v>
                </c:pt>
                <c:pt idx="1170">
                  <c:v>0.2</c:v>
                </c:pt>
                <c:pt idx="1171">
                  <c:v>0.21</c:v>
                </c:pt>
                <c:pt idx="1172">
                  <c:v>0.21</c:v>
                </c:pt>
                <c:pt idx="1173">
                  <c:v>0.2</c:v>
                </c:pt>
                <c:pt idx="1174">
                  <c:v>0.2</c:v>
                </c:pt>
                <c:pt idx="1175">
                  <c:v>0.2</c:v>
                </c:pt>
                <c:pt idx="1176">
                  <c:v>0.2</c:v>
                </c:pt>
                <c:pt idx="1177">
                  <c:v>0.2</c:v>
                </c:pt>
                <c:pt idx="1178">
                  <c:v>0.2</c:v>
                </c:pt>
                <c:pt idx="1179">
                  <c:v>0.19</c:v>
                </c:pt>
                <c:pt idx="1180">
                  <c:v>0.2</c:v>
                </c:pt>
                <c:pt idx="1181">
                  <c:v>0.19</c:v>
                </c:pt>
                <c:pt idx="1182">
                  <c:v>0.19</c:v>
                </c:pt>
                <c:pt idx="1183">
                  <c:v>0.19</c:v>
                </c:pt>
                <c:pt idx="1184">
                  <c:v>0.19</c:v>
                </c:pt>
                <c:pt idx="1185">
                  <c:v>0.19</c:v>
                </c:pt>
                <c:pt idx="1186">
                  <c:v>0.19</c:v>
                </c:pt>
                <c:pt idx="1187">
                  <c:v>0.19</c:v>
                </c:pt>
                <c:pt idx="1188">
                  <c:v>0.19</c:v>
                </c:pt>
                <c:pt idx="1189">
                  <c:v>0.19</c:v>
                </c:pt>
                <c:pt idx="1190">
                  <c:v>0.19</c:v>
                </c:pt>
                <c:pt idx="1191">
                  <c:v>0.19</c:v>
                </c:pt>
                <c:pt idx="1192">
                  <c:v>0.19</c:v>
                </c:pt>
                <c:pt idx="1193">
                  <c:v>0.19</c:v>
                </c:pt>
                <c:pt idx="1194">
                  <c:v>0.19</c:v>
                </c:pt>
                <c:pt idx="1195">
                  <c:v>0.19</c:v>
                </c:pt>
                <c:pt idx="1196">
                  <c:v>0.19</c:v>
                </c:pt>
                <c:pt idx="1197">
                  <c:v>0.19</c:v>
                </c:pt>
                <c:pt idx="1198">
                  <c:v>0.2</c:v>
                </c:pt>
                <c:pt idx="1199">
                  <c:v>0.2</c:v>
                </c:pt>
                <c:pt idx="1200">
                  <c:v>0.19</c:v>
                </c:pt>
                <c:pt idx="1201">
                  <c:v>0.19</c:v>
                </c:pt>
                <c:pt idx="1202">
                  <c:v>0.19</c:v>
                </c:pt>
                <c:pt idx="1203">
                  <c:v>0.19</c:v>
                </c:pt>
                <c:pt idx="1204">
                  <c:v>0.19</c:v>
                </c:pt>
                <c:pt idx="1205">
                  <c:v>0.2</c:v>
                </c:pt>
                <c:pt idx="1206">
                  <c:v>0.21</c:v>
                </c:pt>
                <c:pt idx="1207">
                  <c:v>0.21</c:v>
                </c:pt>
                <c:pt idx="1208">
                  <c:v>0.16</c:v>
                </c:pt>
                <c:pt idx="1209">
                  <c:v>0.2</c:v>
                </c:pt>
                <c:pt idx="1210">
                  <c:v>0.19</c:v>
                </c:pt>
                <c:pt idx="1211">
                  <c:v>0.19</c:v>
                </c:pt>
                <c:pt idx="1212">
                  <c:v>0.2</c:v>
                </c:pt>
                <c:pt idx="1213">
                  <c:v>0.2</c:v>
                </c:pt>
                <c:pt idx="1214">
                  <c:v>0.2</c:v>
                </c:pt>
                <c:pt idx="1215">
                  <c:v>0.2</c:v>
                </c:pt>
                <c:pt idx="1216">
                  <c:v>0.2</c:v>
                </c:pt>
                <c:pt idx="1217">
                  <c:v>0.19</c:v>
                </c:pt>
                <c:pt idx="1218">
                  <c:v>0.19</c:v>
                </c:pt>
                <c:pt idx="1219">
                  <c:v>0.2</c:v>
                </c:pt>
                <c:pt idx="1220">
                  <c:v>0.19</c:v>
                </c:pt>
                <c:pt idx="1221">
                  <c:v>0.2</c:v>
                </c:pt>
                <c:pt idx="1222">
                  <c:v>0.19</c:v>
                </c:pt>
                <c:pt idx="1223">
                  <c:v>0.19</c:v>
                </c:pt>
                <c:pt idx="1224">
                  <c:v>0.19</c:v>
                </c:pt>
                <c:pt idx="1225">
                  <c:v>0.19</c:v>
                </c:pt>
                <c:pt idx="1226">
                  <c:v>0.19</c:v>
                </c:pt>
                <c:pt idx="1227">
                  <c:v>0.19</c:v>
                </c:pt>
                <c:pt idx="1228">
                  <c:v>0.2</c:v>
                </c:pt>
                <c:pt idx="1229">
                  <c:v>0.2</c:v>
                </c:pt>
                <c:pt idx="1230">
                  <c:v>0.19</c:v>
                </c:pt>
                <c:pt idx="1231">
                  <c:v>0.19</c:v>
                </c:pt>
                <c:pt idx="1232">
                  <c:v>0.19</c:v>
                </c:pt>
                <c:pt idx="1233">
                  <c:v>0.19</c:v>
                </c:pt>
                <c:pt idx="1234">
                  <c:v>0.18</c:v>
                </c:pt>
                <c:pt idx="1235">
                  <c:v>0.19</c:v>
                </c:pt>
                <c:pt idx="1236">
                  <c:v>0.19</c:v>
                </c:pt>
                <c:pt idx="1237">
                  <c:v>0.19</c:v>
                </c:pt>
                <c:pt idx="1238">
                  <c:v>0.21</c:v>
                </c:pt>
                <c:pt idx="1239">
                  <c:v>0.16</c:v>
                </c:pt>
                <c:pt idx="1240">
                  <c:v>0.21</c:v>
                </c:pt>
                <c:pt idx="1241">
                  <c:v>0.2</c:v>
                </c:pt>
                <c:pt idx="1242">
                  <c:v>0.2</c:v>
                </c:pt>
                <c:pt idx="1243">
                  <c:v>0.2</c:v>
                </c:pt>
                <c:pt idx="1244">
                  <c:v>0.19</c:v>
                </c:pt>
                <c:pt idx="1245">
                  <c:v>0.18</c:v>
                </c:pt>
                <c:pt idx="1246">
                  <c:v>0.18</c:v>
                </c:pt>
                <c:pt idx="1247">
                  <c:v>0.18</c:v>
                </c:pt>
                <c:pt idx="1248">
                  <c:v>0.19</c:v>
                </c:pt>
                <c:pt idx="1249">
                  <c:v>0.19</c:v>
                </c:pt>
                <c:pt idx="1250">
                  <c:v>0.18</c:v>
                </c:pt>
                <c:pt idx="1251">
                  <c:v>0.18</c:v>
                </c:pt>
                <c:pt idx="1252">
                  <c:v>0.18</c:v>
                </c:pt>
                <c:pt idx="1253">
                  <c:v>0.19</c:v>
                </c:pt>
                <c:pt idx="1254">
                  <c:v>0.19</c:v>
                </c:pt>
                <c:pt idx="1255">
                  <c:v>0.18</c:v>
                </c:pt>
                <c:pt idx="1256">
                  <c:v>0.19</c:v>
                </c:pt>
                <c:pt idx="1257">
                  <c:v>0.19</c:v>
                </c:pt>
                <c:pt idx="1258">
                  <c:v>0.19</c:v>
                </c:pt>
                <c:pt idx="1259">
                  <c:v>0.2</c:v>
                </c:pt>
                <c:pt idx="1260">
                  <c:v>0.2</c:v>
                </c:pt>
                <c:pt idx="1261">
                  <c:v>0.2</c:v>
                </c:pt>
                <c:pt idx="1262">
                  <c:v>0.21</c:v>
                </c:pt>
                <c:pt idx="1263">
                  <c:v>0.21</c:v>
                </c:pt>
                <c:pt idx="1264">
                  <c:v>0.21</c:v>
                </c:pt>
                <c:pt idx="1265">
                  <c:v>0.16</c:v>
                </c:pt>
                <c:pt idx="1266">
                  <c:v>0.16</c:v>
                </c:pt>
                <c:pt idx="1267">
                  <c:v>0.17</c:v>
                </c:pt>
                <c:pt idx="1268">
                  <c:v>0.17</c:v>
                </c:pt>
                <c:pt idx="1269">
                  <c:v>0.21</c:v>
                </c:pt>
                <c:pt idx="1270">
                  <c:v>0.21</c:v>
                </c:pt>
                <c:pt idx="1271">
                  <c:v>0.21</c:v>
                </c:pt>
                <c:pt idx="1272">
                  <c:v>0.21</c:v>
                </c:pt>
                <c:pt idx="1273">
                  <c:v>0.21</c:v>
                </c:pt>
                <c:pt idx="1274">
                  <c:v>0.2</c:v>
                </c:pt>
                <c:pt idx="1275">
                  <c:v>0.19</c:v>
                </c:pt>
                <c:pt idx="1276">
                  <c:v>0.18</c:v>
                </c:pt>
                <c:pt idx="1277">
                  <c:v>0.18</c:v>
                </c:pt>
                <c:pt idx="1278">
                  <c:v>0.18</c:v>
                </c:pt>
                <c:pt idx="1279">
                  <c:v>0.18</c:v>
                </c:pt>
                <c:pt idx="1280">
                  <c:v>0.19</c:v>
                </c:pt>
                <c:pt idx="1281">
                  <c:v>0.19</c:v>
                </c:pt>
                <c:pt idx="1282">
                  <c:v>0.18</c:v>
                </c:pt>
                <c:pt idx="1283">
                  <c:v>0.19</c:v>
                </c:pt>
                <c:pt idx="1284">
                  <c:v>0.19</c:v>
                </c:pt>
                <c:pt idx="1285">
                  <c:v>0.19</c:v>
                </c:pt>
                <c:pt idx="1286">
                  <c:v>0.19</c:v>
                </c:pt>
                <c:pt idx="1287">
                  <c:v>0.19</c:v>
                </c:pt>
                <c:pt idx="1288">
                  <c:v>0.19</c:v>
                </c:pt>
                <c:pt idx="1289">
                  <c:v>0.19</c:v>
                </c:pt>
                <c:pt idx="1290">
                  <c:v>0.2</c:v>
                </c:pt>
                <c:pt idx="1291">
                  <c:v>0.2</c:v>
                </c:pt>
                <c:pt idx="1292">
                  <c:v>0.19</c:v>
                </c:pt>
                <c:pt idx="1293">
                  <c:v>0.19</c:v>
                </c:pt>
                <c:pt idx="1294">
                  <c:v>0.19</c:v>
                </c:pt>
                <c:pt idx="1295">
                  <c:v>0.19</c:v>
                </c:pt>
                <c:pt idx="1296">
                  <c:v>0.19</c:v>
                </c:pt>
                <c:pt idx="1297">
                  <c:v>0.19</c:v>
                </c:pt>
                <c:pt idx="1298">
                  <c:v>0.19</c:v>
                </c:pt>
                <c:pt idx="1299">
                  <c:v>0.19</c:v>
                </c:pt>
                <c:pt idx="1300">
                  <c:v>0.19</c:v>
                </c:pt>
                <c:pt idx="1301">
                  <c:v>0.19</c:v>
                </c:pt>
                <c:pt idx="1302">
                  <c:v>0.2</c:v>
                </c:pt>
                <c:pt idx="1303">
                  <c:v>0.2</c:v>
                </c:pt>
                <c:pt idx="1304">
                  <c:v>0.19</c:v>
                </c:pt>
                <c:pt idx="1305">
                  <c:v>0.18</c:v>
                </c:pt>
                <c:pt idx="1306">
                  <c:v>0.18</c:v>
                </c:pt>
                <c:pt idx="1307">
                  <c:v>0.18</c:v>
                </c:pt>
                <c:pt idx="1308">
                  <c:v>0.18</c:v>
                </c:pt>
                <c:pt idx="1309">
                  <c:v>0.19</c:v>
                </c:pt>
                <c:pt idx="1310">
                  <c:v>0.19</c:v>
                </c:pt>
                <c:pt idx="1311">
                  <c:v>0.19</c:v>
                </c:pt>
                <c:pt idx="1312">
                  <c:v>0.18</c:v>
                </c:pt>
                <c:pt idx="1313">
                  <c:v>0.19</c:v>
                </c:pt>
                <c:pt idx="1314">
                  <c:v>0.2</c:v>
                </c:pt>
                <c:pt idx="1315">
                  <c:v>0.2</c:v>
                </c:pt>
                <c:pt idx="1316">
                  <c:v>0.19</c:v>
                </c:pt>
                <c:pt idx="1317">
                  <c:v>0.19</c:v>
                </c:pt>
                <c:pt idx="1318">
                  <c:v>0.19</c:v>
                </c:pt>
                <c:pt idx="1319">
                  <c:v>0.2</c:v>
                </c:pt>
                <c:pt idx="1320">
                  <c:v>0.2</c:v>
                </c:pt>
                <c:pt idx="1321">
                  <c:v>0.2</c:v>
                </c:pt>
                <c:pt idx="1322">
                  <c:v>0.2</c:v>
                </c:pt>
                <c:pt idx="1323">
                  <c:v>0.2</c:v>
                </c:pt>
                <c:pt idx="1324">
                  <c:v>0.2</c:v>
                </c:pt>
                <c:pt idx="1325">
                  <c:v>0.2</c:v>
                </c:pt>
                <c:pt idx="1326">
                  <c:v>0.21</c:v>
                </c:pt>
                <c:pt idx="1327">
                  <c:v>0.2</c:v>
                </c:pt>
                <c:pt idx="1328">
                  <c:v>0.21</c:v>
                </c:pt>
                <c:pt idx="1329">
                  <c:v>0.21</c:v>
                </c:pt>
                <c:pt idx="1330">
                  <c:v>0.21</c:v>
                </c:pt>
                <c:pt idx="1331">
                  <c:v>0.2</c:v>
                </c:pt>
                <c:pt idx="1332">
                  <c:v>0.2</c:v>
                </c:pt>
                <c:pt idx="1333">
                  <c:v>0.2</c:v>
                </c:pt>
                <c:pt idx="1334">
                  <c:v>0.2</c:v>
                </c:pt>
                <c:pt idx="1335">
                  <c:v>0.2</c:v>
                </c:pt>
                <c:pt idx="1336">
                  <c:v>0.2</c:v>
                </c:pt>
                <c:pt idx="1337">
                  <c:v>0.2</c:v>
                </c:pt>
                <c:pt idx="1338">
                  <c:v>0.2</c:v>
                </c:pt>
                <c:pt idx="1339">
                  <c:v>0.2</c:v>
                </c:pt>
                <c:pt idx="1340">
                  <c:v>0.2</c:v>
                </c:pt>
                <c:pt idx="1341">
                  <c:v>0.21</c:v>
                </c:pt>
                <c:pt idx="1342">
                  <c:v>0.2</c:v>
                </c:pt>
                <c:pt idx="1343">
                  <c:v>0.2</c:v>
                </c:pt>
                <c:pt idx="1344">
                  <c:v>0.21</c:v>
                </c:pt>
                <c:pt idx="1345">
                  <c:v>0.18</c:v>
                </c:pt>
                <c:pt idx="1346">
                  <c:v>0.19</c:v>
                </c:pt>
                <c:pt idx="1347">
                  <c:v>0.21</c:v>
                </c:pt>
                <c:pt idx="1348">
                  <c:v>0.2</c:v>
                </c:pt>
                <c:pt idx="1349">
                  <c:v>0.2</c:v>
                </c:pt>
                <c:pt idx="1350">
                  <c:v>0.21</c:v>
                </c:pt>
                <c:pt idx="1351">
                  <c:v>0.2</c:v>
                </c:pt>
                <c:pt idx="1352">
                  <c:v>0.2</c:v>
                </c:pt>
                <c:pt idx="1353">
                  <c:v>0.2</c:v>
                </c:pt>
                <c:pt idx="1354">
                  <c:v>0.21</c:v>
                </c:pt>
                <c:pt idx="1355">
                  <c:v>0.17</c:v>
                </c:pt>
                <c:pt idx="1356">
                  <c:v>0.17</c:v>
                </c:pt>
                <c:pt idx="1357">
                  <c:v>0.21</c:v>
                </c:pt>
                <c:pt idx="1358">
                  <c:v>0.2</c:v>
                </c:pt>
                <c:pt idx="1359">
                  <c:v>0.19</c:v>
                </c:pt>
                <c:pt idx="1360">
                  <c:v>0.19</c:v>
                </c:pt>
                <c:pt idx="1361">
                  <c:v>0.2</c:v>
                </c:pt>
                <c:pt idx="1362">
                  <c:v>0.16</c:v>
                </c:pt>
                <c:pt idx="1363">
                  <c:v>0.21</c:v>
                </c:pt>
                <c:pt idx="1364">
                  <c:v>0.2</c:v>
                </c:pt>
                <c:pt idx="1365">
                  <c:v>0.2</c:v>
                </c:pt>
                <c:pt idx="1366">
                  <c:v>0.2</c:v>
                </c:pt>
                <c:pt idx="1367">
                  <c:v>0.2</c:v>
                </c:pt>
                <c:pt idx="1368">
                  <c:v>0.19</c:v>
                </c:pt>
                <c:pt idx="1369">
                  <c:v>0.19</c:v>
                </c:pt>
                <c:pt idx="1370">
                  <c:v>0.19</c:v>
                </c:pt>
                <c:pt idx="1371">
                  <c:v>0.19</c:v>
                </c:pt>
                <c:pt idx="1372">
                  <c:v>0.19</c:v>
                </c:pt>
                <c:pt idx="1373">
                  <c:v>0.2</c:v>
                </c:pt>
                <c:pt idx="1374">
                  <c:v>0.19</c:v>
                </c:pt>
                <c:pt idx="1375">
                  <c:v>0.19</c:v>
                </c:pt>
                <c:pt idx="1376">
                  <c:v>0.19</c:v>
                </c:pt>
                <c:pt idx="1377">
                  <c:v>0.19</c:v>
                </c:pt>
                <c:pt idx="1378">
                  <c:v>0.2</c:v>
                </c:pt>
                <c:pt idx="1379">
                  <c:v>0.2</c:v>
                </c:pt>
                <c:pt idx="1380">
                  <c:v>0.2</c:v>
                </c:pt>
                <c:pt idx="1381">
                  <c:v>0.19</c:v>
                </c:pt>
                <c:pt idx="1382">
                  <c:v>0.19</c:v>
                </c:pt>
                <c:pt idx="1383">
                  <c:v>0.19</c:v>
                </c:pt>
                <c:pt idx="1384">
                  <c:v>0.18</c:v>
                </c:pt>
                <c:pt idx="1385">
                  <c:v>0.18</c:v>
                </c:pt>
                <c:pt idx="1386">
                  <c:v>0.18</c:v>
                </c:pt>
                <c:pt idx="1387">
                  <c:v>0.18</c:v>
                </c:pt>
                <c:pt idx="1388">
                  <c:v>0.19</c:v>
                </c:pt>
                <c:pt idx="1389">
                  <c:v>0.19</c:v>
                </c:pt>
                <c:pt idx="1390">
                  <c:v>0.2</c:v>
                </c:pt>
                <c:pt idx="1391">
                  <c:v>0.2</c:v>
                </c:pt>
                <c:pt idx="1392">
                  <c:v>0.15</c:v>
                </c:pt>
                <c:pt idx="1393">
                  <c:v>0.21</c:v>
                </c:pt>
                <c:pt idx="1394">
                  <c:v>0.21</c:v>
                </c:pt>
                <c:pt idx="1395">
                  <c:v>0.21</c:v>
                </c:pt>
                <c:pt idx="1396">
                  <c:v>0.21</c:v>
                </c:pt>
                <c:pt idx="1397">
                  <c:v>0.2</c:v>
                </c:pt>
                <c:pt idx="1398">
                  <c:v>0.2</c:v>
                </c:pt>
                <c:pt idx="1399">
                  <c:v>0.2</c:v>
                </c:pt>
                <c:pt idx="1400">
                  <c:v>0.21</c:v>
                </c:pt>
                <c:pt idx="1401">
                  <c:v>0.16</c:v>
                </c:pt>
                <c:pt idx="1402">
                  <c:v>0.16</c:v>
                </c:pt>
                <c:pt idx="1403">
                  <c:v>0.16</c:v>
                </c:pt>
                <c:pt idx="1404">
                  <c:v>0.17</c:v>
                </c:pt>
                <c:pt idx="1405">
                  <c:v>0.16</c:v>
                </c:pt>
                <c:pt idx="1406">
                  <c:v>0.17</c:v>
                </c:pt>
                <c:pt idx="1407">
                  <c:v>0.16</c:v>
                </c:pt>
                <c:pt idx="1408">
                  <c:v>0.21</c:v>
                </c:pt>
                <c:pt idx="1409">
                  <c:v>0.21</c:v>
                </c:pt>
                <c:pt idx="1410">
                  <c:v>0.21</c:v>
                </c:pt>
                <c:pt idx="1411">
                  <c:v>0.17</c:v>
                </c:pt>
                <c:pt idx="1412">
                  <c:v>0.21</c:v>
                </c:pt>
                <c:pt idx="1413">
                  <c:v>0.21</c:v>
                </c:pt>
                <c:pt idx="1414">
                  <c:v>0.21</c:v>
                </c:pt>
                <c:pt idx="1415">
                  <c:v>0.21</c:v>
                </c:pt>
                <c:pt idx="1416">
                  <c:v>0.17</c:v>
                </c:pt>
                <c:pt idx="1417">
                  <c:v>0.18</c:v>
                </c:pt>
                <c:pt idx="1418">
                  <c:v>0.19</c:v>
                </c:pt>
                <c:pt idx="1419">
                  <c:v>0.18</c:v>
                </c:pt>
                <c:pt idx="1420">
                  <c:v>0.21</c:v>
                </c:pt>
                <c:pt idx="1421">
                  <c:v>0.16</c:v>
                </c:pt>
                <c:pt idx="1422">
                  <c:v>0.16</c:v>
                </c:pt>
                <c:pt idx="1423">
                  <c:v>0.17</c:v>
                </c:pt>
                <c:pt idx="1424">
                  <c:v>0.18</c:v>
                </c:pt>
                <c:pt idx="1425">
                  <c:v>0.17</c:v>
                </c:pt>
                <c:pt idx="1426">
                  <c:v>0.16</c:v>
                </c:pt>
                <c:pt idx="1427">
                  <c:v>0.21</c:v>
                </c:pt>
                <c:pt idx="1428">
                  <c:v>0.17</c:v>
                </c:pt>
                <c:pt idx="1429">
                  <c:v>0.21</c:v>
                </c:pt>
                <c:pt idx="1430">
                  <c:v>0.17</c:v>
                </c:pt>
                <c:pt idx="1431">
                  <c:v>0.17</c:v>
                </c:pt>
                <c:pt idx="1432">
                  <c:v>0.17</c:v>
                </c:pt>
                <c:pt idx="1433">
                  <c:v>0.16</c:v>
                </c:pt>
                <c:pt idx="1434">
                  <c:v>0.17</c:v>
                </c:pt>
                <c:pt idx="1435">
                  <c:v>0.17</c:v>
                </c:pt>
                <c:pt idx="1436">
                  <c:v>0.17</c:v>
                </c:pt>
                <c:pt idx="1437">
                  <c:v>0.18</c:v>
                </c:pt>
                <c:pt idx="1438">
                  <c:v>0.18</c:v>
                </c:pt>
                <c:pt idx="1439">
                  <c:v>0.18</c:v>
                </c:pt>
                <c:pt idx="1440">
                  <c:v>0.18</c:v>
                </c:pt>
                <c:pt idx="1441">
                  <c:v>0.18</c:v>
                </c:pt>
                <c:pt idx="1442">
                  <c:v>0.18</c:v>
                </c:pt>
                <c:pt idx="1443">
                  <c:v>0.18</c:v>
                </c:pt>
                <c:pt idx="1444">
                  <c:v>0.21</c:v>
                </c:pt>
                <c:pt idx="1445">
                  <c:v>0.17</c:v>
                </c:pt>
                <c:pt idx="1446">
                  <c:v>0.2</c:v>
                </c:pt>
                <c:pt idx="1447">
                  <c:v>0.2</c:v>
                </c:pt>
                <c:pt idx="1448">
                  <c:v>0.19</c:v>
                </c:pt>
                <c:pt idx="1449">
                  <c:v>0.19</c:v>
                </c:pt>
                <c:pt idx="1450">
                  <c:v>0.19</c:v>
                </c:pt>
                <c:pt idx="1451">
                  <c:v>0.19</c:v>
                </c:pt>
                <c:pt idx="1452">
                  <c:v>0.2</c:v>
                </c:pt>
                <c:pt idx="1453">
                  <c:v>0.2</c:v>
                </c:pt>
                <c:pt idx="1454">
                  <c:v>0.21</c:v>
                </c:pt>
                <c:pt idx="1455">
                  <c:v>0.21</c:v>
                </c:pt>
                <c:pt idx="1456">
                  <c:v>0.2</c:v>
                </c:pt>
                <c:pt idx="1457">
                  <c:v>0.19</c:v>
                </c:pt>
                <c:pt idx="1458">
                  <c:v>0.15</c:v>
                </c:pt>
                <c:pt idx="1459">
                  <c:v>0.15</c:v>
                </c:pt>
                <c:pt idx="1460">
                  <c:v>0.15</c:v>
                </c:pt>
                <c:pt idx="1461">
                  <c:v>0.14000000000000001</c:v>
                </c:pt>
                <c:pt idx="1462">
                  <c:v>0.2</c:v>
                </c:pt>
                <c:pt idx="1463">
                  <c:v>0.21</c:v>
                </c:pt>
                <c:pt idx="1464">
                  <c:v>0.14000000000000001</c:v>
                </c:pt>
                <c:pt idx="1465">
                  <c:v>0.14000000000000001</c:v>
                </c:pt>
                <c:pt idx="1466">
                  <c:v>0.13</c:v>
                </c:pt>
                <c:pt idx="1467">
                  <c:v>0.12</c:v>
                </c:pt>
                <c:pt idx="1468">
                  <c:v>0.13</c:v>
                </c:pt>
                <c:pt idx="1469">
                  <c:v>0.15</c:v>
                </c:pt>
                <c:pt idx="1470">
                  <c:v>0.21</c:v>
                </c:pt>
                <c:pt idx="1471">
                  <c:v>0.2</c:v>
                </c:pt>
                <c:pt idx="1472">
                  <c:v>0.2</c:v>
                </c:pt>
                <c:pt idx="1473">
                  <c:v>0.19</c:v>
                </c:pt>
                <c:pt idx="1474">
                  <c:v>0.19</c:v>
                </c:pt>
                <c:pt idx="1475">
                  <c:v>0.19</c:v>
                </c:pt>
                <c:pt idx="1476">
                  <c:v>0.2</c:v>
                </c:pt>
                <c:pt idx="1477">
                  <c:v>0.21</c:v>
                </c:pt>
                <c:pt idx="1478">
                  <c:v>0.21</c:v>
                </c:pt>
                <c:pt idx="1479">
                  <c:v>0.21</c:v>
                </c:pt>
                <c:pt idx="1480">
                  <c:v>0.21</c:v>
                </c:pt>
                <c:pt idx="1481">
                  <c:v>0.21</c:v>
                </c:pt>
                <c:pt idx="1482">
                  <c:v>0.21</c:v>
                </c:pt>
                <c:pt idx="1483">
                  <c:v>0.21</c:v>
                </c:pt>
                <c:pt idx="1484">
                  <c:v>0.2</c:v>
                </c:pt>
                <c:pt idx="1485">
                  <c:v>0.19</c:v>
                </c:pt>
                <c:pt idx="1486">
                  <c:v>0.18</c:v>
                </c:pt>
                <c:pt idx="1487">
                  <c:v>0.19</c:v>
                </c:pt>
                <c:pt idx="1488">
                  <c:v>0.19</c:v>
                </c:pt>
                <c:pt idx="1489">
                  <c:v>0.2</c:v>
                </c:pt>
                <c:pt idx="1490">
                  <c:v>0.21</c:v>
                </c:pt>
                <c:pt idx="1491">
                  <c:v>0.2</c:v>
                </c:pt>
                <c:pt idx="1492">
                  <c:v>0.2</c:v>
                </c:pt>
                <c:pt idx="1493">
                  <c:v>0.21</c:v>
                </c:pt>
                <c:pt idx="1494">
                  <c:v>0.21</c:v>
                </c:pt>
                <c:pt idx="1495">
                  <c:v>0.21</c:v>
                </c:pt>
                <c:pt idx="1496">
                  <c:v>0.21</c:v>
                </c:pt>
                <c:pt idx="1497">
                  <c:v>0.2</c:v>
                </c:pt>
                <c:pt idx="1498">
                  <c:v>0.2</c:v>
                </c:pt>
                <c:pt idx="1499">
                  <c:v>0.19</c:v>
                </c:pt>
                <c:pt idx="1500">
                  <c:v>0.2</c:v>
                </c:pt>
                <c:pt idx="1501">
                  <c:v>0.19</c:v>
                </c:pt>
                <c:pt idx="1502">
                  <c:v>0.2</c:v>
                </c:pt>
                <c:pt idx="1503">
                  <c:v>0.2</c:v>
                </c:pt>
                <c:pt idx="1504">
                  <c:v>0.2</c:v>
                </c:pt>
                <c:pt idx="1505">
                  <c:v>0.19</c:v>
                </c:pt>
                <c:pt idx="1506">
                  <c:v>0.2</c:v>
                </c:pt>
                <c:pt idx="1507">
                  <c:v>0.19</c:v>
                </c:pt>
                <c:pt idx="1508">
                  <c:v>0.19</c:v>
                </c:pt>
                <c:pt idx="1509">
                  <c:v>0.19</c:v>
                </c:pt>
                <c:pt idx="1510">
                  <c:v>0.18</c:v>
                </c:pt>
                <c:pt idx="1511">
                  <c:v>0.19</c:v>
                </c:pt>
                <c:pt idx="1512">
                  <c:v>0.19</c:v>
                </c:pt>
                <c:pt idx="1513">
                  <c:v>0.19</c:v>
                </c:pt>
                <c:pt idx="1514">
                  <c:v>0.2</c:v>
                </c:pt>
                <c:pt idx="1515">
                  <c:v>0.2</c:v>
                </c:pt>
                <c:pt idx="1516">
                  <c:v>0.21</c:v>
                </c:pt>
                <c:pt idx="1517">
                  <c:v>0.2</c:v>
                </c:pt>
                <c:pt idx="1518">
                  <c:v>0.2</c:v>
                </c:pt>
                <c:pt idx="1519">
                  <c:v>0.19</c:v>
                </c:pt>
                <c:pt idx="1520">
                  <c:v>0.19</c:v>
                </c:pt>
                <c:pt idx="1521">
                  <c:v>0.18</c:v>
                </c:pt>
                <c:pt idx="1522">
                  <c:v>0.18</c:v>
                </c:pt>
                <c:pt idx="1523">
                  <c:v>0.19</c:v>
                </c:pt>
                <c:pt idx="1524">
                  <c:v>0.19</c:v>
                </c:pt>
                <c:pt idx="1525">
                  <c:v>0.19</c:v>
                </c:pt>
                <c:pt idx="1526">
                  <c:v>0.19</c:v>
                </c:pt>
                <c:pt idx="1527">
                  <c:v>0.19</c:v>
                </c:pt>
                <c:pt idx="1528">
                  <c:v>0.19</c:v>
                </c:pt>
                <c:pt idx="1529">
                  <c:v>0.19</c:v>
                </c:pt>
                <c:pt idx="1530">
                  <c:v>0.19</c:v>
                </c:pt>
                <c:pt idx="1531">
                  <c:v>0.18</c:v>
                </c:pt>
                <c:pt idx="1532">
                  <c:v>0.17</c:v>
                </c:pt>
                <c:pt idx="1533">
                  <c:v>0.17</c:v>
                </c:pt>
                <c:pt idx="1534">
                  <c:v>0.18</c:v>
                </c:pt>
                <c:pt idx="1535">
                  <c:v>0.19</c:v>
                </c:pt>
                <c:pt idx="1536">
                  <c:v>0.19</c:v>
                </c:pt>
                <c:pt idx="1537">
                  <c:v>0.19</c:v>
                </c:pt>
                <c:pt idx="1538">
                  <c:v>0.19</c:v>
                </c:pt>
                <c:pt idx="1539">
                  <c:v>0.19</c:v>
                </c:pt>
                <c:pt idx="1540">
                  <c:v>0.18</c:v>
                </c:pt>
                <c:pt idx="1541">
                  <c:v>0.2</c:v>
                </c:pt>
                <c:pt idx="1542">
                  <c:v>0.2</c:v>
                </c:pt>
                <c:pt idx="1543">
                  <c:v>0.15</c:v>
                </c:pt>
                <c:pt idx="1544">
                  <c:v>0.15</c:v>
                </c:pt>
                <c:pt idx="1545">
                  <c:v>0.21</c:v>
                </c:pt>
                <c:pt idx="1546">
                  <c:v>0.2</c:v>
                </c:pt>
                <c:pt idx="1547">
                  <c:v>0.2</c:v>
                </c:pt>
                <c:pt idx="1548">
                  <c:v>0.2</c:v>
                </c:pt>
                <c:pt idx="1549">
                  <c:v>0.19</c:v>
                </c:pt>
                <c:pt idx="1550">
                  <c:v>0.18</c:v>
                </c:pt>
                <c:pt idx="1551">
                  <c:v>0.18</c:v>
                </c:pt>
                <c:pt idx="1552">
                  <c:v>0.18</c:v>
                </c:pt>
                <c:pt idx="1553">
                  <c:v>0.18</c:v>
                </c:pt>
                <c:pt idx="1554">
                  <c:v>0.19</c:v>
                </c:pt>
                <c:pt idx="1555">
                  <c:v>0.19</c:v>
                </c:pt>
                <c:pt idx="1556">
                  <c:v>0.2</c:v>
                </c:pt>
                <c:pt idx="1557">
                  <c:v>0.21</c:v>
                </c:pt>
                <c:pt idx="1558">
                  <c:v>0.21</c:v>
                </c:pt>
                <c:pt idx="1559">
                  <c:v>0.21</c:v>
                </c:pt>
                <c:pt idx="1560">
                  <c:v>0.21</c:v>
                </c:pt>
                <c:pt idx="1561">
                  <c:v>0.21</c:v>
                </c:pt>
                <c:pt idx="1562">
                  <c:v>0.21</c:v>
                </c:pt>
                <c:pt idx="1563">
                  <c:v>0.21</c:v>
                </c:pt>
                <c:pt idx="1564">
                  <c:v>0.2</c:v>
                </c:pt>
                <c:pt idx="1565">
                  <c:v>0.2</c:v>
                </c:pt>
                <c:pt idx="1566">
                  <c:v>0.2</c:v>
                </c:pt>
                <c:pt idx="1567">
                  <c:v>0.2</c:v>
                </c:pt>
                <c:pt idx="1568">
                  <c:v>0.2</c:v>
                </c:pt>
                <c:pt idx="1569">
                  <c:v>0.2</c:v>
                </c:pt>
                <c:pt idx="1570">
                  <c:v>0.19</c:v>
                </c:pt>
                <c:pt idx="1571">
                  <c:v>0.19</c:v>
                </c:pt>
                <c:pt idx="1572">
                  <c:v>0.18</c:v>
                </c:pt>
                <c:pt idx="1573">
                  <c:v>0.19</c:v>
                </c:pt>
                <c:pt idx="1574">
                  <c:v>0.2</c:v>
                </c:pt>
                <c:pt idx="1575">
                  <c:v>0.19</c:v>
                </c:pt>
                <c:pt idx="1576">
                  <c:v>0.19</c:v>
                </c:pt>
                <c:pt idx="1577">
                  <c:v>0.2</c:v>
                </c:pt>
                <c:pt idx="1578">
                  <c:v>0.2</c:v>
                </c:pt>
                <c:pt idx="1579">
                  <c:v>0.2</c:v>
                </c:pt>
                <c:pt idx="1580">
                  <c:v>0.2</c:v>
                </c:pt>
                <c:pt idx="1581">
                  <c:v>0.19</c:v>
                </c:pt>
                <c:pt idx="1582">
                  <c:v>0.2</c:v>
                </c:pt>
                <c:pt idx="1583">
                  <c:v>0.2</c:v>
                </c:pt>
                <c:pt idx="1584">
                  <c:v>0.21</c:v>
                </c:pt>
                <c:pt idx="1585">
                  <c:v>0.21</c:v>
                </c:pt>
                <c:pt idx="1586">
                  <c:v>0.21</c:v>
                </c:pt>
                <c:pt idx="1587">
                  <c:v>0.22</c:v>
                </c:pt>
                <c:pt idx="1588">
                  <c:v>0.21</c:v>
                </c:pt>
                <c:pt idx="1589">
                  <c:v>0.2</c:v>
                </c:pt>
                <c:pt idx="1590">
                  <c:v>0.2</c:v>
                </c:pt>
                <c:pt idx="1591">
                  <c:v>0.2</c:v>
                </c:pt>
                <c:pt idx="1592">
                  <c:v>0.2</c:v>
                </c:pt>
                <c:pt idx="1593">
                  <c:v>0.2</c:v>
                </c:pt>
                <c:pt idx="1594">
                  <c:v>0.2</c:v>
                </c:pt>
                <c:pt idx="1595">
                  <c:v>0.2</c:v>
                </c:pt>
                <c:pt idx="1596">
                  <c:v>0.2</c:v>
                </c:pt>
                <c:pt idx="1597">
                  <c:v>0.19</c:v>
                </c:pt>
                <c:pt idx="1598">
                  <c:v>0.19</c:v>
                </c:pt>
                <c:pt idx="1599">
                  <c:v>0.2</c:v>
                </c:pt>
                <c:pt idx="1600">
                  <c:v>0.2</c:v>
                </c:pt>
                <c:pt idx="1601">
                  <c:v>0.18</c:v>
                </c:pt>
                <c:pt idx="1602">
                  <c:v>0.17</c:v>
                </c:pt>
                <c:pt idx="1603">
                  <c:v>0.17</c:v>
                </c:pt>
                <c:pt idx="1604">
                  <c:v>0.17</c:v>
                </c:pt>
                <c:pt idx="1605">
                  <c:v>0.18</c:v>
                </c:pt>
                <c:pt idx="1606">
                  <c:v>0.19</c:v>
                </c:pt>
                <c:pt idx="1607">
                  <c:v>0.2</c:v>
                </c:pt>
                <c:pt idx="1608">
                  <c:v>0.19</c:v>
                </c:pt>
                <c:pt idx="1609">
                  <c:v>0.19</c:v>
                </c:pt>
                <c:pt idx="1610">
                  <c:v>0.19</c:v>
                </c:pt>
                <c:pt idx="1611">
                  <c:v>0.18</c:v>
                </c:pt>
                <c:pt idx="1612">
                  <c:v>0.19</c:v>
                </c:pt>
                <c:pt idx="1613">
                  <c:v>0.19</c:v>
                </c:pt>
                <c:pt idx="1614">
                  <c:v>0.19</c:v>
                </c:pt>
                <c:pt idx="1615">
                  <c:v>0.19</c:v>
                </c:pt>
                <c:pt idx="1616">
                  <c:v>0.2</c:v>
                </c:pt>
                <c:pt idx="1617">
                  <c:v>0.2</c:v>
                </c:pt>
                <c:pt idx="1618">
                  <c:v>0.2</c:v>
                </c:pt>
                <c:pt idx="1619">
                  <c:v>0.21</c:v>
                </c:pt>
                <c:pt idx="1620">
                  <c:v>0.21</c:v>
                </c:pt>
                <c:pt idx="1621">
                  <c:v>0.19</c:v>
                </c:pt>
                <c:pt idx="1622">
                  <c:v>0.19</c:v>
                </c:pt>
                <c:pt idx="1623">
                  <c:v>0.19</c:v>
                </c:pt>
                <c:pt idx="1624">
                  <c:v>0.19</c:v>
                </c:pt>
                <c:pt idx="1625">
                  <c:v>0.19</c:v>
                </c:pt>
                <c:pt idx="1626">
                  <c:v>0.19</c:v>
                </c:pt>
                <c:pt idx="1627">
                  <c:v>0.2</c:v>
                </c:pt>
                <c:pt idx="1628">
                  <c:v>0.21</c:v>
                </c:pt>
                <c:pt idx="1629">
                  <c:v>0.21</c:v>
                </c:pt>
                <c:pt idx="1630">
                  <c:v>0.22</c:v>
                </c:pt>
                <c:pt idx="1631">
                  <c:v>0.22</c:v>
                </c:pt>
                <c:pt idx="1632">
                  <c:v>0.21</c:v>
                </c:pt>
                <c:pt idx="1633">
                  <c:v>0.2</c:v>
                </c:pt>
                <c:pt idx="1634">
                  <c:v>0.2</c:v>
                </c:pt>
                <c:pt idx="1635">
                  <c:v>0.19</c:v>
                </c:pt>
                <c:pt idx="1636">
                  <c:v>0.19</c:v>
                </c:pt>
                <c:pt idx="1637">
                  <c:v>0.19</c:v>
                </c:pt>
                <c:pt idx="1638">
                  <c:v>0.19</c:v>
                </c:pt>
                <c:pt idx="1639">
                  <c:v>0.19</c:v>
                </c:pt>
                <c:pt idx="1640">
                  <c:v>0.19</c:v>
                </c:pt>
                <c:pt idx="1641">
                  <c:v>0.19</c:v>
                </c:pt>
                <c:pt idx="1642">
                  <c:v>0.2</c:v>
                </c:pt>
                <c:pt idx="1643">
                  <c:v>0.21</c:v>
                </c:pt>
                <c:pt idx="1644">
                  <c:v>0.21</c:v>
                </c:pt>
                <c:pt idx="1645">
                  <c:v>0.21</c:v>
                </c:pt>
                <c:pt idx="1646">
                  <c:v>0.21</c:v>
                </c:pt>
                <c:pt idx="1647">
                  <c:v>0.2</c:v>
                </c:pt>
                <c:pt idx="1648">
                  <c:v>0.19</c:v>
                </c:pt>
                <c:pt idx="1649">
                  <c:v>0.2</c:v>
                </c:pt>
                <c:pt idx="1650">
                  <c:v>0.15</c:v>
                </c:pt>
                <c:pt idx="1651">
                  <c:v>0.15</c:v>
                </c:pt>
                <c:pt idx="1652">
                  <c:v>0.15</c:v>
                </c:pt>
                <c:pt idx="1653">
                  <c:v>0.15</c:v>
                </c:pt>
                <c:pt idx="1654">
                  <c:v>0.15</c:v>
                </c:pt>
                <c:pt idx="1655">
                  <c:v>0.21</c:v>
                </c:pt>
                <c:pt idx="1656">
                  <c:v>0.2</c:v>
                </c:pt>
                <c:pt idx="1657">
                  <c:v>0.2</c:v>
                </c:pt>
                <c:pt idx="1658">
                  <c:v>0.21</c:v>
                </c:pt>
                <c:pt idx="1659">
                  <c:v>0.15</c:v>
                </c:pt>
                <c:pt idx="1660">
                  <c:v>0.15</c:v>
                </c:pt>
                <c:pt idx="1661">
                  <c:v>0.14000000000000001</c:v>
                </c:pt>
                <c:pt idx="1662">
                  <c:v>0.21</c:v>
                </c:pt>
                <c:pt idx="1663">
                  <c:v>0.2</c:v>
                </c:pt>
                <c:pt idx="1664">
                  <c:v>0.18</c:v>
                </c:pt>
                <c:pt idx="1665">
                  <c:v>0.19</c:v>
                </c:pt>
                <c:pt idx="1666">
                  <c:v>0.19</c:v>
                </c:pt>
                <c:pt idx="1667">
                  <c:v>0.19</c:v>
                </c:pt>
                <c:pt idx="1668">
                  <c:v>0.19</c:v>
                </c:pt>
                <c:pt idx="1669">
                  <c:v>0.17</c:v>
                </c:pt>
                <c:pt idx="1670">
                  <c:v>0.17</c:v>
                </c:pt>
                <c:pt idx="1671">
                  <c:v>0.16</c:v>
                </c:pt>
                <c:pt idx="1672">
                  <c:v>0.16</c:v>
                </c:pt>
                <c:pt idx="1673">
                  <c:v>0.18</c:v>
                </c:pt>
                <c:pt idx="1674">
                  <c:v>0.19</c:v>
                </c:pt>
                <c:pt idx="1675">
                  <c:v>0.19</c:v>
                </c:pt>
                <c:pt idx="1676">
                  <c:v>0.2</c:v>
                </c:pt>
                <c:pt idx="1677">
                  <c:v>0.2</c:v>
                </c:pt>
                <c:pt idx="1678">
                  <c:v>0.2</c:v>
                </c:pt>
                <c:pt idx="1679">
                  <c:v>0.19</c:v>
                </c:pt>
                <c:pt idx="1680">
                  <c:v>0.19</c:v>
                </c:pt>
                <c:pt idx="1681">
                  <c:v>0.19</c:v>
                </c:pt>
                <c:pt idx="1682">
                  <c:v>0.19</c:v>
                </c:pt>
                <c:pt idx="1683">
                  <c:v>0.18</c:v>
                </c:pt>
                <c:pt idx="1684">
                  <c:v>0.18</c:v>
                </c:pt>
                <c:pt idx="1685">
                  <c:v>0.19</c:v>
                </c:pt>
                <c:pt idx="1686">
                  <c:v>0.21</c:v>
                </c:pt>
                <c:pt idx="1687">
                  <c:v>0.14000000000000001</c:v>
                </c:pt>
                <c:pt idx="1688">
                  <c:v>0.15</c:v>
                </c:pt>
                <c:pt idx="1689">
                  <c:v>0.21</c:v>
                </c:pt>
                <c:pt idx="1690">
                  <c:v>0.21</c:v>
                </c:pt>
                <c:pt idx="1691">
                  <c:v>0.21</c:v>
                </c:pt>
                <c:pt idx="1692">
                  <c:v>0.17</c:v>
                </c:pt>
                <c:pt idx="1693">
                  <c:v>0.17</c:v>
                </c:pt>
                <c:pt idx="1694">
                  <c:v>0.16</c:v>
                </c:pt>
                <c:pt idx="1695">
                  <c:v>0.17</c:v>
                </c:pt>
                <c:pt idx="1696">
                  <c:v>0.17</c:v>
                </c:pt>
                <c:pt idx="1697">
                  <c:v>0.18</c:v>
                </c:pt>
                <c:pt idx="1698">
                  <c:v>0.19</c:v>
                </c:pt>
                <c:pt idx="1699">
                  <c:v>0.19</c:v>
                </c:pt>
                <c:pt idx="1700">
                  <c:v>0.18</c:v>
                </c:pt>
                <c:pt idx="1701">
                  <c:v>0.16</c:v>
                </c:pt>
                <c:pt idx="1702">
                  <c:v>0.21</c:v>
                </c:pt>
                <c:pt idx="1703">
                  <c:v>0.21</c:v>
                </c:pt>
                <c:pt idx="1704">
                  <c:v>0.2</c:v>
                </c:pt>
                <c:pt idx="1705">
                  <c:v>0.2</c:v>
                </c:pt>
                <c:pt idx="1706">
                  <c:v>0.19</c:v>
                </c:pt>
                <c:pt idx="1707">
                  <c:v>0.18</c:v>
                </c:pt>
                <c:pt idx="1708">
                  <c:v>0.18</c:v>
                </c:pt>
                <c:pt idx="1709">
                  <c:v>0.18</c:v>
                </c:pt>
                <c:pt idx="1710">
                  <c:v>0.18</c:v>
                </c:pt>
                <c:pt idx="1711">
                  <c:v>0.19</c:v>
                </c:pt>
                <c:pt idx="1712">
                  <c:v>0.18</c:v>
                </c:pt>
                <c:pt idx="1713">
                  <c:v>0.18</c:v>
                </c:pt>
                <c:pt idx="1714">
                  <c:v>0.18</c:v>
                </c:pt>
                <c:pt idx="1715">
                  <c:v>0.19</c:v>
                </c:pt>
                <c:pt idx="1716">
                  <c:v>0.21</c:v>
                </c:pt>
                <c:pt idx="1717">
                  <c:v>0.17</c:v>
                </c:pt>
                <c:pt idx="1718">
                  <c:v>0.19</c:v>
                </c:pt>
                <c:pt idx="1719">
                  <c:v>0.19</c:v>
                </c:pt>
                <c:pt idx="1720">
                  <c:v>0.19</c:v>
                </c:pt>
                <c:pt idx="1721">
                  <c:v>0.19</c:v>
                </c:pt>
                <c:pt idx="1722">
                  <c:v>0.18</c:v>
                </c:pt>
                <c:pt idx="1723">
                  <c:v>0.17</c:v>
                </c:pt>
                <c:pt idx="1724">
                  <c:v>0.18</c:v>
                </c:pt>
                <c:pt idx="1725">
                  <c:v>0.19</c:v>
                </c:pt>
                <c:pt idx="1726">
                  <c:v>0.19</c:v>
                </c:pt>
                <c:pt idx="1727">
                  <c:v>0.19</c:v>
                </c:pt>
                <c:pt idx="1728">
                  <c:v>0.19</c:v>
                </c:pt>
                <c:pt idx="1729">
                  <c:v>0.2</c:v>
                </c:pt>
                <c:pt idx="1730">
                  <c:v>0.19</c:v>
                </c:pt>
                <c:pt idx="1731">
                  <c:v>0.19</c:v>
                </c:pt>
                <c:pt idx="1732">
                  <c:v>0.19</c:v>
                </c:pt>
                <c:pt idx="1733">
                  <c:v>0.19</c:v>
                </c:pt>
                <c:pt idx="1734">
                  <c:v>0.18</c:v>
                </c:pt>
                <c:pt idx="1735">
                  <c:v>0.18</c:v>
                </c:pt>
                <c:pt idx="1736">
                  <c:v>0.17</c:v>
                </c:pt>
                <c:pt idx="1737">
                  <c:v>0.16</c:v>
                </c:pt>
                <c:pt idx="1738">
                  <c:v>0.16</c:v>
                </c:pt>
                <c:pt idx="1739">
                  <c:v>0.15</c:v>
                </c:pt>
                <c:pt idx="1740">
                  <c:v>0.15</c:v>
                </c:pt>
                <c:pt idx="1741">
                  <c:v>0.14000000000000001</c:v>
                </c:pt>
                <c:pt idx="1742">
                  <c:v>0.21</c:v>
                </c:pt>
                <c:pt idx="1743">
                  <c:v>0.2</c:v>
                </c:pt>
                <c:pt idx="1744">
                  <c:v>0.19</c:v>
                </c:pt>
                <c:pt idx="1745">
                  <c:v>0.18</c:v>
                </c:pt>
                <c:pt idx="1746">
                  <c:v>0.19</c:v>
                </c:pt>
                <c:pt idx="1747">
                  <c:v>0.19</c:v>
                </c:pt>
                <c:pt idx="1748">
                  <c:v>0.19</c:v>
                </c:pt>
                <c:pt idx="1749">
                  <c:v>0.19</c:v>
                </c:pt>
                <c:pt idx="1750">
                  <c:v>0.18</c:v>
                </c:pt>
                <c:pt idx="1751">
                  <c:v>0.18</c:v>
                </c:pt>
                <c:pt idx="1752">
                  <c:v>0.19</c:v>
                </c:pt>
                <c:pt idx="1753">
                  <c:v>0.19</c:v>
                </c:pt>
                <c:pt idx="1754">
                  <c:v>0.18</c:v>
                </c:pt>
                <c:pt idx="1755">
                  <c:v>0.17</c:v>
                </c:pt>
                <c:pt idx="1756">
                  <c:v>0.18</c:v>
                </c:pt>
                <c:pt idx="1757">
                  <c:v>0.18</c:v>
                </c:pt>
                <c:pt idx="1758">
                  <c:v>0.18</c:v>
                </c:pt>
                <c:pt idx="1759">
                  <c:v>0.18</c:v>
                </c:pt>
                <c:pt idx="1760">
                  <c:v>0.19</c:v>
                </c:pt>
                <c:pt idx="1761">
                  <c:v>0.19</c:v>
                </c:pt>
                <c:pt idx="1762">
                  <c:v>0.2</c:v>
                </c:pt>
                <c:pt idx="1763">
                  <c:v>0.2</c:v>
                </c:pt>
                <c:pt idx="1764">
                  <c:v>0.2</c:v>
                </c:pt>
                <c:pt idx="1765">
                  <c:v>0.19</c:v>
                </c:pt>
                <c:pt idx="1766">
                  <c:v>0.2</c:v>
                </c:pt>
                <c:pt idx="1767">
                  <c:v>0.2</c:v>
                </c:pt>
                <c:pt idx="1768">
                  <c:v>0.19</c:v>
                </c:pt>
                <c:pt idx="1769">
                  <c:v>0.19</c:v>
                </c:pt>
                <c:pt idx="1770">
                  <c:v>0.19</c:v>
                </c:pt>
                <c:pt idx="1771">
                  <c:v>0.18</c:v>
                </c:pt>
                <c:pt idx="1772">
                  <c:v>0.18</c:v>
                </c:pt>
                <c:pt idx="1773">
                  <c:v>0.19</c:v>
                </c:pt>
                <c:pt idx="1774">
                  <c:v>0.19</c:v>
                </c:pt>
                <c:pt idx="1775">
                  <c:v>0.19</c:v>
                </c:pt>
                <c:pt idx="1776">
                  <c:v>0.19</c:v>
                </c:pt>
                <c:pt idx="1777">
                  <c:v>0.18</c:v>
                </c:pt>
                <c:pt idx="1778">
                  <c:v>0.18</c:v>
                </c:pt>
                <c:pt idx="1779">
                  <c:v>0.19</c:v>
                </c:pt>
                <c:pt idx="1780">
                  <c:v>0.19</c:v>
                </c:pt>
                <c:pt idx="1781">
                  <c:v>0.19</c:v>
                </c:pt>
                <c:pt idx="1782">
                  <c:v>0.19</c:v>
                </c:pt>
                <c:pt idx="1783">
                  <c:v>0.19</c:v>
                </c:pt>
                <c:pt idx="1784">
                  <c:v>0.19</c:v>
                </c:pt>
                <c:pt idx="1785">
                  <c:v>0.2</c:v>
                </c:pt>
                <c:pt idx="1786">
                  <c:v>0.2</c:v>
                </c:pt>
                <c:pt idx="1787">
                  <c:v>0.2</c:v>
                </c:pt>
                <c:pt idx="1788">
                  <c:v>0.21</c:v>
                </c:pt>
                <c:pt idx="1789">
                  <c:v>0.21</c:v>
                </c:pt>
                <c:pt idx="1790">
                  <c:v>0.21</c:v>
                </c:pt>
                <c:pt idx="1791">
                  <c:v>0.21</c:v>
                </c:pt>
                <c:pt idx="1792">
                  <c:v>0.19</c:v>
                </c:pt>
                <c:pt idx="1793">
                  <c:v>0.19</c:v>
                </c:pt>
                <c:pt idx="1794">
                  <c:v>0.18</c:v>
                </c:pt>
                <c:pt idx="1795">
                  <c:v>0.17</c:v>
                </c:pt>
                <c:pt idx="1796">
                  <c:v>0.17</c:v>
                </c:pt>
                <c:pt idx="1797">
                  <c:v>0.17</c:v>
                </c:pt>
                <c:pt idx="1798">
                  <c:v>0.16</c:v>
                </c:pt>
                <c:pt idx="1799">
                  <c:v>0.21</c:v>
                </c:pt>
                <c:pt idx="1800">
                  <c:v>0.21</c:v>
                </c:pt>
                <c:pt idx="1801">
                  <c:v>0.2</c:v>
                </c:pt>
                <c:pt idx="1802">
                  <c:v>0.2</c:v>
                </c:pt>
                <c:pt idx="1803">
                  <c:v>0.19</c:v>
                </c:pt>
                <c:pt idx="1804">
                  <c:v>0.19</c:v>
                </c:pt>
                <c:pt idx="1805">
                  <c:v>0.19</c:v>
                </c:pt>
                <c:pt idx="1806">
                  <c:v>0.19</c:v>
                </c:pt>
                <c:pt idx="1807">
                  <c:v>0.19</c:v>
                </c:pt>
                <c:pt idx="1808">
                  <c:v>0.2</c:v>
                </c:pt>
                <c:pt idx="1809">
                  <c:v>0.19</c:v>
                </c:pt>
                <c:pt idx="1810">
                  <c:v>0.18</c:v>
                </c:pt>
                <c:pt idx="1811">
                  <c:v>0.19</c:v>
                </c:pt>
                <c:pt idx="1812">
                  <c:v>0.19</c:v>
                </c:pt>
                <c:pt idx="1813">
                  <c:v>0.18</c:v>
                </c:pt>
                <c:pt idx="1814">
                  <c:v>0.18</c:v>
                </c:pt>
                <c:pt idx="1815">
                  <c:v>0.17</c:v>
                </c:pt>
                <c:pt idx="1816">
                  <c:v>0.17</c:v>
                </c:pt>
                <c:pt idx="1817">
                  <c:v>0.17</c:v>
                </c:pt>
                <c:pt idx="1818">
                  <c:v>0.16</c:v>
                </c:pt>
                <c:pt idx="1819">
                  <c:v>0.16</c:v>
                </c:pt>
                <c:pt idx="1820">
                  <c:v>0.15</c:v>
                </c:pt>
                <c:pt idx="1821">
                  <c:v>0.15</c:v>
                </c:pt>
                <c:pt idx="1822">
                  <c:v>0.15</c:v>
                </c:pt>
                <c:pt idx="1823">
                  <c:v>0.16</c:v>
                </c:pt>
                <c:pt idx="1824">
                  <c:v>0.16</c:v>
                </c:pt>
                <c:pt idx="1825">
                  <c:v>0.16</c:v>
                </c:pt>
                <c:pt idx="1826">
                  <c:v>0.17</c:v>
                </c:pt>
                <c:pt idx="1827">
                  <c:v>0.17</c:v>
                </c:pt>
                <c:pt idx="1828">
                  <c:v>0.17</c:v>
                </c:pt>
                <c:pt idx="1829">
                  <c:v>0.17</c:v>
                </c:pt>
                <c:pt idx="1830">
                  <c:v>0.18</c:v>
                </c:pt>
                <c:pt idx="1831">
                  <c:v>0.18</c:v>
                </c:pt>
                <c:pt idx="1832">
                  <c:v>0.17</c:v>
                </c:pt>
                <c:pt idx="1833">
                  <c:v>0.17</c:v>
                </c:pt>
                <c:pt idx="1834">
                  <c:v>0.17</c:v>
                </c:pt>
                <c:pt idx="1835">
                  <c:v>0.17</c:v>
                </c:pt>
                <c:pt idx="1836">
                  <c:v>0.18</c:v>
                </c:pt>
                <c:pt idx="1837">
                  <c:v>0.18</c:v>
                </c:pt>
                <c:pt idx="1838">
                  <c:v>0.17</c:v>
                </c:pt>
                <c:pt idx="1839">
                  <c:v>0.18</c:v>
                </c:pt>
                <c:pt idx="1840">
                  <c:v>0.2</c:v>
                </c:pt>
                <c:pt idx="1841">
                  <c:v>0.14000000000000001</c:v>
                </c:pt>
                <c:pt idx="1842">
                  <c:v>0.15</c:v>
                </c:pt>
                <c:pt idx="1843">
                  <c:v>0.2</c:v>
                </c:pt>
                <c:pt idx="1844">
                  <c:v>0.19</c:v>
                </c:pt>
                <c:pt idx="1845">
                  <c:v>0.19</c:v>
                </c:pt>
                <c:pt idx="1846">
                  <c:v>0.18</c:v>
                </c:pt>
                <c:pt idx="1847">
                  <c:v>0.19</c:v>
                </c:pt>
                <c:pt idx="1848">
                  <c:v>0.21</c:v>
                </c:pt>
                <c:pt idx="1849">
                  <c:v>0.17</c:v>
                </c:pt>
                <c:pt idx="1850">
                  <c:v>0.17</c:v>
                </c:pt>
                <c:pt idx="1851">
                  <c:v>0.17</c:v>
                </c:pt>
                <c:pt idx="1852">
                  <c:v>0.17</c:v>
                </c:pt>
                <c:pt idx="1853">
                  <c:v>0.17</c:v>
                </c:pt>
                <c:pt idx="1854">
                  <c:v>0.17</c:v>
                </c:pt>
                <c:pt idx="1855">
                  <c:v>0.17</c:v>
                </c:pt>
                <c:pt idx="1856">
                  <c:v>0.17</c:v>
                </c:pt>
                <c:pt idx="1857">
                  <c:v>0.17</c:v>
                </c:pt>
                <c:pt idx="1858">
                  <c:v>0.17</c:v>
                </c:pt>
                <c:pt idx="1859">
                  <c:v>0.17</c:v>
                </c:pt>
                <c:pt idx="1860">
                  <c:v>0.18</c:v>
                </c:pt>
                <c:pt idx="1861">
                  <c:v>0.17</c:v>
                </c:pt>
                <c:pt idx="1862">
                  <c:v>0.17</c:v>
                </c:pt>
                <c:pt idx="1863">
                  <c:v>0.17</c:v>
                </c:pt>
                <c:pt idx="1864">
                  <c:v>0.17</c:v>
                </c:pt>
                <c:pt idx="1865">
                  <c:v>0.18</c:v>
                </c:pt>
                <c:pt idx="1866">
                  <c:v>0.17</c:v>
                </c:pt>
                <c:pt idx="1867">
                  <c:v>0.17</c:v>
                </c:pt>
                <c:pt idx="1868">
                  <c:v>0.17</c:v>
                </c:pt>
                <c:pt idx="1869">
                  <c:v>0.16</c:v>
                </c:pt>
                <c:pt idx="1870">
                  <c:v>0.14000000000000001</c:v>
                </c:pt>
                <c:pt idx="1871">
                  <c:v>0.13</c:v>
                </c:pt>
                <c:pt idx="1872">
                  <c:v>0.13</c:v>
                </c:pt>
                <c:pt idx="1873">
                  <c:v>0.13</c:v>
                </c:pt>
                <c:pt idx="1874">
                  <c:v>0.2</c:v>
                </c:pt>
                <c:pt idx="1875">
                  <c:v>0.2</c:v>
                </c:pt>
                <c:pt idx="1876">
                  <c:v>0.19</c:v>
                </c:pt>
                <c:pt idx="1877">
                  <c:v>0.19</c:v>
                </c:pt>
                <c:pt idx="1878">
                  <c:v>0.19</c:v>
                </c:pt>
                <c:pt idx="1879">
                  <c:v>0.19</c:v>
                </c:pt>
                <c:pt idx="1880">
                  <c:v>0.19</c:v>
                </c:pt>
                <c:pt idx="1881">
                  <c:v>0.19</c:v>
                </c:pt>
                <c:pt idx="1882">
                  <c:v>0.19</c:v>
                </c:pt>
                <c:pt idx="1883">
                  <c:v>0.19</c:v>
                </c:pt>
                <c:pt idx="1884">
                  <c:v>0.19</c:v>
                </c:pt>
                <c:pt idx="1885">
                  <c:v>0.2</c:v>
                </c:pt>
                <c:pt idx="1886">
                  <c:v>0.2</c:v>
                </c:pt>
                <c:pt idx="1887">
                  <c:v>0.2</c:v>
                </c:pt>
                <c:pt idx="1888">
                  <c:v>0.19</c:v>
                </c:pt>
                <c:pt idx="1889">
                  <c:v>0.19</c:v>
                </c:pt>
                <c:pt idx="1890">
                  <c:v>0.19</c:v>
                </c:pt>
                <c:pt idx="1891">
                  <c:v>0.19</c:v>
                </c:pt>
                <c:pt idx="1892">
                  <c:v>0.19</c:v>
                </c:pt>
                <c:pt idx="1893">
                  <c:v>0.18</c:v>
                </c:pt>
                <c:pt idx="1894">
                  <c:v>0.17</c:v>
                </c:pt>
                <c:pt idx="1895">
                  <c:v>0.16</c:v>
                </c:pt>
                <c:pt idx="1896">
                  <c:v>0.17</c:v>
                </c:pt>
                <c:pt idx="1897">
                  <c:v>0.17</c:v>
                </c:pt>
                <c:pt idx="1898">
                  <c:v>0.18</c:v>
                </c:pt>
                <c:pt idx="1899">
                  <c:v>0.17</c:v>
                </c:pt>
                <c:pt idx="1900">
                  <c:v>0.17</c:v>
                </c:pt>
                <c:pt idx="1901">
                  <c:v>0.17</c:v>
                </c:pt>
                <c:pt idx="1902">
                  <c:v>0.17</c:v>
                </c:pt>
                <c:pt idx="1903">
                  <c:v>0.17</c:v>
                </c:pt>
                <c:pt idx="1904">
                  <c:v>0.17</c:v>
                </c:pt>
                <c:pt idx="1905">
                  <c:v>0.18</c:v>
                </c:pt>
                <c:pt idx="1906">
                  <c:v>0.18</c:v>
                </c:pt>
                <c:pt idx="1907">
                  <c:v>0.19</c:v>
                </c:pt>
                <c:pt idx="1908">
                  <c:v>0.19</c:v>
                </c:pt>
                <c:pt idx="1909">
                  <c:v>0.19</c:v>
                </c:pt>
                <c:pt idx="1910">
                  <c:v>0.19</c:v>
                </c:pt>
                <c:pt idx="1911">
                  <c:v>0.19</c:v>
                </c:pt>
                <c:pt idx="1912">
                  <c:v>0.19</c:v>
                </c:pt>
                <c:pt idx="1913">
                  <c:v>0.19</c:v>
                </c:pt>
                <c:pt idx="1914">
                  <c:v>0.19</c:v>
                </c:pt>
                <c:pt idx="1915">
                  <c:v>0.19</c:v>
                </c:pt>
                <c:pt idx="1916">
                  <c:v>0.19</c:v>
                </c:pt>
                <c:pt idx="1917">
                  <c:v>0.18</c:v>
                </c:pt>
                <c:pt idx="1918">
                  <c:v>0.18</c:v>
                </c:pt>
                <c:pt idx="1919">
                  <c:v>0.19</c:v>
                </c:pt>
                <c:pt idx="1920">
                  <c:v>0.19</c:v>
                </c:pt>
                <c:pt idx="1921">
                  <c:v>0.19</c:v>
                </c:pt>
                <c:pt idx="1922">
                  <c:v>0.19</c:v>
                </c:pt>
                <c:pt idx="1923">
                  <c:v>0.2</c:v>
                </c:pt>
                <c:pt idx="1924">
                  <c:v>0.2</c:v>
                </c:pt>
                <c:pt idx="1925">
                  <c:v>0.21</c:v>
                </c:pt>
                <c:pt idx="1926">
                  <c:v>0.21</c:v>
                </c:pt>
                <c:pt idx="1927">
                  <c:v>0.2</c:v>
                </c:pt>
                <c:pt idx="1928">
                  <c:v>0.19</c:v>
                </c:pt>
                <c:pt idx="1929">
                  <c:v>0.19</c:v>
                </c:pt>
                <c:pt idx="1930">
                  <c:v>0.18</c:v>
                </c:pt>
                <c:pt idx="1931">
                  <c:v>0.18</c:v>
                </c:pt>
                <c:pt idx="1932">
                  <c:v>0.18</c:v>
                </c:pt>
                <c:pt idx="1933">
                  <c:v>0.18</c:v>
                </c:pt>
                <c:pt idx="1934">
                  <c:v>0.17</c:v>
                </c:pt>
                <c:pt idx="1935">
                  <c:v>0.17</c:v>
                </c:pt>
                <c:pt idx="1936">
                  <c:v>0.17</c:v>
                </c:pt>
                <c:pt idx="1937">
                  <c:v>0.16</c:v>
                </c:pt>
                <c:pt idx="1938">
                  <c:v>0.16</c:v>
                </c:pt>
                <c:pt idx="1939">
                  <c:v>0.17</c:v>
                </c:pt>
                <c:pt idx="1940">
                  <c:v>0.17</c:v>
                </c:pt>
                <c:pt idx="1941">
                  <c:v>0.17</c:v>
                </c:pt>
                <c:pt idx="1942">
                  <c:v>0.18</c:v>
                </c:pt>
                <c:pt idx="1943">
                  <c:v>0.18</c:v>
                </c:pt>
                <c:pt idx="1944">
                  <c:v>0.18</c:v>
                </c:pt>
                <c:pt idx="1945">
                  <c:v>0.18</c:v>
                </c:pt>
                <c:pt idx="1946">
                  <c:v>0.18</c:v>
                </c:pt>
                <c:pt idx="1947">
                  <c:v>0.18</c:v>
                </c:pt>
                <c:pt idx="1948">
                  <c:v>0.18</c:v>
                </c:pt>
                <c:pt idx="1949">
                  <c:v>0.18</c:v>
                </c:pt>
                <c:pt idx="1950">
                  <c:v>0.18</c:v>
                </c:pt>
                <c:pt idx="1951">
                  <c:v>0.17</c:v>
                </c:pt>
                <c:pt idx="1952">
                  <c:v>0.17</c:v>
                </c:pt>
                <c:pt idx="1953">
                  <c:v>0.17</c:v>
                </c:pt>
                <c:pt idx="1954">
                  <c:v>0.17</c:v>
                </c:pt>
                <c:pt idx="1955">
                  <c:v>0.17</c:v>
                </c:pt>
                <c:pt idx="1956">
                  <c:v>0.17</c:v>
                </c:pt>
                <c:pt idx="1957">
                  <c:v>0.17</c:v>
                </c:pt>
                <c:pt idx="1958">
                  <c:v>0.17</c:v>
                </c:pt>
                <c:pt idx="1959">
                  <c:v>0.17</c:v>
                </c:pt>
                <c:pt idx="1960">
                  <c:v>0.17</c:v>
                </c:pt>
                <c:pt idx="1961">
                  <c:v>0.17</c:v>
                </c:pt>
                <c:pt idx="1962">
                  <c:v>0.16</c:v>
                </c:pt>
                <c:pt idx="1963">
                  <c:v>0.17</c:v>
                </c:pt>
                <c:pt idx="1964">
                  <c:v>0.17</c:v>
                </c:pt>
                <c:pt idx="1965">
                  <c:v>0.18</c:v>
                </c:pt>
                <c:pt idx="1966">
                  <c:v>0.18</c:v>
                </c:pt>
                <c:pt idx="1967">
                  <c:v>0.18</c:v>
                </c:pt>
                <c:pt idx="1968">
                  <c:v>0.18</c:v>
                </c:pt>
                <c:pt idx="1969">
                  <c:v>0.17</c:v>
                </c:pt>
                <c:pt idx="1970">
                  <c:v>0.17</c:v>
                </c:pt>
                <c:pt idx="1971">
                  <c:v>0.18</c:v>
                </c:pt>
                <c:pt idx="1972">
                  <c:v>0.18</c:v>
                </c:pt>
                <c:pt idx="1973">
                  <c:v>0.18</c:v>
                </c:pt>
                <c:pt idx="1974">
                  <c:v>0.18</c:v>
                </c:pt>
                <c:pt idx="1975">
                  <c:v>0.18</c:v>
                </c:pt>
                <c:pt idx="1976">
                  <c:v>0.17</c:v>
                </c:pt>
                <c:pt idx="1977">
                  <c:v>0.18</c:v>
                </c:pt>
                <c:pt idx="1978">
                  <c:v>0.18</c:v>
                </c:pt>
                <c:pt idx="1979">
                  <c:v>0.18</c:v>
                </c:pt>
                <c:pt idx="1980">
                  <c:v>0.18</c:v>
                </c:pt>
                <c:pt idx="1981">
                  <c:v>0.18</c:v>
                </c:pt>
                <c:pt idx="1982">
                  <c:v>0.17</c:v>
                </c:pt>
                <c:pt idx="1983">
                  <c:v>0.17</c:v>
                </c:pt>
                <c:pt idx="1984">
                  <c:v>0.17</c:v>
                </c:pt>
                <c:pt idx="1985">
                  <c:v>0.17</c:v>
                </c:pt>
                <c:pt idx="1986">
                  <c:v>0.16</c:v>
                </c:pt>
                <c:pt idx="1987">
                  <c:v>0.16</c:v>
                </c:pt>
                <c:pt idx="1988">
                  <c:v>0.17</c:v>
                </c:pt>
                <c:pt idx="1989">
                  <c:v>0.17</c:v>
                </c:pt>
                <c:pt idx="1990">
                  <c:v>0.17</c:v>
                </c:pt>
                <c:pt idx="1991">
                  <c:v>0.18</c:v>
                </c:pt>
                <c:pt idx="1992">
                  <c:v>0.18</c:v>
                </c:pt>
                <c:pt idx="1993">
                  <c:v>0.19</c:v>
                </c:pt>
                <c:pt idx="1994">
                  <c:v>0.19</c:v>
                </c:pt>
                <c:pt idx="1995">
                  <c:v>0.18</c:v>
                </c:pt>
                <c:pt idx="1996">
                  <c:v>0.18</c:v>
                </c:pt>
                <c:pt idx="1997">
                  <c:v>0.17</c:v>
                </c:pt>
                <c:pt idx="1998">
                  <c:v>0.17</c:v>
                </c:pt>
                <c:pt idx="1999">
                  <c:v>0.17</c:v>
                </c:pt>
                <c:pt idx="2000">
                  <c:v>0.16</c:v>
                </c:pt>
                <c:pt idx="2001">
                  <c:v>0.16</c:v>
                </c:pt>
                <c:pt idx="2002">
                  <c:v>0.16</c:v>
                </c:pt>
                <c:pt idx="2003">
                  <c:v>0.16</c:v>
                </c:pt>
                <c:pt idx="2004">
                  <c:v>0.16</c:v>
                </c:pt>
                <c:pt idx="2005">
                  <c:v>0.16</c:v>
                </c:pt>
                <c:pt idx="2006">
                  <c:v>0.16</c:v>
                </c:pt>
                <c:pt idx="2007">
                  <c:v>0.16</c:v>
                </c:pt>
                <c:pt idx="2008">
                  <c:v>0.17</c:v>
                </c:pt>
                <c:pt idx="2009">
                  <c:v>0.17</c:v>
                </c:pt>
                <c:pt idx="2010">
                  <c:v>0.18</c:v>
                </c:pt>
                <c:pt idx="2011">
                  <c:v>0.18</c:v>
                </c:pt>
                <c:pt idx="2012">
                  <c:v>0.18</c:v>
                </c:pt>
                <c:pt idx="2013">
                  <c:v>0.18</c:v>
                </c:pt>
                <c:pt idx="2014">
                  <c:v>0.17</c:v>
                </c:pt>
                <c:pt idx="2015">
                  <c:v>0.17</c:v>
                </c:pt>
                <c:pt idx="2016">
                  <c:v>0.17</c:v>
                </c:pt>
                <c:pt idx="2017">
                  <c:v>0.17</c:v>
                </c:pt>
                <c:pt idx="2018">
                  <c:v>0.17</c:v>
                </c:pt>
                <c:pt idx="2019">
                  <c:v>0.17</c:v>
                </c:pt>
                <c:pt idx="2020">
                  <c:v>0.17</c:v>
                </c:pt>
                <c:pt idx="2021">
                  <c:v>0.18</c:v>
                </c:pt>
                <c:pt idx="2022">
                  <c:v>0.18</c:v>
                </c:pt>
                <c:pt idx="2023">
                  <c:v>0.18</c:v>
                </c:pt>
              </c:numCache>
            </c:numRef>
          </c:xVal>
          <c:yVal>
            <c:numRef>
              <c:f>'PHI vs Sw'!$E$3:$E$2026</c:f>
              <c:numCache>
                <c:formatCode>0.000</c:formatCode>
                <c:ptCount val="2024"/>
                <c:pt idx="0">
                  <c:v>0.72</c:v>
                </c:pt>
                <c:pt idx="1">
                  <c:v>0.65</c:v>
                </c:pt>
                <c:pt idx="2">
                  <c:v>0.69</c:v>
                </c:pt>
                <c:pt idx="3">
                  <c:v>0.66</c:v>
                </c:pt>
                <c:pt idx="4">
                  <c:v>0.64</c:v>
                </c:pt>
                <c:pt idx="5">
                  <c:v>0.69</c:v>
                </c:pt>
                <c:pt idx="6">
                  <c:v>0.68</c:v>
                </c:pt>
                <c:pt idx="7">
                  <c:v>0.69</c:v>
                </c:pt>
                <c:pt idx="8">
                  <c:v>0.64</c:v>
                </c:pt>
                <c:pt idx="9">
                  <c:v>0.63</c:v>
                </c:pt>
                <c:pt idx="10">
                  <c:v>0.62</c:v>
                </c:pt>
                <c:pt idx="11">
                  <c:v>0.62</c:v>
                </c:pt>
                <c:pt idx="12">
                  <c:v>0.62</c:v>
                </c:pt>
                <c:pt idx="13">
                  <c:v>0.67</c:v>
                </c:pt>
                <c:pt idx="14">
                  <c:v>0.62</c:v>
                </c:pt>
                <c:pt idx="15">
                  <c:v>0.57999999999999996</c:v>
                </c:pt>
                <c:pt idx="16">
                  <c:v>0.56999999999999995</c:v>
                </c:pt>
                <c:pt idx="17">
                  <c:v>0.55000000000000004</c:v>
                </c:pt>
                <c:pt idx="18">
                  <c:v>0.55000000000000004</c:v>
                </c:pt>
                <c:pt idx="19">
                  <c:v>0.57999999999999996</c:v>
                </c:pt>
                <c:pt idx="20">
                  <c:v>0.59</c:v>
                </c:pt>
                <c:pt idx="21">
                  <c:v>0.61</c:v>
                </c:pt>
                <c:pt idx="22">
                  <c:v>0.64</c:v>
                </c:pt>
                <c:pt idx="23">
                  <c:v>0.66</c:v>
                </c:pt>
                <c:pt idx="24">
                  <c:v>0.65</c:v>
                </c:pt>
                <c:pt idx="25">
                  <c:v>0.63</c:v>
                </c:pt>
                <c:pt idx="26">
                  <c:v>0.63</c:v>
                </c:pt>
                <c:pt idx="27">
                  <c:v>0.64</c:v>
                </c:pt>
                <c:pt idx="28">
                  <c:v>0.6</c:v>
                </c:pt>
                <c:pt idx="29">
                  <c:v>0.56000000000000005</c:v>
                </c:pt>
                <c:pt idx="30">
                  <c:v>0.51</c:v>
                </c:pt>
                <c:pt idx="31">
                  <c:v>0.47</c:v>
                </c:pt>
                <c:pt idx="32">
                  <c:v>0.43</c:v>
                </c:pt>
                <c:pt idx="33">
                  <c:v>0.41</c:v>
                </c:pt>
                <c:pt idx="34">
                  <c:v>0.41</c:v>
                </c:pt>
                <c:pt idx="35">
                  <c:v>0.41</c:v>
                </c:pt>
                <c:pt idx="36">
                  <c:v>0.45</c:v>
                </c:pt>
                <c:pt idx="37">
                  <c:v>0.43</c:v>
                </c:pt>
                <c:pt idx="38">
                  <c:v>0.43</c:v>
                </c:pt>
                <c:pt idx="39">
                  <c:v>0.41</c:v>
                </c:pt>
                <c:pt idx="40">
                  <c:v>0.38</c:v>
                </c:pt>
                <c:pt idx="41">
                  <c:v>0.38</c:v>
                </c:pt>
                <c:pt idx="42">
                  <c:v>0.36</c:v>
                </c:pt>
                <c:pt idx="43">
                  <c:v>0.35</c:v>
                </c:pt>
                <c:pt idx="44">
                  <c:v>0.35</c:v>
                </c:pt>
                <c:pt idx="45">
                  <c:v>0.35</c:v>
                </c:pt>
                <c:pt idx="46">
                  <c:v>0.36</c:v>
                </c:pt>
                <c:pt idx="47">
                  <c:v>0.37</c:v>
                </c:pt>
                <c:pt idx="48">
                  <c:v>0.37</c:v>
                </c:pt>
                <c:pt idx="49">
                  <c:v>0.4</c:v>
                </c:pt>
                <c:pt idx="50">
                  <c:v>0.41</c:v>
                </c:pt>
                <c:pt idx="51">
                  <c:v>0.4</c:v>
                </c:pt>
                <c:pt idx="52">
                  <c:v>0.42</c:v>
                </c:pt>
                <c:pt idx="53">
                  <c:v>0.42</c:v>
                </c:pt>
                <c:pt idx="54">
                  <c:v>0.43</c:v>
                </c:pt>
                <c:pt idx="55">
                  <c:v>0.44</c:v>
                </c:pt>
                <c:pt idx="56">
                  <c:v>0.4</c:v>
                </c:pt>
                <c:pt idx="57">
                  <c:v>0.36</c:v>
                </c:pt>
                <c:pt idx="58">
                  <c:v>0.32</c:v>
                </c:pt>
                <c:pt idx="59">
                  <c:v>0.3</c:v>
                </c:pt>
                <c:pt idx="60">
                  <c:v>0.3</c:v>
                </c:pt>
                <c:pt idx="61">
                  <c:v>0.31</c:v>
                </c:pt>
                <c:pt idx="62">
                  <c:v>0.31</c:v>
                </c:pt>
                <c:pt idx="63">
                  <c:v>0.3</c:v>
                </c:pt>
                <c:pt idx="64">
                  <c:v>0.3</c:v>
                </c:pt>
                <c:pt idx="65">
                  <c:v>0.3</c:v>
                </c:pt>
                <c:pt idx="66">
                  <c:v>0.32</c:v>
                </c:pt>
                <c:pt idx="67">
                  <c:v>0.33</c:v>
                </c:pt>
                <c:pt idx="68">
                  <c:v>0.3</c:v>
                </c:pt>
                <c:pt idx="69">
                  <c:v>0.27</c:v>
                </c:pt>
                <c:pt idx="70">
                  <c:v>0.26</c:v>
                </c:pt>
                <c:pt idx="71">
                  <c:v>0.24</c:v>
                </c:pt>
                <c:pt idx="72">
                  <c:v>0.23</c:v>
                </c:pt>
                <c:pt idx="73">
                  <c:v>0.22</c:v>
                </c:pt>
                <c:pt idx="74">
                  <c:v>0.22</c:v>
                </c:pt>
                <c:pt idx="75">
                  <c:v>0.22</c:v>
                </c:pt>
                <c:pt idx="76">
                  <c:v>0.23</c:v>
                </c:pt>
                <c:pt idx="77">
                  <c:v>0.22</c:v>
                </c:pt>
                <c:pt idx="78">
                  <c:v>0.22</c:v>
                </c:pt>
                <c:pt idx="79">
                  <c:v>0.21</c:v>
                </c:pt>
                <c:pt idx="80">
                  <c:v>0.2</c:v>
                </c:pt>
                <c:pt idx="81">
                  <c:v>0.19</c:v>
                </c:pt>
                <c:pt idx="82">
                  <c:v>0.2</c:v>
                </c:pt>
                <c:pt idx="83">
                  <c:v>0.2</c:v>
                </c:pt>
                <c:pt idx="84">
                  <c:v>0.2</c:v>
                </c:pt>
                <c:pt idx="85">
                  <c:v>0.19</c:v>
                </c:pt>
                <c:pt idx="86">
                  <c:v>0.18</c:v>
                </c:pt>
                <c:pt idx="87">
                  <c:v>0.18</c:v>
                </c:pt>
                <c:pt idx="88">
                  <c:v>0.18</c:v>
                </c:pt>
                <c:pt idx="89">
                  <c:v>0.18</c:v>
                </c:pt>
                <c:pt idx="90">
                  <c:v>0.18</c:v>
                </c:pt>
                <c:pt idx="91">
                  <c:v>0.18</c:v>
                </c:pt>
                <c:pt idx="92">
                  <c:v>0.18</c:v>
                </c:pt>
                <c:pt idx="93">
                  <c:v>0.18</c:v>
                </c:pt>
                <c:pt idx="94">
                  <c:v>0.18</c:v>
                </c:pt>
                <c:pt idx="95">
                  <c:v>0.18</c:v>
                </c:pt>
                <c:pt idx="96">
                  <c:v>0.17</c:v>
                </c:pt>
                <c:pt idx="97">
                  <c:v>0.17</c:v>
                </c:pt>
                <c:pt idx="98">
                  <c:v>0.16</c:v>
                </c:pt>
                <c:pt idx="99">
                  <c:v>0.16</c:v>
                </c:pt>
                <c:pt idx="100">
                  <c:v>0.16</c:v>
                </c:pt>
                <c:pt idx="101">
                  <c:v>0.16</c:v>
                </c:pt>
                <c:pt idx="102">
                  <c:v>0.15</c:v>
                </c:pt>
                <c:pt idx="103">
                  <c:v>0.15</c:v>
                </c:pt>
                <c:pt idx="104">
                  <c:v>0.16</c:v>
                </c:pt>
                <c:pt idx="105">
                  <c:v>0.16</c:v>
                </c:pt>
                <c:pt idx="106">
                  <c:v>0.16</c:v>
                </c:pt>
                <c:pt idx="107">
                  <c:v>0.16</c:v>
                </c:pt>
                <c:pt idx="108">
                  <c:v>0.16</c:v>
                </c:pt>
                <c:pt idx="109">
                  <c:v>0.16</c:v>
                </c:pt>
                <c:pt idx="110">
                  <c:v>0.16</c:v>
                </c:pt>
                <c:pt idx="111">
                  <c:v>0.16</c:v>
                </c:pt>
                <c:pt idx="112">
                  <c:v>0.16</c:v>
                </c:pt>
                <c:pt idx="113">
                  <c:v>0.16</c:v>
                </c:pt>
                <c:pt idx="114">
                  <c:v>0.15</c:v>
                </c:pt>
                <c:pt idx="115">
                  <c:v>0.15</c:v>
                </c:pt>
                <c:pt idx="116">
                  <c:v>0.16</c:v>
                </c:pt>
                <c:pt idx="117">
                  <c:v>0.15</c:v>
                </c:pt>
                <c:pt idx="118">
                  <c:v>0.15</c:v>
                </c:pt>
                <c:pt idx="119">
                  <c:v>0.16</c:v>
                </c:pt>
                <c:pt idx="120">
                  <c:v>0.16</c:v>
                </c:pt>
                <c:pt idx="121">
                  <c:v>0.16</c:v>
                </c:pt>
                <c:pt idx="122">
                  <c:v>0.15</c:v>
                </c:pt>
                <c:pt idx="123">
                  <c:v>0.15</c:v>
                </c:pt>
                <c:pt idx="124">
                  <c:v>0.15</c:v>
                </c:pt>
                <c:pt idx="125">
                  <c:v>0.15</c:v>
                </c:pt>
                <c:pt idx="126">
                  <c:v>0.16</c:v>
                </c:pt>
                <c:pt idx="127">
                  <c:v>0.16</c:v>
                </c:pt>
                <c:pt idx="128">
                  <c:v>0.16</c:v>
                </c:pt>
                <c:pt idx="129">
                  <c:v>0.16</c:v>
                </c:pt>
                <c:pt idx="130">
                  <c:v>0.17</c:v>
                </c:pt>
                <c:pt idx="131">
                  <c:v>0.17</c:v>
                </c:pt>
                <c:pt idx="132">
                  <c:v>0.17</c:v>
                </c:pt>
                <c:pt idx="133">
                  <c:v>0.17</c:v>
                </c:pt>
                <c:pt idx="134">
                  <c:v>0.17</c:v>
                </c:pt>
                <c:pt idx="135">
                  <c:v>0.17</c:v>
                </c:pt>
                <c:pt idx="136">
                  <c:v>0.17</c:v>
                </c:pt>
                <c:pt idx="137">
                  <c:v>0.16</c:v>
                </c:pt>
                <c:pt idx="138">
                  <c:v>0.17</c:v>
                </c:pt>
                <c:pt idx="139">
                  <c:v>0.16</c:v>
                </c:pt>
                <c:pt idx="140">
                  <c:v>0.16</c:v>
                </c:pt>
                <c:pt idx="141">
                  <c:v>0.17</c:v>
                </c:pt>
                <c:pt idx="142">
                  <c:v>0.17</c:v>
                </c:pt>
                <c:pt idx="143">
                  <c:v>0.16</c:v>
                </c:pt>
                <c:pt idx="144">
                  <c:v>0.16</c:v>
                </c:pt>
                <c:pt idx="145">
                  <c:v>0.16</c:v>
                </c:pt>
                <c:pt idx="146">
                  <c:v>0.16</c:v>
                </c:pt>
                <c:pt idx="147">
                  <c:v>0.15</c:v>
                </c:pt>
                <c:pt idx="148">
                  <c:v>0.15</c:v>
                </c:pt>
                <c:pt idx="149">
                  <c:v>0.15</c:v>
                </c:pt>
                <c:pt idx="150">
                  <c:v>0.16</c:v>
                </c:pt>
                <c:pt idx="151">
                  <c:v>0.16</c:v>
                </c:pt>
                <c:pt idx="152">
                  <c:v>0.16</c:v>
                </c:pt>
                <c:pt idx="153">
                  <c:v>0.17</c:v>
                </c:pt>
                <c:pt idx="154">
                  <c:v>0.17</c:v>
                </c:pt>
                <c:pt idx="155">
                  <c:v>0.16</c:v>
                </c:pt>
                <c:pt idx="156">
                  <c:v>0.16</c:v>
                </c:pt>
                <c:pt idx="157">
                  <c:v>0.16</c:v>
                </c:pt>
                <c:pt idx="158">
                  <c:v>0.15</c:v>
                </c:pt>
                <c:pt idx="159">
                  <c:v>0.16</c:v>
                </c:pt>
                <c:pt idx="160">
                  <c:v>0.16</c:v>
                </c:pt>
                <c:pt idx="161">
                  <c:v>0.16</c:v>
                </c:pt>
                <c:pt idx="162">
                  <c:v>0.16</c:v>
                </c:pt>
                <c:pt idx="163">
                  <c:v>0.16</c:v>
                </c:pt>
                <c:pt idx="164">
                  <c:v>0.16</c:v>
                </c:pt>
                <c:pt idx="165">
                  <c:v>0.15</c:v>
                </c:pt>
                <c:pt idx="166">
                  <c:v>0.16</c:v>
                </c:pt>
                <c:pt idx="167">
                  <c:v>0.16</c:v>
                </c:pt>
                <c:pt idx="168">
                  <c:v>0.16</c:v>
                </c:pt>
                <c:pt idx="169">
                  <c:v>0.15</c:v>
                </c:pt>
                <c:pt idx="170">
                  <c:v>0.15</c:v>
                </c:pt>
                <c:pt idx="171">
                  <c:v>0.15</c:v>
                </c:pt>
                <c:pt idx="172">
                  <c:v>0.15</c:v>
                </c:pt>
                <c:pt idx="173">
                  <c:v>0.15</c:v>
                </c:pt>
                <c:pt idx="174">
                  <c:v>0.15</c:v>
                </c:pt>
                <c:pt idx="175">
                  <c:v>0.15</c:v>
                </c:pt>
                <c:pt idx="176">
                  <c:v>0.15</c:v>
                </c:pt>
                <c:pt idx="177">
                  <c:v>0.15</c:v>
                </c:pt>
                <c:pt idx="178">
                  <c:v>0.15</c:v>
                </c:pt>
                <c:pt idx="179">
                  <c:v>0.16</c:v>
                </c:pt>
                <c:pt idx="180">
                  <c:v>0.17</c:v>
                </c:pt>
                <c:pt idx="181">
                  <c:v>0.17</c:v>
                </c:pt>
                <c:pt idx="182">
                  <c:v>0.17</c:v>
                </c:pt>
                <c:pt idx="183">
                  <c:v>0.17</c:v>
                </c:pt>
                <c:pt idx="184">
                  <c:v>0.16</c:v>
                </c:pt>
                <c:pt idx="185">
                  <c:v>0.16</c:v>
                </c:pt>
                <c:pt idx="186">
                  <c:v>0.16</c:v>
                </c:pt>
                <c:pt idx="187">
                  <c:v>0.16</c:v>
                </c:pt>
                <c:pt idx="188">
                  <c:v>0.16</c:v>
                </c:pt>
                <c:pt idx="189">
                  <c:v>0.16</c:v>
                </c:pt>
                <c:pt idx="190">
                  <c:v>0.17</c:v>
                </c:pt>
                <c:pt idx="191">
                  <c:v>0.16</c:v>
                </c:pt>
                <c:pt idx="192">
                  <c:v>0.16</c:v>
                </c:pt>
                <c:pt idx="193">
                  <c:v>0.17</c:v>
                </c:pt>
                <c:pt idx="194">
                  <c:v>0.17</c:v>
                </c:pt>
                <c:pt idx="195">
                  <c:v>0.17</c:v>
                </c:pt>
                <c:pt idx="196">
                  <c:v>0.16</c:v>
                </c:pt>
                <c:pt idx="197">
                  <c:v>0.15</c:v>
                </c:pt>
                <c:pt idx="198">
                  <c:v>0.16</c:v>
                </c:pt>
                <c:pt idx="199">
                  <c:v>0.16</c:v>
                </c:pt>
                <c:pt idx="200">
                  <c:v>0.16</c:v>
                </c:pt>
                <c:pt idx="201">
                  <c:v>0.17</c:v>
                </c:pt>
                <c:pt idx="202">
                  <c:v>0.16</c:v>
                </c:pt>
                <c:pt idx="203">
                  <c:v>0.17</c:v>
                </c:pt>
                <c:pt idx="204">
                  <c:v>0.17</c:v>
                </c:pt>
                <c:pt idx="205">
                  <c:v>0.16</c:v>
                </c:pt>
                <c:pt idx="206">
                  <c:v>0.16</c:v>
                </c:pt>
                <c:pt idx="207">
                  <c:v>0.16</c:v>
                </c:pt>
                <c:pt idx="208">
                  <c:v>0.16</c:v>
                </c:pt>
                <c:pt idx="209">
                  <c:v>0.16</c:v>
                </c:pt>
                <c:pt idx="210">
                  <c:v>0.15</c:v>
                </c:pt>
                <c:pt idx="211">
                  <c:v>0.15</c:v>
                </c:pt>
                <c:pt idx="212">
                  <c:v>0.15</c:v>
                </c:pt>
                <c:pt idx="213">
                  <c:v>0.15</c:v>
                </c:pt>
                <c:pt idx="214">
                  <c:v>0.15</c:v>
                </c:pt>
                <c:pt idx="215">
                  <c:v>0.15</c:v>
                </c:pt>
                <c:pt idx="216">
                  <c:v>0.15</c:v>
                </c:pt>
                <c:pt idx="217">
                  <c:v>0.15</c:v>
                </c:pt>
                <c:pt idx="218">
                  <c:v>0.15</c:v>
                </c:pt>
                <c:pt idx="219">
                  <c:v>0.15</c:v>
                </c:pt>
                <c:pt idx="220">
                  <c:v>0.15</c:v>
                </c:pt>
                <c:pt idx="221">
                  <c:v>0.16</c:v>
                </c:pt>
                <c:pt idx="222">
                  <c:v>0.15</c:v>
                </c:pt>
                <c:pt idx="223">
                  <c:v>0.15</c:v>
                </c:pt>
                <c:pt idx="224">
                  <c:v>0.15</c:v>
                </c:pt>
                <c:pt idx="225">
                  <c:v>0.15</c:v>
                </c:pt>
                <c:pt idx="226">
                  <c:v>0.15</c:v>
                </c:pt>
                <c:pt idx="227">
                  <c:v>0.15</c:v>
                </c:pt>
                <c:pt idx="228">
                  <c:v>0.16</c:v>
                </c:pt>
                <c:pt idx="229">
                  <c:v>0.15</c:v>
                </c:pt>
                <c:pt idx="230">
                  <c:v>0.16</c:v>
                </c:pt>
                <c:pt idx="231">
                  <c:v>0.16</c:v>
                </c:pt>
                <c:pt idx="232">
                  <c:v>0.16</c:v>
                </c:pt>
                <c:pt idx="233">
                  <c:v>0.16</c:v>
                </c:pt>
                <c:pt idx="234">
                  <c:v>0.16</c:v>
                </c:pt>
                <c:pt idx="235">
                  <c:v>0.16</c:v>
                </c:pt>
                <c:pt idx="236">
                  <c:v>0.16</c:v>
                </c:pt>
                <c:pt idx="237">
                  <c:v>0.16</c:v>
                </c:pt>
                <c:pt idx="238">
                  <c:v>0.16</c:v>
                </c:pt>
                <c:pt idx="239">
                  <c:v>0.15</c:v>
                </c:pt>
                <c:pt idx="240">
                  <c:v>0.15</c:v>
                </c:pt>
                <c:pt idx="241">
                  <c:v>0.15</c:v>
                </c:pt>
                <c:pt idx="242">
                  <c:v>0.16</c:v>
                </c:pt>
                <c:pt idx="243">
                  <c:v>0.16</c:v>
                </c:pt>
                <c:pt idx="244">
                  <c:v>0.15</c:v>
                </c:pt>
                <c:pt idx="245">
                  <c:v>0.15</c:v>
                </c:pt>
                <c:pt idx="246">
                  <c:v>0.16</c:v>
                </c:pt>
                <c:pt idx="247">
                  <c:v>0.16</c:v>
                </c:pt>
                <c:pt idx="248">
                  <c:v>0.17</c:v>
                </c:pt>
                <c:pt idx="249">
                  <c:v>0.17</c:v>
                </c:pt>
                <c:pt idx="250">
                  <c:v>0.16</c:v>
                </c:pt>
                <c:pt idx="251">
                  <c:v>0.16</c:v>
                </c:pt>
                <c:pt idx="252">
                  <c:v>0.16</c:v>
                </c:pt>
                <c:pt idx="253">
                  <c:v>0.16</c:v>
                </c:pt>
                <c:pt idx="254">
                  <c:v>0.16</c:v>
                </c:pt>
                <c:pt idx="255">
                  <c:v>0.16</c:v>
                </c:pt>
                <c:pt idx="256">
                  <c:v>0.16</c:v>
                </c:pt>
                <c:pt idx="257">
                  <c:v>0.16</c:v>
                </c:pt>
                <c:pt idx="258">
                  <c:v>0.16</c:v>
                </c:pt>
                <c:pt idx="259">
                  <c:v>0.16</c:v>
                </c:pt>
                <c:pt idx="260">
                  <c:v>0.16</c:v>
                </c:pt>
                <c:pt idx="261">
                  <c:v>0.16</c:v>
                </c:pt>
                <c:pt idx="262">
                  <c:v>0.16</c:v>
                </c:pt>
                <c:pt idx="263">
                  <c:v>0.16</c:v>
                </c:pt>
                <c:pt idx="264">
                  <c:v>0.16</c:v>
                </c:pt>
                <c:pt idx="265">
                  <c:v>0.16</c:v>
                </c:pt>
                <c:pt idx="266">
                  <c:v>0.16</c:v>
                </c:pt>
                <c:pt idx="267">
                  <c:v>0.16</c:v>
                </c:pt>
                <c:pt idx="268">
                  <c:v>0.16</c:v>
                </c:pt>
                <c:pt idx="269">
                  <c:v>0.17</c:v>
                </c:pt>
                <c:pt idx="270">
                  <c:v>0.16</c:v>
                </c:pt>
                <c:pt idx="271">
                  <c:v>0.16</c:v>
                </c:pt>
                <c:pt idx="272">
                  <c:v>0.16</c:v>
                </c:pt>
                <c:pt idx="273">
                  <c:v>0.16</c:v>
                </c:pt>
                <c:pt idx="274">
                  <c:v>0.17</c:v>
                </c:pt>
                <c:pt idx="275">
                  <c:v>0.17</c:v>
                </c:pt>
                <c:pt idx="276">
                  <c:v>0.17</c:v>
                </c:pt>
                <c:pt idx="277">
                  <c:v>0.17</c:v>
                </c:pt>
                <c:pt idx="278">
                  <c:v>0.16</c:v>
                </c:pt>
                <c:pt idx="279">
                  <c:v>0.17</c:v>
                </c:pt>
                <c:pt idx="280">
                  <c:v>0.17</c:v>
                </c:pt>
                <c:pt idx="281">
                  <c:v>0.17</c:v>
                </c:pt>
                <c:pt idx="282">
                  <c:v>0.18</c:v>
                </c:pt>
                <c:pt idx="283">
                  <c:v>0.17</c:v>
                </c:pt>
                <c:pt idx="284">
                  <c:v>0.17</c:v>
                </c:pt>
                <c:pt idx="285">
                  <c:v>0.17</c:v>
                </c:pt>
                <c:pt idx="286">
                  <c:v>0.18</c:v>
                </c:pt>
                <c:pt idx="287">
                  <c:v>0.18</c:v>
                </c:pt>
                <c:pt idx="288">
                  <c:v>0.18</c:v>
                </c:pt>
                <c:pt idx="289">
                  <c:v>0.18</c:v>
                </c:pt>
                <c:pt idx="290">
                  <c:v>0.19</c:v>
                </c:pt>
                <c:pt idx="291">
                  <c:v>0.2</c:v>
                </c:pt>
                <c:pt idx="292">
                  <c:v>0.2</c:v>
                </c:pt>
                <c:pt idx="293">
                  <c:v>0.2</c:v>
                </c:pt>
                <c:pt idx="294">
                  <c:v>0.2</c:v>
                </c:pt>
                <c:pt idx="295">
                  <c:v>0.19</c:v>
                </c:pt>
                <c:pt idx="296">
                  <c:v>0.18</c:v>
                </c:pt>
                <c:pt idx="297">
                  <c:v>0.18</c:v>
                </c:pt>
                <c:pt idx="298">
                  <c:v>0.17</c:v>
                </c:pt>
                <c:pt idx="299">
                  <c:v>0.17</c:v>
                </c:pt>
                <c:pt idx="300">
                  <c:v>0.16</c:v>
                </c:pt>
                <c:pt idx="301">
                  <c:v>0.16</c:v>
                </c:pt>
                <c:pt idx="302">
                  <c:v>0.16</c:v>
                </c:pt>
                <c:pt idx="303">
                  <c:v>0.17</c:v>
                </c:pt>
                <c:pt idx="304">
                  <c:v>0.17</c:v>
                </c:pt>
                <c:pt idx="305">
                  <c:v>0.17</c:v>
                </c:pt>
                <c:pt idx="306">
                  <c:v>0.18</c:v>
                </c:pt>
                <c:pt idx="307">
                  <c:v>0.18</c:v>
                </c:pt>
                <c:pt idx="308">
                  <c:v>0.19</c:v>
                </c:pt>
                <c:pt idx="309">
                  <c:v>0.2</c:v>
                </c:pt>
                <c:pt idx="310">
                  <c:v>0.19</c:v>
                </c:pt>
                <c:pt idx="311">
                  <c:v>0.2</c:v>
                </c:pt>
                <c:pt idx="312">
                  <c:v>0.2</c:v>
                </c:pt>
                <c:pt idx="313">
                  <c:v>0.2</c:v>
                </c:pt>
                <c:pt idx="314">
                  <c:v>0.21</c:v>
                </c:pt>
                <c:pt idx="315">
                  <c:v>0.21</c:v>
                </c:pt>
                <c:pt idx="316">
                  <c:v>0.23</c:v>
                </c:pt>
                <c:pt idx="317">
                  <c:v>0.23</c:v>
                </c:pt>
                <c:pt idx="318">
                  <c:v>0.24</c:v>
                </c:pt>
                <c:pt idx="319">
                  <c:v>0.23</c:v>
                </c:pt>
                <c:pt idx="320">
                  <c:v>0.22</c:v>
                </c:pt>
                <c:pt idx="321">
                  <c:v>0.22</c:v>
                </c:pt>
                <c:pt idx="322">
                  <c:v>0.21</c:v>
                </c:pt>
                <c:pt idx="323">
                  <c:v>0.21</c:v>
                </c:pt>
                <c:pt idx="324">
                  <c:v>0.21</c:v>
                </c:pt>
                <c:pt idx="325">
                  <c:v>0.21</c:v>
                </c:pt>
                <c:pt idx="326">
                  <c:v>0.21</c:v>
                </c:pt>
                <c:pt idx="327">
                  <c:v>0.22</c:v>
                </c:pt>
                <c:pt idx="328">
                  <c:v>0.21</c:v>
                </c:pt>
                <c:pt idx="329">
                  <c:v>0.22</c:v>
                </c:pt>
                <c:pt idx="330">
                  <c:v>0.23</c:v>
                </c:pt>
                <c:pt idx="331">
                  <c:v>0.22</c:v>
                </c:pt>
                <c:pt idx="332">
                  <c:v>0.22</c:v>
                </c:pt>
                <c:pt idx="333">
                  <c:v>0.22</c:v>
                </c:pt>
                <c:pt idx="334">
                  <c:v>0.22</c:v>
                </c:pt>
                <c:pt idx="335">
                  <c:v>0.22</c:v>
                </c:pt>
                <c:pt idx="336">
                  <c:v>0.21</c:v>
                </c:pt>
                <c:pt idx="337">
                  <c:v>0.21</c:v>
                </c:pt>
                <c:pt idx="338">
                  <c:v>0.2</c:v>
                </c:pt>
                <c:pt idx="339">
                  <c:v>0.21</c:v>
                </c:pt>
                <c:pt idx="340">
                  <c:v>0.2</c:v>
                </c:pt>
                <c:pt idx="341">
                  <c:v>0.21</c:v>
                </c:pt>
                <c:pt idx="342">
                  <c:v>0.2</c:v>
                </c:pt>
                <c:pt idx="343">
                  <c:v>0.2</c:v>
                </c:pt>
                <c:pt idx="344">
                  <c:v>0.21</c:v>
                </c:pt>
                <c:pt idx="345">
                  <c:v>0.21</c:v>
                </c:pt>
                <c:pt idx="346">
                  <c:v>0.21</c:v>
                </c:pt>
                <c:pt idx="347">
                  <c:v>0.21</c:v>
                </c:pt>
                <c:pt idx="348">
                  <c:v>0.21</c:v>
                </c:pt>
                <c:pt idx="349">
                  <c:v>0.2</c:v>
                </c:pt>
                <c:pt idx="350">
                  <c:v>0.19</c:v>
                </c:pt>
                <c:pt idx="351">
                  <c:v>0.18</c:v>
                </c:pt>
                <c:pt idx="352">
                  <c:v>0.18</c:v>
                </c:pt>
                <c:pt idx="353">
                  <c:v>0.18</c:v>
                </c:pt>
                <c:pt idx="354">
                  <c:v>0.18</c:v>
                </c:pt>
                <c:pt idx="355">
                  <c:v>0.17</c:v>
                </c:pt>
                <c:pt idx="356">
                  <c:v>0.17</c:v>
                </c:pt>
                <c:pt idx="357">
                  <c:v>0.17</c:v>
                </c:pt>
                <c:pt idx="358">
                  <c:v>0.18</c:v>
                </c:pt>
                <c:pt idx="359">
                  <c:v>0.19</c:v>
                </c:pt>
                <c:pt idx="360">
                  <c:v>0.19</c:v>
                </c:pt>
                <c:pt idx="361">
                  <c:v>0.2</c:v>
                </c:pt>
                <c:pt idx="362">
                  <c:v>0.21</c:v>
                </c:pt>
                <c:pt idx="363">
                  <c:v>0.21</c:v>
                </c:pt>
                <c:pt idx="364">
                  <c:v>0.21</c:v>
                </c:pt>
                <c:pt idx="365">
                  <c:v>0.21</c:v>
                </c:pt>
                <c:pt idx="366">
                  <c:v>0.21</c:v>
                </c:pt>
                <c:pt idx="367">
                  <c:v>0.22</c:v>
                </c:pt>
                <c:pt idx="368">
                  <c:v>0.21</c:v>
                </c:pt>
                <c:pt idx="369">
                  <c:v>0.2</c:v>
                </c:pt>
                <c:pt idx="370">
                  <c:v>0.2</c:v>
                </c:pt>
                <c:pt idx="371">
                  <c:v>0.2</c:v>
                </c:pt>
                <c:pt idx="372">
                  <c:v>0.2</c:v>
                </c:pt>
                <c:pt idx="373">
                  <c:v>0.2</c:v>
                </c:pt>
                <c:pt idx="374">
                  <c:v>0.2</c:v>
                </c:pt>
                <c:pt idx="375">
                  <c:v>0.2</c:v>
                </c:pt>
                <c:pt idx="376">
                  <c:v>0.2</c:v>
                </c:pt>
                <c:pt idx="377">
                  <c:v>0.2</c:v>
                </c:pt>
                <c:pt idx="378">
                  <c:v>0.2</c:v>
                </c:pt>
                <c:pt idx="379">
                  <c:v>0.21</c:v>
                </c:pt>
                <c:pt idx="380">
                  <c:v>0.21</c:v>
                </c:pt>
                <c:pt idx="381">
                  <c:v>0.22</c:v>
                </c:pt>
                <c:pt idx="382">
                  <c:v>0.23</c:v>
                </c:pt>
                <c:pt idx="383">
                  <c:v>0.24</c:v>
                </c:pt>
                <c:pt idx="384">
                  <c:v>0.26</c:v>
                </c:pt>
                <c:pt idx="385">
                  <c:v>0.27</c:v>
                </c:pt>
                <c:pt idx="386">
                  <c:v>0.27</c:v>
                </c:pt>
                <c:pt idx="387">
                  <c:v>0.25</c:v>
                </c:pt>
                <c:pt idx="388">
                  <c:v>0.22</c:v>
                </c:pt>
                <c:pt idx="389">
                  <c:v>0.22</c:v>
                </c:pt>
                <c:pt idx="390">
                  <c:v>0.23</c:v>
                </c:pt>
                <c:pt idx="391">
                  <c:v>0.23</c:v>
                </c:pt>
                <c:pt idx="392">
                  <c:v>0.22</c:v>
                </c:pt>
                <c:pt idx="393">
                  <c:v>0.21</c:v>
                </c:pt>
                <c:pt idx="394">
                  <c:v>0.21</c:v>
                </c:pt>
                <c:pt idx="395">
                  <c:v>0.2</c:v>
                </c:pt>
                <c:pt idx="396">
                  <c:v>0.2</c:v>
                </c:pt>
                <c:pt idx="397">
                  <c:v>0.21</c:v>
                </c:pt>
                <c:pt idx="398">
                  <c:v>0.2</c:v>
                </c:pt>
                <c:pt idx="399">
                  <c:v>0.2</c:v>
                </c:pt>
                <c:pt idx="400">
                  <c:v>0.2</c:v>
                </c:pt>
                <c:pt idx="401">
                  <c:v>0.2</c:v>
                </c:pt>
                <c:pt idx="402">
                  <c:v>0.19</c:v>
                </c:pt>
                <c:pt idx="403">
                  <c:v>0.19</c:v>
                </c:pt>
                <c:pt idx="404">
                  <c:v>0.2</c:v>
                </c:pt>
                <c:pt idx="405">
                  <c:v>0.2</c:v>
                </c:pt>
                <c:pt idx="406">
                  <c:v>0.2</c:v>
                </c:pt>
                <c:pt idx="407">
                  <c:v>0.21</c:v>
                </c:pt>
                <c:pt idx="408">
                  <c:v>0.22</c:v>
                </c:pt>
                <c:pt idx="409">
                  <c:v>0.22</c:v>
                </c:pt>
                <c:pt idx="410">
                  <c:v>0.23</c:v>
                </c:pt>
                <c:pt idx="411">
                  <c:v>0.24</c:v>
                </c:pt>
                <c:pt idx="412">
                  <c:v>0.24</c:v>
                </c:pt>
                <c:pt idx="413">
                  <c:v>0.25</c:v>
                </c:pt>
                <c:pt idx="414">
                  <c:v>0.26</c:v>
                </c:pt>
                <c:pt idx="415">
                  <c:v>0.25</c:v>
                </c:pt>
                <c:pt idx="416">
                  <c:v>0.25</c:v>
                </c:pt>
                <c:pt idx="417">
                  <c:v>0.25</c:v>
                </c:pt>
                <c:pt idx="418">
                  <c:v>0.26</c:v>
                </c:pt>
                <c:pt idx="419">
                  <c:v>0.26</c:v>
                </c:pt>
                <c:pt idx="420">
                  <c:v>0.27</c:v>
                </c:pt>
                <c:pt idx="421">
                  <c:v>0.27</c:v>
                </c:pt>
                <c:pt idx="422">
                  <c:v>0.27</c:v>
                </c:pt>
                <c:pt idx="423">
                  <c:v>0.27</c:v>
                </c:pt>
                <c:pt idx="424">
                  <c:v>0.27</c:v>
                </c:pt>
                <c:pt idx="425">
                  <c:v>0.27</c:v>
                </c:pt>
                <c:pt idx="426">
                  <c:v>0.26</c:v>
                </c:pt>
                <c:pt idx="427">
                  <c:v>0.27</c:v>
                </c:pt>
                <c:pt idx="428">
                  <c:v>0.28999999999999998</c:v>
                </c:pt>
                <c:pt idx="429">
                  <c:v>0.3</c:v>
                </c:pt>
                <c:pt idx="430">
                  <c:v>0.3</c:v>
                </c:pt>
                <c:pt idx="431">
                  <c:v>0.3</c:v>
                </c:pt>
                <c:pt idx="432">
                  <c:v>0.3</c:v>
                </c:pt>
                <c:pt idx="433">
                  <c:v>0.3</c:v>
                </c:pt>
                <c:pt idx="434">
                  <c:v>0.31</c:v>
                </c:pt>
                <c:pt idx="435">
                  <c:v>0.32</c:v>
                </c:pt>
                <c:pt idx="436">
                  <c:v>0.32</c:v>
                </c:pt>
                <c:pt idx="437">
                  <c:v>0.33</c:v>
                </c:pt>
                <c:pt idx="438">
                  <c:v>0.34</c:v>
                </c:pt>
                <c:pt idx="439">
                  <c:v>0.34</c:v>
                </c:pt>
                <c:pt idx="440">
                  <c:v>0.35</c:v>
                </c:pt>
                <c:pt idx="441">
                  <c:v>0.34</c:v>
                </c:pt>
                <c:pt idx="442">
                  <c:v>0.34</c:v>
                </c:pt>
                <c:pt idx="443">
                  <c:v>0.35</c:v>
                </c:pt>
                <c:pt idx="444">
                  <c:v>0.34</c:v>
                </c:pt>
                <c:pt idx="445">
                  <c:v>0.36</c:v>
                </c:pt>
                <c:pt idx="446">
                  <c:v>0.35</c:v>
                </c:pt>
                <c:pt idx="447">
                  <c:v>0.33</c:v>
                </c:pt>
                <c:pt idx="448">
                  <c:v>0.34</c:v>
                </c:pt>
                <c:pt idx="449">
                  <c:v>0.35</c:v>
                </c:pt>
                <c:pt idx="450">
                  <c:v>0.37</c:v>
                </c:pt>
                <c:pt idx="451">
                  <c:v>0.4</c:v>
                </c:pt>
                <c:pt idx="452">
                  <c:v>0.42</c:v>
                </c:pt>
                <c:pt idx="453">
                  <c:v>0.42</c:v>
                </c:pt>
                <c:pt idx="454">
                  <c:v>0.45</c:v>
                </c:pt>
                <c:pt idx="455">
                  <c:v>0.48</c:v>
                </c:pt>
                <c:pt idx="456">
                  <c:v>0.5</c:v>
                </c:pt>
                <c:pt idx="457">
                  <c:v>0.51</c:v>
                </c:pt>
                <c:pt idx="458">
                  <c:v>0.51</c:v>
                </c:pt>
                <c:pt idx="459">
                  <c:v>0.53</c:v>
                </c:pt>
                <c:pt idx="460">
                  <c:v>0.53</c:v>
                </c:pt>
                <c:pt idx="461">
                  <c:v>0.52</c:v>
                </c:pt>
                <c:pt idx="462">
                  <c:v>0.52</c:v>
                </c:pt>
                <c:pt idx="463">
                  <c:v>0.54</c:v>
                </c:pt>
                <c:pt idx="464">
                  <c:v>0.55000000000000004</c:v>
                </c:pt>
                <c:pt idx="465">
                  <c:v>0.52</c:v>
                </c:pt>
                <c:pt idx="466">
                  <c:v>0.49</c:v>
                </c:pt>
                <c:pt idx="467">
                  <c:v>0.46</c:v>
                </c:pt>
                <c:pt idx="468">
                  <c:v>0.44</c:v>
                </c:pt>
                <c:pt idx="469">
                  <c:v>0.43</c:v>
                </c:pt>
                <c:pt idx="470">
                  <c:v>0.44</c:v>
                </c:pt>
                <c:pt idx="471">
                  <c:v>0.43</c:v>
                </c:pt>
                <c:pt idx="472">
                  <c:v>0.44</c:v>
                </c:pt>
                <c:pt idx="473">
                  <c:v>0.48</c:v>
                </c:pt>
                <c:pt idx="474">
                  <c:v>0.49</c:v>
                </c:pt>
                <c:pt idx="475">
                  <c:v>0.5</c:v>
                </c:pt>
                <c:pt idx="476">
                  <c:v>0.52</c:v>
                </c:pt>
                <c:pt idx="477">
                  <c:v>0.52</c:v>
                </c:pt>
                <c:pt idx="478">
                  <c:v>0.52</c:v>
                </c:pt>
                <c:pt idx="479">
                  <c:v>0.51</c:v>
                </c:pt>
                <c:pt idx="480">
                  <c:v>0.49</c:v>
                </c:pt>
                <c:pt idx="481">
                  <c:v>0.48</c:v>
                </c:pt>
                <c:pt idx="482">
                  <c:v>0.47</c:v>
                </c:pt>
                <c:pt idx="483">
                  <c:v>0.45</c:v>
                </c:pt>
                <c:pt idx="484">
                  <c:v>0.44</c:v>
                </c:pt>
                <c:pt idx="485">
                  <c:v>0.45</c:v>
                </c:pt>
                <c:pt idx="486">
                  <c:v>0.47</c:v>
                </c:pt>
                <c:pt idx="487">
                  <c:v>0.46</c:v>
                </c:pt>
                <c:pt idx="488">
                  <c:v>0.42</c:v>
                </c:pt>
                <c:pt idx="489">
                  <c:v>0.4</c:v>
                </c:pt>
                <c:pt idx="490">
                  <c:v>0.4</c:v>
                </c:pt>
                <c:pt idx="491">
                  <c:v>0.39</c:v>
                </c:pt>
                <c:pt idx="492">
                  <c:v>0.38</c:v>
                </c:pt>
                <c:pt idx="493">
                  <c:v>0.37</c:v>
                </c:pt>
                <c:pt idx="494">
                  <c:v>0.35</c:v>
                </c:pt>
                <c:pt idx="495">
                  <c:v>0.35</c:v>
                </c:pt>
                <c:pt idx="496">
                  <c:v>0.34</c:v>
                </c:pt>
                <c:pt idx="497">
                  <c:v>0.33</c:v>
                </c:pt>
                <c:pt idx="498">
                  <c:v>0.32</c:v>
                </c:pt>
                <c:pt idx="499">
                  <c:v>0.34</c:v>
                </c:pt>
                <c:pt idx="500">
                  <c:v>0.33</c:v>
                </c:pt>
                <c:pt idx="501">
                  <c:v>0.33</c:v>
                </c:pt>
                <c:pt idx="502">
                  <c:v>0.32</c:v>
                </c:pt>
                <c:pt idx="503">
                  <c:v>0.3</c:v>
                </c:pt>
                <c:pt idx="504">
                  <c:v>0.28000000000000003</c:v>
                </c:pt>
                <c:pt idx="505">
                  <c:v>0.27</c:v>
                </c:pt>
                <c:pt idx="506">
                  <c:v>0.26</c:v>
                </c:pt>
                <c:pt idx="507">
                  <c:v>0.27</c:v>
                </c:pt>
                <c:pt idx="508">
                  <c:v>0.27</c:v>
                </c:pt>
                <c:pt idx="509">
                  <c:v>0.27</c:v>
                </c:pt>
                <c:pt idx="510">
                  <c:v>0.28000000000000003</c:v>
                </c:pt>
                <c:pt idx="511">
                  <c:v>0.27</c:v>
                </c:pt>
                <c:pt idx="512">
                  <c:v>0.26</c:v>
                </c:pt>
                <c:pt idx="513">
                  <c:v>0.26</c:v>
                </c:pt>
                <c:pt idx="514">
                  <c:v>0.26</c:v>
                </c:pt>
                <c:pt idx="515">
                  <c:v>0.27</c:v>
                </c:pt>
                <c:pt idx="516">
                  <c:v>0.26</c:v>
                </c:pt>
                <c:pt idx="517">
                  <c:v>0.25</c:v>
                </c:pt>
                <c:pt idx="518">
                  <c:v>0.25</c:v>
                </c:pt>
                <c:pt idx="519">
                  <c:v>0.25</c:v>
                </c:pt>
                <c:pt idx="520">
                  <c:v>0.25</c:v>
                </c:pt>
                <c:pt idx="521">
                  <c:v>0.26</c:v>
                </c:pt>
                <c:pt idx="522">
                  <c:v>0.28000000000000003</c:v>
                </c:pt>
                <c:pt idx="523">
                  <c:v>0.31</c:v>
                </c:pt>
                <c:pt idx="524">
                  <c:v>0.32</c:v>
                </c:pt>
                <c:pt idx="525">
                  <c:v>0.33</c:v>
                </c:pt>
                <c:pt idx="526">
                  <c:v>0.36</c:v>
                </c:pt>
                <c:pt idx="527">
                  <c:v>0.41</c:v>
                </c:pt>
                <c:pt idx="528">
                  <c:v>0.42</c:v>
                </c:pt>
                <c:pt idx="529">
                  <c:v>0.42</c:v>
                </c:pt>
                <c:pt idx="530">
                  <c:v>0.42</c:v>
                </c:pt>
                <c:pt idx="531">
                  <c:v>0.43</c:v>
                </c:pt>
                <c:pt idx="532">
                  <c:v>0.41</c:v>
                </c:pt>
                <c:pt idx="533">
                  <c:v>0.4</c:v>
                </c:pt>
                <c:pt idx="534">
                  <c:v>0.39</c:v>
                </c:pt>
                <c:pt idx="535">
                  <c:v>0.37</c:v>
                </c:pt>
                <c:pt idx="536">
                  <c:v>0.35</c:v>
                </c:pt>
                <c:pt idx="537">
                  <c:v>0.33</c:v>
                </c:pt>
                <c:pt idx="538">
                  <c:v>0.32</c:v>
                </c:pt>
                <c:pt idx="539">
                  <c:v>0.31</c:v>
                </c:pt>
                <c:pt idx="540">
                  <c:v>0.31</c:v>
                </c:pt>
                <c:pt idx="541">
                  <c:v>0.28999999999999998</c:v>
                </c:pt>
                <c:pt idx="542">
                  <c:v>0.28000000000000003</c:v>
                </c:pt>
                <c:pt idx="543">
                  <c:v>0.27</c:v>
                </c:pt>
                <c:pt idx="544">
                  <c:v>0.28000000000000003</c:v>
                </c:pt>
                <c:pt idx="545">
                  <c:v>0.3</c:v>
                </c:pt>
                <c:pt idx="546">
                  <c:v>0.34</c:v>
                </c:pt>
                <c:pt idx="547">
                  <c:v>0.37</c:v>
                </c:pt>
                <c:pt idx="548">
                  <c:v>0.35</c:v>
                </c:pt>
                <c:pt idx="549">
                  <c:v>0.36</c:v>
                </c:pt>
                <c:pt idx="550">
                  <c:v>0.37</c:v>
                </c:pt>
                <c:pt idx="551">
                  <c:v>0.36</c:v>
                </c:pt>
                <c:pt idx="552">
                  <c:v>0.36</c:v>
                </c:pt>
                <c:pt idx="553">
                  <c:v>0.33</c:v>
                </c:pt>
                <c:pt idx="554">
                  <c:v>0.33</c:v>
                </c:pt>
                <c:pt idx="555">
                  <c:v>0.34</c:v>
                </c:pt>
                <c:pt idx="556">
                  <c:v>0.37</c:v>
                </c:pt>
                <c:pt idx="557">
                  <c:v>0.36</c:v>
                </c:pt>
                <c:pt idx="558">
                  <c:v>0.33</c:v>
                </c:pt>
                <c:pt idx="559">
                  <c:v>0.33</c:v>
                </c:pt>
                <c:pt idx="560">
                  <c:v>0.33</c:v>
                </c:pt>
                <c:pt idx="561">
                  <c:v>0.33</c:v>
                </c:pt>
                <c:pt idx="562">
                  <c:v>0.32</c:v>
                </c:pt>
                <c:pt idx="563">
                  <c:v>0.32</c:v>
                </c:pt>
                <c:pt idx="564">
                  <c:v>0.34</c:v>
                </c:pt>
                <c:pt idx="565">
                  <c:v>0.34</c:v>
                </c:pt>
                <c:pt idx="566">
                  <c:v>0.36</c:v>
                </c:pt>
                <c:pt idx="567">
                  <c:v>0.36</c:v>
                </c:pt>
                <c:pt idx="568">
                  <c:v>0.38</c:v>
                </c:pt>
                <c:pt idx="569">
                  <c:v>0.39</c:v>
                </c:pt>
                <c:pt idx="570">
                  <c:v>0.4</c:v>
                </c:pt>
                <c:pt idx="571">
                  <c:v>0.43</c:v>
                </c:pt>
                <c:pt idx="572">
                  <c:v>0.48</c:v>
                </c:pt>
                <c:pt idx="573">
                  <c:v>0.45</c:v>
                </c:pt>
                <c:pt idx="574">
                  <c:v>0.45</c:v>
                </c:pt>
                <c:pt idx="575">
                  <c:v>0.46</c:v>
                </c:pt>
                <c:pt idx="576">
                  <c:v>0.48</c:v>
                </c:pt>
                <c:pt idx="577">
                  <c:v>0.48</c:v>
                </c:pt>
                <c:pt idx="578">
                  <c:v>0.47</c:v>
                </c:pt>
                <c:pt idx="579">
                  <c:v>0.45</c:v>
                </c:pt>
                <c:pt idx="580">
                  <c:v>0.44</c:v>
                </c:pt>
                <c:pt idx="581">
                  <c:v>0.44</c:v>
                </c:pt>
                <c:pt idx="582">
                  <c:v>0.46</c:v>
                </c:pt>
                <c:pt idx="583">
                  <c:v>0.44</c:v>
                </c:pt>
                <c:pt idx="584">
                  <c:v>0.42</c:v>
                </c:pt>
                <c:pt idx="585">
                  <c:v>0.41</c:v>
                </c:pt>
                <c:pt idx="586">
                  <c:v>0.44</c:v>
                </c:pt>
                <c:pt idx="587">
                  <c:v>0.42</c:v>
                </c:pt>
                <c:pt idx="588">
                  <c:v>0.47</c:v>
                </c:pt>
                <c:pt idx="589">
                  <c:v>0.39</c:v>
                </c:pt>
                <c:pt idx="590">
                  <c:v>0.37</c:v>
                </c:pt>
                <c:pt idx="591">
                  <c:v>0.36</c:v>
                </c:pt>
                <c:pt idx="592">
                  <c:v>0.3</c:v>
                </c:pt>
                <c:pt idx="593">
                  <c:v>0.25</c:v>
                </c:pt>
                <c:pt idx="594">
                  <c:v>0.21</c:v>
                </c:pt>
                <c:pt idx="595">
                  <c:v>0.2</c:v>
                </c:pt>
                <c:pt idx="596">
                  <c:v>0.19</c:v>
                </c:pt>
                <c:pt idx="597">
                  <c:v>0.2</c:v>
                </c:pt>
                <c:pt idx="598">
                  <c:v>0.2</c:v>
                </c:pt>
                <c:pt idx="599">
                  <c:v>0.2</c:v>
                </c:pt>
                <c:pt idx="600">
                  <c:v>0.2</c:v>
                </c:pt>
                <c:pt idx="601">
                  <c:v>0.2</c:v>
                </c:pt>
                <c:pt idx="602">
                  <c:v>0.21</c:v>
                </c:pt>
                <c:pt idx="603">
                  <c:v>0.23</c:v>
                </c:pt>
                <c:pt idx="604">
                  <c:v>0.25</c:v>
                </c:pt>
                <c:pt idx="605">
                  <c:v>0.27</c:v>
                </c:pt>
                <c:pt idx="606">
                  <c:v>0.28000000000000003</c:v>
                </c:pt>
                <c:pt idx="607">
                  <c:v>0.3</c:v>
                </c:pt>
                <c:pt idx="608">
                  <c:v>0.34</c:v>
                </c:pt>
                <c:pt idx="609">
                  <c:v>0.38</c:v>
                </c:pt>
                <c:pt idx="610">
                  <c:v>0.4</c:v>
                </c:pt>
                <c:pt idx="611">
                  <c:v>0.42</c:v>
                </c:pt>
                <c:pt idx="612">
                  <c:v>0.42</c:v>
                </c:pt>
                <c:pt idx="613">
                  <c:v>0.41</c:v>
                </c:pt>
                <c:pt idx="614">
                  <c:v>0.41</c:v>
                </c:pt>
                <c:pt idx="615">
                  <c:v>0.38</c:v>
                </c:pt>
                <c:pt idx="616">
                  <c:v>0.35</c:v>
                </c:pt>
                <c:pt idx="617">
                  <c:v>0.32</c:v>
                </c:pt>
                <c:pt idx="618">
                  <c:v>0.32</c:v>
                </c:pt>
                <c:pt idx="619">
                  <c:v>0.32</c:v>
                </c:pt>
                <c:pt idx="620">
                  <c:v>0.34</c:v>
                </c:pt>
                <c:pt idx="621">
                  <c:v>0.36</c:v>
                </c:pt>
                <c:pt idx="622">
                  <c:v>0.4</c:v>
                </c:pt>
                <c:pt idx="623">
                  <c:v>0.44</c:v>
                </c:pt>
                <c:pt idx="624">
                  <c:v>0.45</c:v>
                </c:pt>
                <c:pt idx="625">
                  <c:v>0.44</c:v>
                </c:pt>
                <c:pt idx="626">
                  <c:v>0.44</c:v>
                </c:pt>
                <c:pt idx="627">
                  <c:v>0.45</c:v>
                </c:pt>
                <c:pt idx="628">
                  <c:v>0.44</c:v>
                </c:pt>
                <c:pt idx="629">
                  <c:v>0.42</c:v>
                </c:pt>
                <c:pt idx="630">
                  <c:v>0.34</c:v>
                </c:pt>
                <c:pt idx="631">
                  <c:v>0.37</c:v>
                </c:pt>
                <c:pt idx="632">
                  <c:v>0.34</c:v>
                </c:pt>
                <c:pt idx="633">
                  <c:v>0.36</c:v>
                </c:pt>
                <c:pt idx="634">
                  <c:v>0.32</c:v>
                </c:pt>
                <c:pt idx="635">
                  <c:v>0.31</c:v>
                </c:pt>
                <c:pt idx="636">
                  <c:v>0.31</c:v>
                </c:pt>
                <c:pt idx="637">
                  <c:v>0.3</c:v>
                </c:pt>
                <c:pt idx="638">
                  <c:v>0.31</c:v>
                </c:pt>
                <c:pt idx="639">
                  <c:v>0.31</c:v>
                </c:pt>
                <c:pt idx="640">
                  <c:v>0.31</c:v>
                </c:pt>
                <c:pt idx="641">
                  <c:v>0.31</c:v>
                </c:pt>
                <c:pt idx="642">
                  <c:v>0.33</c:v>
                </c:pt>
                <c:pt idx="643">
                  <c:v>0.36</c:v>
                </c:pt>
                <c:pt idx="644">
                  <c:v>0.39</c:v>
                </c:pt>
                <c:pt idx="645">
                  <c:v>0.41</c:v>
                </c:pt>
                <c:pt idx="646">
                  <c:v>0.45</c:v>
                </c:pt>
                <c:pt idx="647">
                  <c:v>0.52</c:v>
                </c:pt>
                <c:pt idx="648">
                  <c:v>0.59</c:v>
                </c:pt>
                <c:pt idx="649">
                  <c:v>0.56999999999999995</c:v>
                </c:pt>
                <c:pt idx="650">
                  <c:v>0.64</c:v>
                </c:pt>
                <c:pt idx="651">
                  <c:v>0.65</c:v>
                </c:pt>
                <c:pt idx="652">
                  <c:v>0.7</c:v>
                </c:pt>
                <c:pt idx="653">
                  <c:v>0.62</c:v>
                </c:pt>
                <c:pt idx="654">
                  <c:v>0.68</c:v>
                </c:pt>
                <c:pt idx="655">
                  <c:v>0.57999999999999996</c:v>
                </c:pt>
                <c:pt idx="656">
                  <c:v>0.51</c:v>
                </c:pt>
                <c:pt idx="657">
                  <c:v>0.52</c:v>
                </c:pt>
                <c:pt idx="658">
                  <c:v>0.56999999999999995</c:v>
                </c:pt>
                <c:pt idx="659">
                  <c:v>0.56999999999999995</c:v>
                </c:pt>
                <c:pt idx="660">
                  <c:v>0.51</c:v>
                </c:pt>
                <c:pt idx="661">
                  <c:v>0.5</c:v>
                </c:pt>
                <c:pt idx="662">
                  <c:v>0.53</c:v>
                </c:pt>
                <c:pt idx="663">
                  <c:v>0.53</c:v>
                </c:pt>
                <c:pt idx="664">
                  <c:v>0.54</c:v>
                </c:pt>
                <c:pt idx="665">
                  <c:v>0.52</c:v>
                </c:pt>
                <c:pt idx="666">
                  <c:v>0.51</c:v>
                </c:pt>
                <c:pt idx="667">
                  <c:v>0.54</c:v>
                </c:pt>
                <c:pt idx="668">
                  <c:v>0.53</c:v>
                </c:pt>
                <c:pt idx="669">
                  <c:v>0.56000000000000005</c:v>
                </c:pt>
                <c:pt idx="670">
                  <c:v>0.49</c:v>
                </c:pt>
                <c:pt idx="671">
                  <c:v>0.52</c:v>
                </c:pt>
                <c:pt idx="672">
                  <c:v>0.61</c:v>
                </c:pt>
                <c:pt idx="673">
                  <c:v>0.64</c:v>
                </c:pt>
                <c:pt idx="674">
                  <c:v>0.59</c:v>
                </c:pt>
                <c:pt idx="675">
                  <c:v>0.57999999999999996</c:v>
                </c:pt>
                <c:pt idx="676">
                  <c:v>0.57999999999999996</c:v>
                </c:pt>
                <c:pt idx="677">
                  <c:v>0.62</c:v>
                </c:pt>
                <c:pt idx="678">
                  <c:v>0.75</c:v>
                </c:pt>
                <c:pt idx="679">
                  <c:v>0.73</c:v>
                </c:pt>
                <c:pt idx="680">
                  <c:v>0.72</c:v>
                </c:pt>
                <c:pt idx="681">
                  <c:v>0.73</c:v>
                </c:pt>
                <c:pt idx="682">
                  <c:v>0.7</c:v>
                </c:pt>
                <c:pt idx="683">
                  <c:v>0.65</c:v>
                </c:pt>
                <c:pt idx="684">
                  <c:v>0.64</c:v>
                </c:pt>
                <c:pt idx="685">
                  <c:v>0.61</c:v>
                </c:pt>
                <c:pt idx="686">
                  <c:v>0.56999999999999995</c:v>
                </c:pt>
                <c:pt idx="687">
                  <c:v>0.56999999999999995</c:v>
                </c:pt>
                <c:pt idx="688">
                  <c:v>0.56999999999999995</c:v>
                </c:pt>
                <c:pt idx="689">
                  <c:v>0.56999999999999995</c:v>
                </c:pt>
                <c:pt idx="690">
                  <c:v>0.56000000000000005</c:v>
                </c:pt>
                <c:pt idx="691">
                  <c:v>0.57999999999999996</c:v>
                </c:pt>
                <c:pt idx="692">
                  <c:v>0.57999999999999996</c:v>
                </c:pt>
                <c:pt idx="693">
                  <c:v>0.57999999999999996</c:v>
                </c:pt>
                <c:pt idx="694">
                  <c:v>0.61</c:v>
                </c:pt>
                <c:pt idx="695">
                  <c:v>0.62</c:v>
                </c:pt>
                <c:pt idx="696">
                  <c:v>0.56000000000000005</c:v>
                </c:pt>
                <c:pt idx="697">
                  <c:v>0.51</c:v>
                </c:pt>
                <c:pt idx="698">
                  <c:v>0.56000000000000005</c:v>
                </c:pt>
                <c:pt idx="699">
                  <c:v>0.53</c:v>
                </c:pt>
                <c:pt idx="700">
                  <c:v>0.53</c:v>
                </c:pt>
                <c:pt idx="701">
                  <c:v>0.47</c:v>
                </c:pt>
                <c:pt idx="702">
                  <c:v>0.53</c:v>
                </c:pt>
                <c:pt idx="703">
                  <c:v>0.5</c:v>
                </c:pt>
                <c:pt idx="704">
                  <c:v>0.46</c:v>
                </c:pt>
                <c:pt idx="705">
                  <c:v>0.45</c:v>
                </c:pt>
                <c:pt idx="706">
                  <c:v>0.44</c:v>
                </c:pt>
                <c:pt idx="707">
                  <c:v>0.44</c:v>
                </c:pt>
                <c:pt idx="708">
                  <c:v>0.44</c:v>
                </c:pt>
                <c:pt idx="709">
                  <c:v>0.44</c:v>
                </c:pt>
                <c:pt idx="710">
                  <c:v>0.4</c:v>
                </c:pt>
                <c:pt idx="711">
                  <c:v>0.42</c:v>
                </c:pt>
                <c:pt idx="712">
                  <c:v>0.47</c:v>
                </c:pt>
                <c:pt idx="713">
                  <c:v>0.48</c:v>
                </c:pt>
                <c:pt idx="714">
                  <c:v>0.44</c:v>
                </c:pt>
                <c:pt idx="715">
                  <c:v>0.46</c:v>
                </c:pt>
                <c:pt idx="716">
                  <c:v>0.48</c:v>
                </c:pt>
                <c:pt idx="717">
                  <c:v>0.55000000000000004</c:v>
                </c:pt>
                <c:pt idx="718">
                  <c:v>0.54</c:v>
                </c:pt>
                <c:pt idx="719">
                  <c:v>0.54</c:v>
                </c:pt>
                <c:pt idx="720">
                  <c:v>0.53</c:v>
                </c:pt>
                <c:pt idx="721">
                  <c:v>0.52</c:v>
                </c:pt>
                <c:pt idx="722">
                  <c:v>0.53</c:v>
                </c:pt>
                <c:pt idx="723">
                  <c:v>0.54</c:v>
                </c:pt>
                <c:pt idx="724">
                  <c:v>0.55000000000000004</c:v>
                </c:pt>
                <c:pt idx="725">
                  <c:v>0.54</c:v>
                </c:pt>
                <c:pt idx="726">
                  <c:v>0.52</c:v>
                </c:pt>
                <c:pt idx="727">
                  <c:v>0.52</c:v>
                </c:pt>
                <c:pt idx="728">
                  <c:v>0.52</c:v>
                </c:pt>
                <c:pt idx="729">
                  <c:v>0.54</c:v>
                </c:pt>
                <c:pt idx="730">
                  <c:v>0.48</c:v>
                </c:pt>
                <c:pt idx="731">
                  <c:v>0.49</c:v>
                </c:pt>
                <c:pt idx="732">
                  <c:v>0.56000000000000005</c:v>
                </c:pt>
                <c:pt idx="733">
                  <c:v>0.55000000000000004</c:v>
                </c:pt>
                <c:pt idx="734">
                  <c:v>0.55000000000000004</c:v>
                </c:pt>
                <c:pt idx="735">
                  <c:v>0.56999999999999995</c:v>
                </c:pt>
                <c:pt idx="736">
                  <c:v>0.57999999999999996</c:v>
                </c:pt>
                <c:pt idx="737">
                  <c:v>0.56000000000000005</c:v>
                </c:pt>
                <c:pt idx="738">
                  <c:v>0.53</c:v>
                </c:pt>
                <c:pt idx="739">
                  <c:v>0.53</c:v>
                </c:pt>
                <c:pt idx="740">
                  <c:v>0.52</c:v>
                </c:pt>
                <c:pt idx="741">
                  <c:v>0.51</c:v>
                </c:pt>
                <c:pt idx="742">
                  <c:v>0.53</c:v>
                </c:pt>
                <c:pt idx="743">
                  <c:v>0.54</c:v>
                </c:pt>
                <c:pt idx="744">
                  <c:v>0.52</c:v>
                </c:pt>
                <c:pt idx="745">
                  <c:v>0.54</c:v>
                </c:pt>
                <c:pt idx="746">
                  <c:v>0.56000000000000005</c:v>
                </c:pt>
                <c:pt idx="747">
                  <c:v>0.56999999999999995</c:v>
                </c:pt>
                <c:pt idx="748">
                  <c:v>0.57999999999999996</c:v>
                </c:pt>
                <c:pt idx="749">
                  <c:v>0.6</c:v>
                </c:pt>
                <c:pt idx="750">
                  <c:v>0.63</c:v>
                </c:pt>
                <c:pt idx="751">
                  <c:v>0.64</c:v>
                </c:pt>
                <c:pt idx="752">
                  <c:v>0.57999999999999996</c:v>
                </c:pt>
                <c:pt idx="753">
                  <c:v>0.68</c:v>
                </c:pt>
                <c:pt idx="754">
                  <c:v>0.7</c:v>
                </c:pt>
                <c:pt idx="755">
                  <c:v>0.68</c:v>
                </c:pt>
                <c:pt idx="756">
                  <c:v>0.68</c:v>
                </c:pt>
                <c:pt idx="757">
                  <c:v>0.67</c:v>
                </c:pt>
                <c:pt idx="758">
                  <c:v>0.57999999999999996</c:v>
                </c:pt>
                <c:pt idx="759">
                  <c:v>0.55000000000000004</c:v>
                </c:pt>
                <c:pt idx="760">
                  <c:v>0.57999999999999996</c:v>
                </c:pt>
                <c:pt idx="761">
                  <c:v>0.54</c:v>
                </c:pt>
                <c:pt idx="762">
                  <c:v>0.53</c:v>
                </c:pt>
                <c:pt idx="763">
                  <c:v>0.48</c:v>
                </c:pt>
                <c:pt idx="764">
                  <c:v>0.54</c:v>
                </c:pt>
                <c:pt idx="765">
                  <c:v>0.54</c:v>
                </c:pt>
                <c:pt idx="766">
                  <c:v>0.55000000000000004</c:v>
                </c:pt>
                <c:pt idx="767">
                  <c:v>0.53</c:v>
                </c:pt>
                <c:pt idx="768">
                  <c:v>0.53</c:v>
                </c:pt>
                <c:pt idx="769">
                  <c:v>0.51</c:v>
                </c:pt>
                <c:pt idx="770">
                  <c:v>0.48</c:v>
                </c:pt>
                <c:pt idx="771">
                  <c:v>0.46</c:v>
                </c:pt>
                <c:pt idx="772">
                  <c:v>0.44</c:v>
                </c:pt>
                <c:pt idx="773">
                  <c:v>0.44</c:v>
                </c:pt>
                <c:pt idx="774">
                  <c:v>0.46</c:v>
                </c:pt>
                <c:pt idx="775">
                  <c:v>0.47</c:v>
                </c:pt>
                <c:pt idx="776">
                  <c:v>0.49</c:v>
                </c:pt>
                <c:pt idx="777">
                  <c:v>0.5</c:v>
                </c:pt>
                <c:pt idx="778">
                  <c:v>0.52</c:v>
                </c:pt>
                <c:pt idx="779">
                  <c:v>0.54</c:v>
                </c:pt>
                <c:pt idx="780">
                  <c:v>0.55000000000000004</c:v>
                </c:pt>
                <c:pt idx="781">
                  <c:v>0.55000000000000004</c:v>
                </c:pt>
                <c:pt idx="782">
                  <c:v>0.55000000000000004</c:v>
                </c:pt>
                <c:pt idx="783">
                  <c:v>0.51</c:v>
                </c:pt>
                <c:pt idx="784">
                  <c:v>0.55000000000000004</c:v>
                </c:pt>
                <c:pt idx="785">
                  <c:v>0.52</c:v>
                </c:pt>
                <c:pt idx="786">
                  <c:v>0.49</c:v>
                </c:pt>
                <c:pt idx="787">
                  <c:v>0.47</c:v>
                </c:pt>
                <c:pt idx="788">
                  <c:v>0.42</c:v>
                </c:pt>
                <c:pt idx="789">
                  <c:v>0.37</c:v>
                </c:pt>
                <c:pt idx="790">
                  <c:v>0.36</c:v>
                </c:pt>
                <c:pt idx="791">
                  <c:v>0.36</c:v>
                </c:pt>
                <c:pt idx="792">
                  <c:v>0.36</c:v>
                </c:pt>
                <c:pt idx="793">
                  <c:v>0.35</c:v>
                </c:pt>
                <c:pt idx="794">
                  <c:v>0.34</c:v>
                </c:pt>
                <c:pt idx="795">
                  <c:v>0.33</c:v>
                </c:pt>
                <c:pt idx="796">
                  <c:v>0.34</c:v>
                </c:pt>
                <c:pt idx="797">
                  <c:v>0.35</c:v>
                </c:pt>
                <c:pt idx="798">
                  <c:v>0.36</c:v>
                </c:pt>
                <c:pt idx="799">
                  <c:v>0.36</c:v>
                </c:pt>
                <c:pt idx="800">
                  <c:v>0.36</c:v>
                </c:pt>
                <c:pt idx="801">
                  <c:v>0.36</c:v>
                </c:pt>
                <c:pt idx="802">
                  <c:v>0.37</c:v>
                </c:pt>
                <c:pt idx="803">
                  <c:v>0.37</c:v>
                </c:pt>
                <c:pt idx="804">
                  <c:v>0.37</c:v>
                </c:pt>
                <c:pt idx="805">
                  <c:v>0.37</c:v>
                </c:pt>
                <c:pt idx="806">
                  <c:v>0.38</c:v>
                </c:pt>
                <c:pt idx="807">
                  <c:v>0.39</c:v>
                </c:pt>
                <c:pt idx="808">
                  <c:v>0.4</c:v>
                </c:pt>
                <c:pt idx="809">
                  <c:v>0.4</c:v>
                </c:pt>
                <c:pt idx="810">
                  <c:v>0.42</c:v>
                </c:pt>
                <c:pt idx="811">
                  <c:v>0.44</c:v>
                </c:pt>
                <c:pt idx="812">
                  <c:v>0.46</c:v>
                </c:pt>
                <c:pt idx="813">
                  <c:v>0.48</c:v>
                </c:pt>
                <c:pt idx="814">
                  <c:v>0.48</c:v>
                </c:pt>
                <c:pt idx="815">
                  <c:v>0.49</c:v>
                </c:pt>
                <c:pt idx="816">
                  <c:v>0.49</c:v>
                </c:pt>
                <c:pt idx="817">
                  <c:v>0.48</c:v>
                </c:pt>
                <c:pt idx="818">
                  <c:v>0.46</c:v>
                </c:pt>
                <c:pt idx="819">
                  <c:v>0.39</c:v>
                </c:pt>
                <c:pt idx="820">
                  <c:v>0.43</c:v>
                </c:pt>
                <c:pt idx="821">
                  <c:v>0.42</c:v>
                </c:pt>
                <c:pt idx="822">
                  <c:v>0.42</c:v>
                </c:pt>
                <c:pt idx="823">
                  <c:v>0.37</c:v>
                </c:pt>
                <c:pt idx="824">
                  <c:v>0.42</c:v>
                </c:pt>
                <c:pt idx="825">
                  <c:v>0.43</c:v>
                </c:pt>
                <c:pt idx="826">
                  <c:v>0.44</c:v>
                </c:pt>
                <c:pt idx="827">
                  <c:v>0.45</c:v>
                </c:pt>
                <c:pt idx="828">
                  <c:v>0.45</c:v>
                </c:pt>
                <c:pt idx="829">
                  <c:v>0.45</c:v>
                </c:pt>
                <c:pt idx="830">
                  <c:v>0.44</c:v>
                </c:pt>
                <c:pt idx="831">
                  <c:v>0.45</c:v>
                </c:pt>
                <c:pt idx="832">
                  <c:v>0.43</c:v>
                </c:pt>
                <c:pt idx="833">
                  <c:v>0.41</c:v>
                </c:pt>
                <c:pt idx="834">
                  <c:v>0.41</c:v>
                </c:pt>
                <c:pt idx="835">
                  <c:v>0.4</c:v>
                </c:pt>
                <c:pt idx="836">
                  <c:v>0.41</c:v>
                </c:pt>
                <c:pt idx="837">
                  <c:v>0.42</c:v>
                </c:pt>
                <c:pt idx="838">
                  <c:v>0.42</c:v>
                </c:pt>
                <c:pt idx="839">
                  <c:v>0.41</c:v>
                </c:pt>
                <c:pt idx="840">
                  <c:v>0.4</c:v>
                </c:pt>
                <c:pt idx="841">
                  <c:v>0.4</c:v>
                </c:pt>
                <c:pt idx="842">
                  <c:v>0.39</c:v>
                </c:pt>
                <c:pt idx="843">
                  <c:v>0.37</c:v>
                </c:pt>
                <c:pt idx="844">
                  <c:v>0.35</c:v>
                </c:pt>
                <c:pt idx="845">
                  <c:v>0.35</c:v>
                </c:pt>
                <c:pt idx="846">
                  <c:v>0.36</c:v>
                </c:pt>
                <c:pt idx="847">
                  <c:v>0.35</c:v>
                </c:pt>
                <c:pt idx="848">
                  <c:v>0.35</c:v>
                </c:pt>
                <c:pt idx="849">
                  <c:v>0.36</c:v>
                </c:pt>
                <c:pt idx="850">
                  <c:v>0.36</c:v>
                </c:pt>
                <c:pt idx="851">
                  <c:v>0.35</c:v>
                </c:pt>
                <c:pt idx="852">
                  <c:v>0.36</c:v>
                </c:pt>
                <c:pt idx="853">
                  <c:v>0.37</c:v>
                </c:pt>
                <c:pt idx="854">
                  <c:v>0.37</c:v>
                </c:pt>
                <c:pt idx="855">
                  <c:v>0.37</c:v>
                </c:pt>
                <c:pt idx="856">
                  <c:v>0.38</c:v>
                </c:pt>
                <c:pt idx="857">
                  <c:v>0.39</c:v>
                </c:pt>
                <c:pt idx="858">
                  <c:v>0.39</c:v>
                </c:pt>
                <c:pt idx="859">
                  <c:v>0.4</c:v>
                </c:pt>
                <c:pt idx="860">
                  <c:v>0.41</c:v>
                </c:pt>
                <c:pt idx="861">
                  <c:v>0.43</c:v>
                </c:pt>
                <c:pt idx="862">
                  <c:v>0.44</c:v>
                </c:pt>
                <c:pt idx="863">
                  <c:v>0.44</c:v>
                </c:pt>
                <c:pt idx="864">
                  <c:v>0.44</c:v>
                </c:pt>
                <c:pt idx="865">
                  <c:v>0.45</c:v>
                </c:pt>
                <c:pt idx="866">
                  <c:v>0.45</c:v>
                </c:pt>
                <c:pt idx="867">
                  <c:v>0.44</c:v>
                </c:pt>
                <c:pt idx="868">
                  <c:v>0.46</c:v>
                </c:pt>
                <c:pt idx="869">
                  <c:v>0.47</c:v>
                </c:pt>
                <c:pt idx="870">
                  <c:v>0.49</c:v>
                </c:pt>
                <c:pt idx="871">
                  <c:v>0.51</c:v>
                </c:pt>
                <c:pt idx="872">
                  <c:v>0.52</c:v>
                </c:pt>
                <c:pt idx="873">
                  <c:v>0.53</c:v>
                </c:pt>
                <c:pt idx="874">
                  <c:v>0.52</c:v>
                </c:pt>
                <c:pt idx="875">
                  <c:v>0.54</c:v>
                </c:pt>
                <c:pt idx="876">
                  <c:v>0.53</c:v>
                </c:pt>
                <c:pt idx="877">
                  <c:v>0.54</c:v>
                </c:pt>
                <c:pt idx="878">
                  <c:v>0.56999999999999995</c:v>
                </c:pt>
                <c:pt idx="879">
                  <c:v>0.51</c:v>
                </c:pt>
                <c:pt idx="880">
                  <c:v>0.56000000000000005</c:v>
                </c:pt>
                <c:pt idx="881">
                  <c:v>0.49</c:v>
                </c:pt>
                <c:pt idx="882">
                  <c:v>0.48</c:v>
                </c:pt>
                <c:pt idx="883">
                  <c:v>0.52</c:v>
                </c:pt>
                <c:pt idx="884">
                  <c:v>0.52</c:v>
                </c:pt>
                <c:pt idx="885">
                  <c:v>0.52</c:v>
                </c:pt>
                <c:pt idx="886">
                  <c:v>0.53</c:v>
                </c:pt>
                <c:pt idx="887">
                  <c:v>0.53</c:v>
                </c:pt>
                <c:pt idx="888">
                  <c:v>0.54</c:v>
                </c:pt>
                <c:pt idx="889">
                  <c:v>0.55000000000000004</c:v>
                </c:pt>
                <c:pt idx="890">
                  <c:v>0.56000000000000005</c:v>
                </c:pt>
                <c:pt idx="891">
                  <c:v>0.54</c:v>
                </c:pt>
                <c:pt idx="892">
                  <c:v>0.51</c:v>
                </c:pt>
                <c:pt idx="893">
                  <c:v>0.49</c:v>
                </c:pt>
                <c:pt idx="894">
                  <c:v>0.5</c:v>
                </c:pt>
                <c:pt idx="895">
                  <c:v>0.51</c:v>
                </c:pt>
                <c:pt idx="896">
                  <c:v>0.52</c:v>
                </c:pt>
                <c:pt idx="897">
                  <c:v>0.51</c:v>
                </c:pt>
                <c:pt idx="898">
                  <c:v>0.51</c:v>
                </c:pt>
                <c:pt idx="899">
                  <c:v>0.55000000000000004</c:v>
                </c:pt>
                <c:pt idx="900">
                  <c:v>0.56000000000000005</c:v>
                </c:pt>
                <c:pt idx="901">
                  <c:v>0.53</c:v>
                </c:pt>
                <c:pt idx="902">
                  <c:v>0.52</c:v>
                </c:pt>
                <c:pt idx="903">
                  <c:v>0.53</c:v>
                </c:pt>
                <c:pt idx="904">
                  <c:v>0.53</c:v>
                </c:pt>
                <c:pt idx="905">
                  <c:v>0.5</c:v>
                </c:pt>
                <c:pt idx="906">
                  <c:v>0.5</c:v>
                </c:pt>
                <c:pt idx="907">
                  <c:v>0.5</c:v>
                </c:pt>
                <c:pt idx="908">
                  <c:v>0.52</c:v>
                </c:pt>
                <c:pt idx="909">
                  <c:v>0.52</c:v>
                </c:pt>
                <c:pt idx="910">
                  <c:v>0.47</c:v>
                </c:pt>
                <c:pt idx="911">
                  <c:v>0.43</c:v>
                </c:pt>
                <c:pt idx="912">
                  <c:v>0.42</c:v>
                </c:pt>
                <c:pt idx="913">
                  <c:v>0.41</c:v>
                </c:pt>
                <c:pt idx="914">
                  <c:v>0.41</c:v>
                </c:pt>
                <c:pt idx="915">
                  <c:v>0.39</c:v>
                </c:pt>
                <c:pt idx="916">
                  <c:v>0.37</c:v>
                </c:pt>
                <c:pt idx="917">
                  <c:v>0.32</c:v>
                </c:pt>
                <c:pt idx="918">
                  <c:v>0.28999999999999998</c:v>
                </c:pt>
                <c:pt idx="919">
                  <c:v>0.26</c:v>
                </c:pt>
                <c:pt idx="920">
                  <c:v>0.22</c:v>
                </c:pt>
                <c:pt idx="921">
                  <c:v>0.21</c:v>
                </c:pt>
                <c:pt idx="922">
                  <c:v>0.2</c:v>
                </c:pt>
                <c:pt idx="923">
                  <c:v>0.2</c:v>
                </c:pt>
                <c:pt idx="924">
                  <c:v>0.2</c:v>
                </c:pt>
                <c:pt idx="925">
                  <c:v>0.21</c:v>
                </c:pt>
                <c:pt idx="926">
                  <c:v>0.21</c:v>
                </c:pt>
                <c:pt idx="927">
                  <c:v>0.2</c:v>
                </c:pt>
                <c:pt idx="928">
                  <c:v>0.2</c:v>
                </c:pt>
                <c:pt idx="929">
                  <c:v>0.2</c:v>
                </c:pt>
                <c:pt idx="930">
                  <c:v>0.2</c:v>
                </c:pt>
                <c:pt idx="931">
                  <c:v>0.2</c:v>
                </c:pt>
                <c:pt idx="932">
                  <c:v>0.19</c:v>
                </c:pt>
                <c:pt idx="933">
                  <c:v>0.2</c:v>
                </c:pt>
                <c:pt idx="934">
                  <c:v>0.19</c:v>
                </c:pt>
                <c:pt idx="935">
                  <c:v>0.19</c:v>
                </c:pt>
                <c:pt idx="936">
                  <c:v>0.2</c:v>
                </c:pt>
                <c:pt idx="937">
                  <c:v>0.2</c:v>
                </c:pt>
                <c:pt idx="938">
                  <c:v>0.2</c:v>
                </c:pt>
                <c:pt idx="939">
                  <c:v>0.2</c:v>
                </c:pt>
                <c:pt idx="940">
                  <c:v>0.2</c:v>
                </c:pt>
                <c:pt idx="941">
                  <c:v>0.2</c:v>
                </c:pt>
                <c:pt idx="942">
                  <c:v>0.2</c:v>
                </c:pt>
                <c:pt idx="943">
                  <c:v>0.2</c:v>
                </c:pt>
                <c:pt idx="944">
                  <c:v>0.2</c:v>
                </c:pt>
                <c:pt idx="945">
                  <c:v>0.2</c:v>
                </c:pt>
                <c:pt idx="946">
                  <c:v>0.21</c:v>
                </c:pt>
                <c:pt idx="947">
                  <c:v>0.21</c:v>
                </c:pt>
                <c:pt idx="948">
                  <c:v>0.2</c:v>
                </c:pt>
                <c:pt idx="949">
                  <c:v>0.2</c:v>
                </c:pt>
                <c:pt idx="950">
                  <c:v>0.21</c:v>
                </c:pt>
                <c:pt idx="951">
                  <c:v>0.21</c:v>
                </c:pt>
                <c:pt idx="952">
                  <c:v>0.2</c:v>
                </c:pt>
                <c:pt idx="953">
                  <c:v>0.21</c:v>
                </c:pt>
                <c:pt idx="954">
                  <c:v>0.22</c:v>
                </c:pt>
                <c:pt idx="955">
                  <c:v>0.22</c:v>
                </c:pt>
                <c:pt idx="956">
                  <c:v>0.23</c:v>
                </c:pt>
                <c:pt idx="957">
                  <c:v>0.26</c:v>
                </c:pt>
                <c:pt idx="958">
                  <c:v>0.26</c:v>
                </c:pt>
                <c:pt idx="959">
                  <c:v>0.26</c:v>
                </c:pt>
                <c:pt idx="960">
                  <c:v>0.25</c:v>
                </c:pt>
                <c:pt idx="961">
                  <c:v>0.25</c:v>
                </c:pt>
                <c:pt idx="962">
                  <c:v>0.26</c:v>
                </c:pt>
                <c:pt idx="963">
                  <c:v>0.26</c:v>
                </c:pt>
                <c:pt idx="964">
                  <c:v>0.25</c:v>
                </c:pt>
                <c:pt idx="965">
                  <c:v>0.24</c:v>
                </c:pt>
                <c:pt idx="966">
                  <c:v>0.24</c:v>
                </c:pt>
                <c:pt idx="967">
                  <c:v>0.23</c:v>
                </c:pt>
                <c:pt idx="968">
                  <c:v>0.24</c:v>
                </c:pt>
                <c:pt idx="969">
                  <c:v>0.24</c:v>
                </c:pt>
                <c:pt idx="970">
                  <c:v>0.23</c:v>
                </c:pt>
                <c:pt idx="971">
                  <c:v>0.23</c:v>
                </c:pt>
                <c:pt idx="972">
                  <c:v>0.24</c:v>
                </c:pt>
                <c:pt idx="973">
                  <c:v>0.25</c:v>
                </c:pt>
                <c:pt idx="974">
                  <c:v>0.26</c:v>
                </c:pt>
                <c:pt idx="975">
                  <c:v>0.26</c:v>
                </c:pt>
                <c:pt idx="976">
                  <c:v>0.26</c:v>
                </c:pt>
                <c:pt idx="977">
                  <c:v>0.26</c:v>
                </c:pt>
                <c:pt idx="978">
                  <c:v>0.28000000000000003</c:v>
                </c:pt>
                <c:pt idx="979">
                  <c:v>0.27</c:v>
                </c:pt>
                <c:pt idx="980">
                  <c:v>0.28000000000000003</c:v>
                </c:pt>
                <c:pt idx="981">
                  <c:v>0.28000000000000003</c:v>
                </c:pt>
                <c:pt idx="982">
                  <c:v>0.28999999999999998</c:v>
                </c:pt>
                <c:pt idx="983">
                  <c:v>0.31</c:v>
                </c:pt>
                <c:pt idx="984">
                  <c:v>0.34</c:v>
                </c:pt>
                <c:pt idx="985">
                  <c:v>0.38</c:v>
                </c:pt>
                <c:pt idx="986">
                  <c:v>0.4</c:v>
                </c:pt>
                <c:pt idx="987">
                  <c:v>0.4</c:v>
                </c:pt>
                <c:pt idx="988">
                  <c:v>0.41</c:v>
                </c:pt>
                <c:pt idx="989">
                  <c:v>0.43</c:v>
                </c:pt>
                <c:pt idx="990">
                  <c:v>0.43</c:v>
                </c:pt>
                <c:pt idx="991">
                  <c:v>0.42</c:v>
                </c:pt>
                <c:pt idx="992">
                  <c:v>0.43</c:v>
                </c:pt>
                <c:pt idx="993">
                  <c:v>0.44</c:v>
                </c:pt>
                <c:pt idx="994">
                  <c:v>0.46</c:v>
                </c:pt>
                <c:pt idx="995">
                  <c:v>0.48</c:v>
                </c:pt>
                <c:pt idx="996">
                  <c:v>0.5</c:v>
                </c:pt>
                <c:pt idx="997">
                  <c:v>0.49</c:v>
                </c:pt>
                <c:pt idx="998">
                  <c:v>0.51</c:v>
                </c:pt>
                <c:pt idx="999">
                  <c:v>0.53</c:v>
                </c:pt>
                <c:pt idx="1000">
                  <c:v>0.59</c:v>
                </c:pt>
                <c:pt idx="1001">
                  <c:v>0.63</c:v>
                </c:pt>
                <c:pt idx="1002">
                  <c:v>0.61</c:v>
                </c:pt>
                <c:pt idx="1003">
                  <c:v>0.61</c:v>
                </c:pt>
                <c:pt idx="1004">
                  <c:v>0.57999999999999996</c:v>
                </c:pt>
                <c:pt idx="1005">
                  <c:v>0.62</c:v>
                </c:pt>
                <c:pt idx="1006">
                  <c:v>0.66</c:v>
                </c:pt>
                <c:pt idx="1007">
                  <c:v>0.68</c:v>
                </c:pt>
                <c:pt idx="1008">
                  <c:v>0.68</c:v>
                </c:pt>
                <c:pt idx="1009">
                  <c:v>0.69</c:v>
                </c:pt>
                <c:pt idx="1010">
                  <c:v>0.65</c:v>
                </c:pt>
                <c:pt idx="1011">
                  <c:v>0.69</c:v>
                </c:pt>
                <c:pt idx="1012">
                  <c:v>0.7</c:v>
                </c:pt>
                <c:pt idx="1013">
                  <c:v>0.67</c:v>
                </c:pt>
                <c:pt idx="1014">
                  <c:v>0.62</c:v>
                </c:pt>
                <c:pt idx="1015">
                  <c:v>0.62</c:v>
                </c:pt>
                <c:pt idx="1016">
                  <c:v>0.62</c:v>
                </c:pt>
                <c:pt idx="1017">
                  <c:v>0.61</c:v>
                </c:pt>
                <c:pt idx="1018">
                  <c:v>0.6</c:v>
                </c:pt>
                <c:pt idx="1019">
                  <c:v>0.61</c:v>
                </c:pt>
                <c:pt idx="1020">
                  <c:v>0.61</c:v>
                </c:pt>
                <c:pt idx="1021">
                  <c:v>0.62</c:v>
                </c:pt>
                <c:pt idx="1022">
                  <c:v>0.67</c:v>
                </c:pt>
                <c:pt idx="1023">
                  <c:v>0.74</c:v>
                </c:pt>
                <c:pt idx="1024">
                  <c:v>0.79</c:v>
                </c:pt>
                <c:pt idx="1025">
                  <c:v>0.82</c:v>
                </c:pt>
                <c:pt idx="1026">
                  <c:v>0.91</c:v>
                </c:pt>
                <c:pt idx="1027">
                  <c:v>1</c:v>
                </c:pt>
                <c:pt idx="1028">
                  <c:v>1</c:v>
                </c:pt>
                <c:pt idx="1029">
                  <c:v>0.93</c:v>
                </c:pt>
                <c:pt idx="1030">
                  <c:v>0.91</c:v>
                </c:pt>
                <c:pt idx="1031">
                  <c:v>0.9</c:v>
                </c:pt>
                <c:pt idx="1032">
                  <c:v>0.9</c:v>
                </c:pt>
                <c:pt idx="1033">
                  <c:v>0.92</c:v>
                </c:pt>
                <c:pt idx="1034">
                  <c:v>0.85</c:v>
                </c:pt>
                <c:pt idx="1035">
                  <c:v>0.84</c:v>
                </c:pt>
                <c:pt idx="1036">
                  <c:v>0.84</c:v>
                </c:pt>
                <c:pt idx="1037">
                  <c:v>0.83</c:v>
                </c:pt>
                <c:pt idx="1038">
                  <c:v>0.82</c:v>
                </c:pt>
                <c:pt idx="1039">
                  <c:v>0.81</c:v>
                </c:pt>
                <c:pt idx="1040">
                  <c:v>0.79</c:v>
                </c:pt>
                <c:pt idx="1041">
                  <c:v>0.82</c:v>
                </c:pt>
                <c:pt idx="1042">
                  <c:v>0.85</c:v>
                </c:pt>
                <c:pt idx="1043">
                  <c:v>0.81</c:v>
                </c:pt>
                <c:pt idx="1044">
                  <c:v>0.78</c:v>
                </c:pt>
                <c:pt idx="1045">
                  <c:v>0.74</c:v>
                </c:pt>
                <c:pt idx="1046">
                  <c:v>0.7</c:v>
                </c:pt>
                <c:pt idx="1047">
                  <c:v>0.73</c:v>
                </c:pt>
                <c:pt idx="1048">
                  <c:v>0.78</c:v>
                </c:pt>
                <c:pt idx="1049">
                  <c:v>0.79</c:v>
                </c:pt>
                <c:pt idx="1050">
                  <c:v>0.75</c:v>
                </c:pt>
                <c:pt idx="1051">
                  <c:v>0.7</c:v>
                </c:pt>
                <c:pt idx="1052">
                  <c:v>0.68</c:v>
                </c:pt>
                <c:pt idx="1053">
                  <c:v>0.71</c:v>
                </c:pt>
                <c:pt idx="1054">
                  <c:v>0.81</c:v>
                </c:pt>
                <c:pt idx="1055">
                  <c:v>0.93</c:v>
                </c:pt>
                <c:pt idx="1056">
                  <c:v>0.93</c:v>
                </c:pt>
                <c:pt idx="1057">
                  <c:v>0.9</c:v>
                </c:pt>
                <c:pt idx="1058">
                  <c:v>0.87</c:v>
                </c:pt>
                <c:pt idx="1059">
                  <c:v>0.82</c:v>
                </c:pt>
                <c:pt idx="1060">
                  <c:v>0.79</c:v>
                </c:pt>
                <c:pt idx="1061">
                  <c:v>0.77</c:v>
                </c:pt>
                <c:pt idx="1062">
                  <c:v>0.73</c:v>
                </c:pt>
                <c:pt idx="1063">
                  <c:v>0.75</c:v>
                </c:pt>
                <c:pt idx="1064">
                  <c:v>0.75</c:v>
                </c:pt>
                <c:pt idx="1065">
                  <c:v>0.73</c:v>
                </c:pt>
                <c:pt idx="1066">
                  <c:v>0.65</c:v>
                </c:pt>
                <c:pt idx="1067">
                  <c:v>0.65</c:v>
                </c:pt>
                <c:pt idx="1068">
                  <c:v>0.65</c:v>
                </c:pt>
                <c:pt idx="1069">
                  <c:v>0.67</c:v>
                </c:pt>
                <c:pt idx="1070">
                  <c:v>0.76</c:v>
                </c:pt>
                <c:pt idx="1071">
                  <c:v>0.75</c:v>
                </c:pt>
                <c:pt idx="1072">
                  <c:v>0.76</c:v>
                </c:pt>
                <c:pt idx="1073">
                  <c:v>0.7</c:v>
                </c:pt>
                <c:pt idx="1074">
                  <c:v>0.68</c:v>
                </c:pt>
                <c:pt idx="1075">
                  <c:v>0.67</c:v>
                </c:pt>
                <c:pt idx="1076">
                  <c:v>0.66</c:v>
                </c:pt>
                <c:pt idx="1077">
                  <c:v>0.67</c:v>
                </c:pt>
                <c:pt idx="1078">
                  <c:v>0.68</c:v>
                </c:pt>
                <c:pt idx="1079">
                  <c:v>0.7</c:v>
                </c:pt>
                <c:pt idx="1080">
                  <c:v>0.74</c:v>
                </c:pt>
                <c:pt idx="1081">
                  <c:v>0.73</c:v>
                </c:pt>
                <c:pt idx="1082">
                  <c:v>0.79</c:v>
                </c:pt>
                <c:pt idx="1083">
                  <c:v>0.79</c:v>
                </c:pt>
                <c:pt idx="1084">
                  <c:v>0.77</c:v>
                </c:pt>
                <c:pt idx="1085">
                  <c:v>0.79</c:v>
                </c:pt>
                <c:pt idx="1086">
                  <c:v>0.79</c:v>
                </c:pt>
                <c:pt idx="1087">
                  <c:v>0.8</c:v>
                </c:pt>
                <c:pt idx="1088">
                  <c:v>0.79</c:v>
                </c:pt>
                <c:pt idx="1089">
                  <c:v>0.78</c:v>
                </c:pt>
                <c:pt idx="1090">
                  <c:v>0.77</c:v>
                </c:pt>
                <c:pt idx="1091">
                  <c:v>0.89</c:v>
                </c:pt>
                <c:pt idx="1092">
                  <c:v>0.79</c:v>
                </c:pt>
                <c:pt idx="1093">
                  <c:v>0.79</c:v>
                </c:pt>
                <c:pt idx="1094">
                  <c:v>0.8</c:v>
                </c:pt>
                <c:pt idx="1095">
                  <c:v>0.84</c:v>
                </c:pt>
                <c:pt idx="1096">
                  <c:v>0.78</c:v>
                </c:pt>
                <c:pt idx="1097">
                  <c:v>0.73</c:v>
                </c:pt>
                <c:pt idx="1098">
                  <c:v>0.71</c:v>
                </c:pt>
                <c:pt idx="1099">
                  <c:v>0.66</c:v>
                </c:pt>
                <c:pt idx="1100">
                  <c:v>0.67</c:v>
                </c:pt>
                <c:pt idx="1101">
                  <c:v>0.64</c:v>
                </c:pt>
                <c:pt idx="1102">
                  <c:v>0.61</c:v>
                </c:pt>
                <c:pt idx="1103">
                  <c:v>0.63</c:v>
                </c:pt>
                <c:pt idx="1104">
                  <c:v>0.64</c:v>
                </c:pt>
                <c:pt idx="1105">
                  <c:v>0.61</c:v>
                </c:pt>
                <c:pt idx="1106">
                  <c:v>0.57999999999999996</c:v>
                </c:pt>
                <c:pt idx="1107">
                  <c:v>0.56000000000000005</c:v>
                </c:pt>
                <c:pt idx="1108">
                  <c:v>0.56999999999999995</c:v>
                </c:pt>
                <c:pt idx="1109">
                  <c:v>0.56999999999999995</c:v>
                </c:pt>
                <c:pt idx="1110">
                  <c:v>0.59</c:v>
                </c:pt>
                <c:pt idx="1111">
                  <c:v>0.56999999999999995</c:v>
                </c:pt>
                <c:pt idx="1112">
                  <c:v>0.56999999999999995</c:v>
                </c:pt>
                <c:pt idx="1113">
                  <c:v>0.56999999999999995</c:v>
                </c:pt>
                <c:pt idx="1114">
                  <c:v>0.56999999999999995</c:v>
                </c:pt>
                <c:pt idx="1115">
                  <c:v>0.55000000000000004</c:v>
                </c:pt>
                <c:pt idx="1116">
                  <c:v>0.55000000000000004</c:v>
                </c:pt>
                <c:pt idx="1117">
                  <c:v>0.56000000000000005</c:v>
                </c:pt>
                <c:pt idx="1118">
                  <c:v>0.6</c:v>
                </c:pt>
                <c:pt idx="1119">
                  <c:v>0.62</c:v>
                </c:pt>
                <c:pt idx="1120">
                  <c:v>0.61</c:v>
                </c:pt>
                <c:pt idx="1121">
                  <c:v>0.63</c:v>
                </c:pt>
                <c:pt idx="1122">
                  <c:v>0.61</c:v>
                </c:pt>
                <c:pt idx="1123">
                  <c:v>0.6</c:v>
                </c:pt>
                <c:pt idx="1124">
                  <c:v>0.62</c:v>
                </c:pt>
                <c:pt idx="1125">
                  <c:v>0.63</c:v>
                </c:pt>
                <c:pt idx="1126">
                  <c:v>0.71</c:v>
                </c:pt>
                <c:pt idx="1127">
                  <c:v>0.71</c:v>
                </c:pt>
                <c:pt idx="1128">
                  <c:v>0.69</c:v>
                </c:pt>
                <c:pt idx="1129">
                  <c:v>0.72</c:v>
                </c:pt>
                <c:pt idx="1130">
                  <c:v>0.74</c:v>
                </c:pt>
                <c:pt idx="1131">
                  <c:v>0.82</c:v>
                </c:pt>
                <c:pt idx="1132">
                  <c:v>0.81</c:v>
                </c:pt>
                <c:pt idx="1133">
                  <c:v>0.79</c:v>
                </c:pt>
                <c:pt idx="1134">
                  <c:v>0.73</c:v>
                </c:pt>
                <c:pt idx="1135">
                  <c:v>0.68</c:v>
                </c:pt>
                <c:pt idx="1136">
                  <c:v>0.68</c:v>
                </c:pt>
                <c:pt idx="1137">
                  <c:v>0.66</c:v>
                </c:pt>
                <c:pt idx="1138">
                  <c:v>0.66</c:v>
                </c:pt>
                <c:pt idx="1139">
                  <c:v>0.61</c:v>
                </c:pt>
                <c:pt idx="1140">
                  <c:v>0.59</c:v>
                </c:pt>
                <c:pt idx="1141">
                  <c:v>0.61</c:v>
                </c:pt>
                <c:pt idx="1142">
                  <c:v>0.62</c:v>
                </c:pt>
                <c:pt idx="1143">
                  <c:v>0.65</c:v>
                </c:pt>
                <c:pt idx="1144">
                  <c:v>0.62</c:v>
                </c:pt>
                <c:pt idx="1145">
                  <c:v>0.6</c:v>
                </c:pt>
                <c:pt idx="1146">
                  <c:v>0.63</c:v>
                </c:pt>
                <c:pt idx="1147">
                  <c:v>0.63</c:v>
                </c:pt>
                <c:pt idx="1148">
                  <c:v>0.57999999999999996</c:v>
                </c:pt>
                <c:pt idx="1149">
                  <c:v>0.54</c:v>
                </c:pt>
                <c:pt idx="1150">
                  <c:v>0.52</c:v>
                </c:pt>
                <c:pt idx="1151">
                  <c:v>0.51</c:v>
                </c:pt>
                <c:pt idx="1152">
                  <c:v>0.49</c:v>
                </c:pt>
                <c:pt idx="1153">
                  <c:v>0.48</c:v>
                </c:pt>
                <c:pt idx="1154">
                  <c:v>0.5</c:v>
                </c:pt>
                <c:pt idx="1155">
                  <c:v>0.52</c:v>
                </c:pt>
                <c:pt idx="1156">
                  <c:v>0.54</c:v>
                </c:pt>
                <c:pt idx="1157">
                  <c:v>0.54</c:v>
                </c:pt>
                <c:pt idx="1158">
                  <c:v>0.55000000000000004</c:v>
                </c:pt>
                <c:pt idx="1159">
                  <c:v>0.59</c:v>
                </c:pt>
                <c:pt idx="1160">
                  <c:v>0.61</c:v>
                </c:pt>
                <c:pt idx="1161">
                  <c:v>0.6</c:v>
                </c:pt>
                <c:pt idx="1162">
                  <c:v>0.56999999999999995</c:v>
                </c:pt>
                <c:pt idx="1163">
                  <c:v>0.55000000000000004</c:v>
                </c:pt>
                <c:pt idx="1164">
                  <c:v>0.53</c:v>
                </c:pt>
                <c:pt idx="1165">
                  <c:v>0.51</c:v>
                </c:pt>
                <c:pt idx="1166">
                  <c:v>0.51</c:v>
                </c:pt>
                <c:pt idx="1167">
                  <c:v>0.5</c:v>
                </c:pt>
                <c:pt idx="1168">
                  <c:v>0.49</c:v>
                </c:pt>
                <c:pt idx="1169">
                  <c:v>0.49</c:v>
                </c:pt>
                <c:pt idx="1170">
                  <c:v>0.48</c:v>
                </c:pt>
                <c:pt idx="1171">
                  <c:v>0.48</c:v>
                </c:pt>
                <c:pt idx="1172">
                  <c:v>0.48</c:v>
                </c:pt>
                <c:pt idx="1173">
                  <c:v>0.51</c:v>
                </c:pt>
                <c:pt idx="1174">
                  <c:v>0.53</c:v>
                </c:pt>
                <c:pt idx="1175">
                  <c:v>0.51</c:v>
                </c:pt>
                <c:pt idx="1176">
                  <c:v>0.49</c:v>
                </c:pt>
                <c:pt idx="1177">
                  <c:v>0.5</c:v>
                </c:pt>
                <c:pt idx="1178">
                  <c:v>0.5</c:v>
                </c:pt>
                <c:pt idx="1179">
                  <c:v>0.53</c:v>
                </c:pt>
                <c:pt idx="1180">
                  <c:v>0.52</c:v>
                </c:pt>
                <c:pt idx="1181">
                  <c:v>0.53</c:v>
                </c:pt>
                <c:pt idx="1182">
                  <c:v>0.56999999999999995</c:v>
                </c:pt>
                <c:pt idx="1183">
                  <c:v>0.59</c:v>
                </c:pt>
                <c:pt idx="1184">
                  <c:v>0.59</c:v>
                </c:pt>
                <c:pt idx="1185">
                  <c:v>0.56000000000000005</c:v>
                </c:pt>
                <c:pt idx="1186">
                  <c:v>0.57999999999999996</c:v>
                </c:pt>
                <c:pt idx="1187">
                  <c:v>0.6</c:v>
                </c:pt>
                <c:pt idx="1188">
                  <c:v>0.62</c:v>
                </c:pt>
                <c:pt idx="1189">
                  <c:v>0.61</c:v>
                </c:pt>
                <c:pt idx="1190">
                  <c:v>0.6</c:v>
                </c:pt>
                <c:pt idx="1191">
                  <c:v>0.57999999999999996</c:v>
                </c:pt>
                <c:pt idx="1192">
                  <c:v>0.62</c:v>
                </c:pt>
                <c:pt idx="1193">
                  <c:v>0.62</c:v>
                </c:pt>
                <c:pt idx="1194">
                  <c:v>0.61</c:v>
                </c:pt>
                <c:pt idx="1195">
                  <c:v>0.62</c:v>
                </c:pt>
                <c:pt idx="1196">
                  <c:v>0.62</c:v>
                </c:pt>
                <c:pt idx="1197">
                  <c:v>0.61</c:v>
                </c:pt>
                <c:pt idx="1198">
                  <c:v>0.59</c:v>
                </c:pt>
                <c:pt idx="1199">
                  <c:v>0.6</c:v>
                </c:pt>
                <c:pt idx="1200">
                  <c:v>0.62</c:v>
                </c:pt>
                <c:pt idx="1201">
                  <c:v>0.64</c:v>
                </c:pt>
                <c:pt idx="1202">
                  <c:v>0.64</c:v>
                </c:pt>
                <c:pt idx="1203">
                  <c:v>0.63</c:v>
                </c:pt>
                <c:pt idx="1204">
                  <c:v>0.6</c:v>
                </c:pt>
                <c:pt idx="1205">
                  <c:v>0.55000000000000004</c:v>
                </c:pt>
                <c:pt idx="1206">
                  <c:v>0.53</c:v>
                </c:pt>
                <c:pt idx="1207">
                  <c:v>0.52</c:v>
                </c:pt>
                <c:pt idx="1208">
                  <c:v>0.52</c:v>
                </c:pt>
                <c:pt idx="1209">
                  <c:v>0.54</c:v>
                </c:pt>
                <c:pt idx="1210">
                  <c:v>0.56999999999999995</c:v>
                </c:pt>
                <c:pt idx="1211">
                  <c:v>0.57999999999999996</c:v>
                </c:pt>
                <c:pt idx="1212">
                  <c:v>0.56999999999999995</c:v>
                </c:pt>
                <c:pt idx="1213">
                  <c:v>0.56000000000000005</c:v>
                </c:pt>
                <c:pt idx="1214">
                  <c:v>0.57999999999999996</c:v>
                </c:pt>
                <c:pt idx="1215">
                  <c:v>0.57999999999999996</c:v>
                </c:pt>
                <c:pt idx="1216">
                  <c:v>0.59</c:v>
                </c:pt>
                <c:pt idx="1217">
                  <c:v>0.6</c:v>
                </c:pt>
                <c:pt idx="1218">
                  <c:v>0.6</c:v>
                </c:pt>
                <c:pt idx="1219">
                  <c:v>0.59</c:v>
                </c:pt>
                <c:pt idx="1220">
                  <c:v>0.6</c:v>
                </c:pt>
                <c:pt idx="1221">
                  <c:v>0.57999999999999996</c:v>
                </c:pt>
                <c:pt idx="1222">
                  <c:v>0.6</c:v>
                </c:pt>
                <c:pt idx="1223">
                  <c:v>0.59</c:v>
                </c:pt>
                <c:pt idx="1224">
                  <c:v>0.59</c:v>
                </c:pt>
                <c:pt idx="1225">
                  <c:v>0.56999999999999995</c:v>
                </c:pt>
                <c:pt idx="1226">
                  <c:v>0.53</c:v>
                </c:pt>
                <c:pt idx="1227">
                  <c:v>0.53</c:v>
                </c:pt>
                <c:pt idx="1228">
                  <c:v>0.51</c:v>
                </c:pt>
                <c:pt idx="1229">
                  <c:v>0.52</c:v>
                </c:pt>
                <c:pt idx="1230">
                  <c:v>0.54</c:v>
                </c:pt>
                <c:pt idx="1231">
                  <c:v>0.56000000000000005</c:v>
                </c:pt>
                <c:pt idx="1232">
                  <c:v>0.57999999999999996</c:v>
                </c:pt>
                <c:pt idx="1233">
                  <c:v>0.59</c:v>
                </c:pt>
                <c:pt idx="1234">
                  <c:v>0.62</c:v>
                </c:pt>
                <c:pt idx="1235">
                  <c:v>0.6</c:v>
                </c:pt>
                <c:pt idx="1236">
                  <c:v>0.56999999999999995</c:v>
                </c:pt>
                <c:pt idx="1237">
                  <c:v>0.54</c:v>
                </c:pt>
                <c:pt idx="1238">
                  <c:v>0.48</c:v>
                </c:pt>
                <c:pt idx="1239">
                  <c:v>0.46</c:v>
                </c:pt>
                <c:pt idx="1240">
                  <c:v>0.47</c:v>
                </c:pt>
                <c:pt idx="1241">
                  <c:v>0.47</c:v>
                </c:pt>
                <c:pt idx="1242">
                  <c:v>0.48</c:v>
                </c:pt>
                <c:pt idx="1243">
                  <c:v>0.5</c:v>
                </c:pt>
                <c:pt idx="1244">
                  <c:v>0.56000000000000005</c:v>
                </c:pt>
                <c:pt idx="1245">
                  <c:v>0.62</c:v>
                </c:pt>
                <c:pt idx="1246">
                  <c:v>0.63</c:v>
                </c:pt>
                <c:pt idx="1247">
                  <c:v>0.59</c:v>
                </c:pt>
                <c:pt idx="1248">
                  <c:v>0.56999999999999995</c:v>
                </c:pt>
                <c:pt idx="1249">
                  <c:v>0.56999999999999995</c:v>
                </c:pt>
                <c:pt idx="1250">
                  <c:v>0.6</c:v>
                </c:pt>
                <c:pt idx="1251">
                  <c:v>0.63</c:v>
                </c:pt>
                <c:pt idx="1252">
                  <c:v>0.61</c:v>
                </c:pt>
                <c:pt idx="1253">
                  <c:v>0.57999999999999996</c:v>
                </c:pt>
                <c:pt idx="1254">
                  <c:v>0.59</c:v>
                </c:pt>
                <c:pt idx="1255">
                  <c:v>0.63</c:v>
                </c:pt>
                <c:pt idx="1256">
                  <c:v>0.62</c:v>
                </c:pt>
                <c:pt idx="1257">
                  <c:v>0.6</c:v>
                </c:pt>
                <c:pt idx="1258">
                  <c:v>0.6</c:v>
                </c:pt>
                <c:pt idx="1259">
                  <c:v>0.6</c:v>
                </c:pt>
                <c:pt idx="1260">
                  <c:v>0.6</c:v>
                </c:pt>
                <c:pt idx="1261">
                  <c:v>0.61</c:v>
                </c:pt>
                <c:pt idx="1262">
                  <c:v>0.56999999999999995</c:v>
                </c:pt>
                <c:pt idx="1263">
                  <c:v>0.57999999999999996</c:v>
                </c:pt>
                <c:pt idx="1264">
                  <c:v>0.56999999999999995</c:v>
                </c:pt>
                <c:pt idx="1265">
                  <c:v>0.54</c:v>
                </c:pt>
                <c:pt idx="1266">
                  <c:v>0.51</c:v>
                </c:pt>
                <c:pt idx="1267">
                  <c:v>0.5</c:v>
                </c:pt>
                <c:pt idx="1268">
                  <c:v>0.48</c:v>
                </c:pt>
                <c:pt idx="1269">
                  <c:v>0.49</c:v>
                </c:pt>
                <c:pt idx="1270">
                  <c:v>0.48</c:v>
                </c:pt>
                <c:pt idx="1271">
                  <c:v>0.46</c:v>
                </c:pt>
                <c:pt idx="1272">
                  <c:v>0.47</c:v>
                </c:pt>
                <c:pt idx="1273">
                  <c:v>0.49</c:v>
                </c:pt>
                <c:pt idx="1274">
                  <c:v>0.52</c:v>
                </c:pt>
                <c:pt idx="1275">
                  <c:v>0.57999999999999996</c:v>
                </c:pt>
                <c:pt idx="1276">
                  <c:v>0.63</c:v>
                </c:pt>
                <c:pt idx="1277">
                  <c:v>0.66</c:v>
                </c:pt>
                <c:pt idx="1278">
                  <c:v>0.67</c:v>
                </c:pt>
                <c:pt idx="1279">
                  <c:v>0.68</c:v>
                </c:pt>
                <c:pt idx="1280">
                  <c:v>0.65</c:v>
                </c:pt>
                <c:pt idx="1281">
                  <c:v>0.64</c:v>
                </c:pt>
                <c:pt idx="1282">
                  <c:v>0.64</c:v>
                </c:pt>
                <c:pt idx="1283">
                  <c:v>0.61</c:v>
                </c:pt>
                <c:pt idx="1284">
                  <c:v>0.61</c:v>
                </c:pt>
                <c:pt idx="1285">
                  <c:v>0.59</c:v>
                </c:pt>
                <c:pt idx="1286">
                  <c:v>0.64</c:v>
                </c:pt>
                <c:pt idx="1287">
                  <c:v>0.63</c:v>
                </c:pt>
                <c:pt idx="1288">
                  <c:v>0.62</c:v>
                </c:pt>
                <c:pt idx="1289">
                  <c:v>0.6</c:v>
                </c:pt>
                <c:pt idx="1290">
                  <c:v>0.54</c:v>
                </c:pt>
                <c:pt idx="1291">
                  <c:v>0.54</c:v>
                </c:pt>
                <c:pt idx="1292">
                  <c:v>0.57999999999999996</c:v>
                </c:pt>
                <c:pt idx="1293">
                  <c:v>0.61</c:v>
                </c:pt>
                <c:pt idx="1294">
                  <c:v>0.61</c:v>
                </c:pt>
                <c:pt idx="1295">
                  <c:v>0.62</c:v>
                </c:pt>
                <c:pt idx="1296">
                  <c:v>0.64</c:v>
                </c:pt>
                <c:pt idx="1297">
                  <c:v>0.66</c:v>
                </c:pt>
                <c:pt idx="1298">
                  <c:v>0.67</c:v>
                </c:pt>
                <c:pt idx="1299">
                  <c:v>0.65</c:v>
                </c:pt>
                <c:pt idx="1300">
                  <c:v>0.65</c:v>
                </c:pt>
                <c:pt idx="1301">
                  <c:v>0.62</c:v>
                </c:pt>
                <c:pt idx="1302">
                  <c:v>0.64</c:v>
                </c:pt>
                <c:pt idx="1303">
                  <c:v>0.62</c:v>
                </c:pt>
                <c:pt idx="1304">
                  <c:v>0.63</c:v>
                </c:pt>
                <c:pt idx="1305">
                  <c:v>0.69</c:v>
                </c:pt>
                <c:pt idx="1306">
                  <c:v>0.72</c:v>
                </c:pt>
                <c:pt idx="1307">
                  <c:v>0.74</c:v>
                </c:pt>
                <c:pt idx="1308">
                  <c:v>0.71</c:v>
                </c:pt>
                <c:pt idx="1309">
                  <c:v>0.67</c:v>
                </c:pt>
                <c:pt idx="1310">
                  <c:v>0.64</c:v>
                </c:pt>
                <c:pt idx="1311">
                  <c:v>0.65</c:v>
                </c:pt>
                <c:pt idx="1312">
                  <c:v>0.66</c:v>
                </c:pt>
                <c:pt idx="1313">
                  <c:v>0.61</c:v>
                </c:pt>
                <c:pt idx="1314">
                  <c:v>0.54</c:v>
                </c:pt>
                <c:pt idx="1315">
                  <c:v>0.55000000000000004</c:v>
                </c:pt>
                <c:pt idx="1316">
                  <c:v>0.59</c:v>
                </c:pt>
                <c:pt idx="1317">
                  <c:v>0.6</c:v>
                </c:pt>
                <c:pt idx="1318">
                  <c:v>0.56999999999999995</c:v>
                </c:pt>
                <c:pt idx="1319">
                  <c:v>0.54</c:v>
                </c:pt>
                <c:pt idx="1320">
                  <c:v>0.52</c:v>
                </c:pt>
                <c:pt idx="1321">
                  <c:v>0.52</c:v>
                </c:pt>
                <c:pt idx="1322">
                  <c:v>0.49</c:v>
                </c:pt>
                <c:pt idx="1323">
                  <c:v>0.49</c:v>
                </c:pt>
                <c:pt idx="1324">
                  <c:v>0.49</c:v>
                </c:pt>
                <c:pt idx="1325">
                  <c:v>0.48</c:v>
                </c:pt>
                <c:pt idx="1326">
                  <c:v>0.47</c:v>
                </c:pt>
                <c:pt idx="1327">
                  <c:v>0.48</c:v>
                </c:pt>
                <c:pt idx="1328">
                  <c:v>0.48</c:v>
                </c:pt>
                <c:pt idx="1329">
                  <c:v>0.47</c:v>
                </c:pt>
                <c:pt idx="1330">
                  <c:v>0.48</c:v>
                </c:pt>
                <c:pt idx="1331">
                  <c:v>0.5</c:v>
                </c:pt>
                <c:pt idx="1332">
                  <c:v>0.5</c:v>
                </c:pt>
                <c:pt idx="1333">
                  <c:v>0.52</c:v>
                </c:pt>
                <c:pt idx="1334">
                  <c:v>0.53</c:v>
                </c:pt>
                <c:pt idx="1335">
                  <c:v>0.52</c:v>
                </c:pt>
                <c:pt idx="1336">
                  <c:v>0.51</c:v>
                </c:pt>
                <c:pt idx="1337">
                  <c:v>0.5</c:v>
                </c:pt>
                <c:pt idx="1338">
                  <c:v>0.48</c:v>
                </c:pt>
                <c:pt idx="1339">
                  <c:v>0.49</c:v>
                </c:pt>
                <c:pt idx="1340">
                  <c:v>0.47</c:v>
                </c:pt>
                <c:pt idx="1341">
                  <c:v>0.45</c:v>
                </c:pt>
                <c:pt idx="1342">
                  <c:v>0.46</c:v>
                </c:pt>
                <c:pt idx="1343">
                  <c:v>0.46</c:v>
                </c:pt>
                <c:pt idx="1344">
                  <c:v>0.46</c:v>
                </c:pt>
                <c:pt idx="1345">
                  <c:v>0.44</c:v>
                </c:pt>
                <c:pt idx="1346">
                  <c:v>0.44</c:v>
                </c:pt>
                <c:pt idx="1347">
                  <c:v>0.45</c:v>
                </c:pt>
                <c:pt idx="1348">
                  <c:v>0.48</c:v>
                </c:pt>
                <c:pt idx="1349">
                  <c:v>0.48</c:v>
                </c:pt>
                <c:pt idx="1350">
                  <c:v>0.48</c:v>
                </c:pt>
                <c:pt idx="1351">
                  <c:v>0.49</c:v>
                </c:pt>
                <c:pt idx="1352">
                  <c:v>0.49</c:v>
                </c:pt>
                <c:pt idx="1353">
                  <c:v>0.47</c:v>
                </c:pt>
                <c:pt idx="1354">
                  <c:v>0.46</c:v>
                </c:pt>
                <c:pt idx="1355">
                  <c:v>0.45</c:v>
                </c:pt>
                <c:pt idx="1356">
                  <c:v>0.46</c:v>
                </c:pt>
                <c:pt idx="1357">
                  <c:v>0.48</c:v>
                </c:pt>
                <c:pt idx="1358">
                  <c:v>0.51</c:v>
                </c:pt>
                <c:pt idx="1359">
                  <c:v>0.57999999999999996</c:v>
                </c:pt>
                <c:pt idx="1360">
                  <c:v>0.56999999999999995</c:v>
                </c:pt>
                <c:pt idx="1361">
                  <c:v>0.55000000000000004</c:v>
                </c:pt>
                <c:pt idx="1362">
                  <c:v>0.51</c:v>
                </c:pt>
                <c:pt idx="1363">
                  <c:v>0.5</c:v>
                </c:pt>
                <c:pt idx="1364">
                  <c:v>0.52</c:v>
                </c:pt>
                <c:pt idx="1365">
                  <c:v>0.49</c:v>
                </c:pt>
                <c:pt idx="1366">
                  <c:v>0.49</c:v>
                </c:pt>
                <c:pt idx="1367">
                  <c:v>0.52</c:v>
                </c:pt>
                <c:pt idx="1368">
                  <c:v>0.56000000000000005</c:v>
                </c:pt>
                <c:pt idx="1369">
                  <c:v>0.56999999999999995</c:v>
                </c:pt>
                <c:pt idx="1370">
                  <c:v>0.57999999999999996</c:v>
                </c:pt>
                <c:pt idx="1371">
                  <c:v>0.6</c:v>
                </c:pt>
                <c:pt idx="1372">
                  <c:v>0.56999999999999995</c:v>
                </c:pt>
                <c:pt idx="1373">
                  <c:v>0.54</c:v>
                </c:pt>
                <c:pt idx="1374">
                  <c:v>0.56000000000000005</c:v>
                </c:pt>
                <c:pt idx="1375">
                  <c:v>0.57999999999999996</c:v>
                </c:pt>
                <c:pt idx="1376">
                  <c:v>0.56999999999999995</c:v>
                </c:pt>
                <c:pt idx="1377">
                  <c:v>0.56000000000000005</c:v>
                </c:pt>
                <c:pt idx="1378">
                  <c:v>0.52</c:v>
                </c:pt>
                <c:pt idx="1379">
                  <c:v>0.52</c:v>
                </c:pt>
                <c:pt idx="1380">
                  <c:v>0.51</c:v>
                </c:pt>
                <c:pt idx="1381">
                  <c:v>0.56000000000000005</c:v>
                </c:pt>
                <c:pt idx="1382">
                  <c:v>0.6</c:v>
                </c:pt>
                <c:pt idx="1383">
                  <c:v>0.66</c:v>
                </c:pt>
                <c:pt idx="1384">
                  <c:v>0.7</c:v>
                </c:pt>
                <c:pt idx="1385">
                  <c:v>0.7</c:v>
                </c:pt>
                <c:pt idx="1386">
                  <c:v>0.71</c:v>
                </c:pt>
                <c:pt idx="1387">
                  <c:v>0.66</c:v>
                </c:pt>
                <c:pt idx="1388">
                  <c:v>0.57999999999999996</c:v>
                </c:pt>
                <c:pt idx="1389">
                  <c:v>0.56000000000000005</c:v>
                </c:pt>
                <c:pt idx="1390">
                  <c:v>0.53</c:v>
                </c:pt>
                <c:pt idx="1391">
                  <c:v>0.5</c:v>
                </c:pt>
                <c:pt idx="1392">
                  <c:v>0.47</c:v>
                </c:pt>
                <c:pt idx="1393">
                  <c:v>0.45</c:v>
                </c:pt>
                <c:pt idx="1394">
                  <c:v>0.45</c:v>
                </c:pt>
                <c:pt idx="1395">
                  <c:v>0.45</c:v>
                </c:pt>
                <c:pt idx="1396">
                  <c:v>0.44</c:v>
                </c:pt>
                <c:pt idx="1397">
                  <c:v>0.46</c:v>
                </c:pt>
                <c:pt idx="1398">
                  <c:v>0.47</c:v>
                </c:pt>
                <c:pt idx="1399">
                  <c:v>0.48</c:v>
                </c:pt>
                <c:pt idx="1400">
                  <c:v>0.46</c:v>
                </c:pt>
                <c:pt idx="1401">
                  <c:v>0.47</c:v>
                </c:pt>
                <c:pt idx="1402">
                  <c:v>0.48</c:v>
                </c:pt>
                <c:pt idx="1403">
                  <c:v>0.49</c:v>
                </c:pt>
                <c:pt idx="1404">
                  <c:v>0.49</c:v>
                </c:pt>
                <c:pt idx="1405">
                  <c:v>0.5</c:v>
                </c:pt>
                <c:pt idx="1406">
                  <c:v>0.5</c:v>
                </c:pt>
                <c:pt idx="1407">
                  <c:v>0.52</c:v>
                </c:pt>
                <c:pt idx="1408">
                  <c:v>0.54</c:v>
                </c:pt>
                <c:pt idx="1409">
                  <c:v>0.54</c:v>
                </c:pt>
                <c:pt idx="1410">
                  <c:v>0.54</c:v>
                </c:pt>
                <c:pt idx="1411">
                  <c:v>0.52</c:v>
                </c:pt>
                <c:pt idx="1412">
                  <c:v>0.51</c:v>
                </c:pt>
                <c:pt idx="1413">
                  <c:v>0.5</c:v>
                </c:pt>
                <c:pt idx="1414">
                  <c:v>0.5</c:v>
                </c:pt>
                <c:pt idx="1415">
                  <c:v>0.48</c:v>
                </c:pt>
                <c:pt idx="1416">
                  <c:v>0.47</c:v>
                </c:pt>
                <c:pt idx="1417">
                  <c:v>0.46</c:v>
                </c:pt>
                <c:pt idx="1418">
                  <c:v>0.44</c:v>
                </c:pt>
                <c:pt idx="1419">
                  <c:v>0.44</c:v>
                </c:pt>
                <c:pt idx="1420">
                  <c:v>0.46</c:v>
                </c:pt>
                <c:pt idx="1421">
                  <c:v>0.48</c:v>
                </c:pt>
                <c:pt idx="1422">
                  <c:v>0.48</c:v>
                </c:pt>
                <c:pt idx="1423">
                  <c:v>0.46</c:v>
                </c:pt>
                <c:pt idx="1424">
                  <c:v>0.46</c:v>
                </c:pt>
                <c:pt idx="1425">
                  <c:v>0.47</c:v>
                </c:pt>
                <c:pt idx="1426">
                  <c:v>0.48</c:v>
                </c:pt>
                <c:pt idx="1427">
                  <c:v>0.48</c:v>
                </c:pt>
                <c:pt idx="1428">
                  <c:v>0.46</c:v>
                </c:pt>
                <c:pt idx="1429">
                  <c:v>0.46</c:v>
                </c:pt>
                <c:pt idx="1430">
                  <c:v>0.46</c:v>
                </c:pt>
                <c:pt idx="1431">
                  <c:v>0.45</c:v>
                </c:pt>
                <c:pt idx="1432">
                  <c:v>0.46</c:v>
                </c:pt>
                <c:pt idx="1433">
                  <c:v>0.47</c:v>
                </c:pt>
                <c:pt idx="1434">
                  <c:v>0.46</c:v>
                </c:pt>
                <c:pt idx="1435">
                  <c:v>0.46</c:v>
                </c:pt>
                <c:pt idx="1436">
                  <c:v>0.45</c:v>
                </c:pt>
                <c:pt idx="1437">
                  <c:v>0.44</c:v>
                </c:pt>
                <c:pt idx="1438">
                  <c:v>0.44</c:v>
                </c:pt>
                <c:pt idx="1439">
                  <c:v>0.44</c:v>
                </c:pt>
                <c:pt idx="1440">
                  <c:v>0.45</c:v>
                </c:pt>
                <c:pt idx="1441">
                  <c:v>0.44</c:v>
                </c:pt>
                <c:pt idx="1442">
                  <c:v>0.45</c:v>
                </c:pt>
                <c:pt idx="1443">
                  <c:v>0.45</c:v>
                </c:pt>
                <c:pt idx="1444">
                  <c:v>0.46</c:v>
                </c:pt>
                <c:pt idx="1445">
                  <c:v>0.48</c:v>
                </c:pt>
                <c:pt idx="1446">
                  <c:v>0.54</c:v>
                </c:pt>
                <c:pt idx="1447">
                  <c:v>0.59</c:v>
                </c:pt>
                <c:pt idx="1448">
                  <c:v>0.65</c:v>
                </c:pt>
                <c:pt idx="1449">
                  <c:v>0.72</c:v>
                </c:pt>
                <c:pt idx="1450">
                  <c:v>0.8</c:v>
                </c:pt>
                <c:pt idx="1451">
                  <c:v>0.79</c:v>
                </c:pt>
                <c:pt idx="1452">
                  <c:v>0.77</c:v>
                </c:pt>
                <c:pt idx="1453">
                  <c:v>0.8</c:v>
                </c:pt>
                <c:pt idx="1454">
                  <c:v>0.78</c:v>
                </c:pt>
                <c:pt idx="1455">
                  <c:v>0.72</c:v>
                </c:pt>
                <c:pt idx="1456">
                  <c:v>0.63</c:v>
                </c:pt>
                <c:pt idx="1457">
                  <c:v>0.56000000000000005</c:v>
                </c:pt>
                <c:pt idx="1458">
                  <c:v>0.49</c:v>
                </c:pt>
                <c:pt idx="1459">
                  <c:v>0.44</c:v>
                </c:pt>
                <c:pt idx="1460">
                  <c:v>0.4</c:v>
                </c:pt>
                <c:pt idx="1461">
                  <c:v>0.39</c:v>
                </c:pt>
                <c:pt idx="1462">
                  <c:v>0.41</c:v>
                </c:pt>
                <c:pt idx="1463">
                  <c:v>0.42</c:v>
                </c:pt>
                <c:pt idx="1464">
                  <c:v>0.41</c:v>
                </c:pt>
                <c:pt idx="1465">
                  <c:v>0.42</c:v>
                </c:pt>
                <c:pt idx="1466">
                  <c:v>0.44</c:v>
                </c:pt>
                <c:pt idx="1467">
                  <c:v>0.45</c:v>
                </c:pt>
                <c:pt idx="1468">
                  <c:v>0.44</c:v>
                </c:pt>
                <c:pt idx="1469">
                  <c:v>0.43</c:v>
                </c:pt>
                <c:pt idx="1470">
                  <c:v>0.44</c:v>
                </c:pt>
                <c:pt idx="1471">
                  <c:v>0.49</c:v>
                </c:pt>
                <c:pt idx="1472">
                  <c:v>0.55000000000000004</c:v>
                </c:pt>
                <c:pt idx="1473">
                  <c:v>0.68</c:v>
                </c:pt>
                <c:pt idx="1474">
                  <c:v>0.85</c:v>
                </c:pt>
                <c:pt idx="1475">
                  <c:v>0.88</c:v>
                </c:pt>
                <c:pt idx="1476">
                  <c:v>0.89</c:v>
                </c:pt>
                <c:pt idx="1477">
                  <c:v>0.89</c:v>
                </c:pt>
                <c:pt idx="1478">
                  <c:v>0.9</c:v>
                </c:pt>
                <c:pt idx="1479">
                  <c:v>0.88</c:v>
                </c:pt>
                <c:pt idx="1480">
                  <c:v>0.87</c:v>
                </c:pt>
                <c:pt idx="1481">
                  <c:v>0.85</c:v>
                </c:pt>
                <c:pt idx="1482">
                  <c:v>0.85</c:v>
                </c:pt>
                <c:pt idx="1483">
                  <c:v>0.83</c:v>
                </c:pt>
                <c:pt idx="1484">
                  <c:v>0.84</c:v>
                </c:pt>
                <c:pt idx="1485">
                  <c:v>0.9</c:v>
                </c:pt>
                <c:pt idx="1486">
                  <c:v>0.91</c:v>
                </c:pt>
                <c:pt idx="1487">
                  <c:v>0.88</c:v>
                </c:pt>
                <c:pt idx="1488">
                  <c:v>0.89</c:v>
                </c:pt>
                <c:pt idx="1489">
                  <c:v>0.87</c:v>
                </c:pt>
                <c:pt idx="1490">
                  <c:v>0.86</c:v>
                </c:pt>
                <c:pt idx="1491">
                  <c:v>0.86</c:v>
                </c:pt>
                <c:pt idx="1492">
                  <c:v>0.85</c:v>
                </c:pt>
                <c:pt idx="1493">
                  <c:v>0.83</c:v>
                </c:pt>
                <c:pt idx="1494">
                  <c:v>0.84</c:v>
                </c:pt>
                <c:pt idx="1495">
                  <c:v>0.81</c:v>
                </c:pt>
                <c:pt idx="1496">
                  <c:v>0.82</c:v>
                </c:pt>
                <c:pt idx="1497">
                  <c:v>0.83</c:v>
                </c:pt>
                <c:pt idx="1498">
                  <c:v>0.88</c:v>
                </c:pt>
                <c:pt idx="1499">
                  <c:v>0.9</c:v>
                </c:pt>
                <c:pt idx="1500">
                  <c:v>0.9</c:v>
                </c:pt>
                <c:pt idx="1501">
                  <c:v>0.93</c:v>
                </c:pt>
                <c:pt idx="1502">
                  <c:v>0.92</c:v>
                </c:pt>
                <c:pt idx="1503">
                  <c:v>0.9</c:v>
                </c:pt>
                <c:pt idx="1504">
                  <c:v>0.88</c:v>
                </c:pt>
                <c:pt idx="1505">
                  <c:v>0.91</c:v>
                </c:pt>
                <c:pt idx="1506">
                  <c:v>0.89</c:v>
                </c:pt>
                <c:pt idx="1507">
                  <c:v>0.93</c:v>
                </c:pt>
                <c:pt idx="1508">
                  <c:v>0.93</c:v>
                </c:pt>
                <c:pt idx="1509">
                  <c:v>0.95</c:v>
                </c:pt>
                <c:pt idx="1510">
                  <c:v>0.96</c:v>
                </c:pt>
                <c:pt idx="1511">
                  <c:v>0.95</c:v>
                </c:pt>
                <c:pt idx="1512">
                  <c:v>0.92</c:v>
                </c:pt>
                <c:pt idx="1513">
                  <c:v>0.91</c:v>
                </c:pt>
                <c:pt idx="1514">
                  <c:v>0.88</c:v>
                </c:pt>
                <c:pt idx="1515">
                  <c:v>0.85</c:v>
                </c:pt>
                <c:pt idx="1516">
                  <c:v>0.84</c:v>
                </c:pt>
                <c:pt idx="1517">
                  <c:v>0.88</c:v>
                </c:pt>
                <c:pt idx="1518">
                  <c:v>0.89</c:v>
                </c:pt>
                <c:pt idx="1519">
                  <c:v>0.94</c:v>
                </c:pt>
                <c:pt idx="1520">
                  <c:v>0.97</c:v>
                </c:pt>
                <c:pt idx="1521">
                  <c:v>1</c:v>
                </c:pt>
                <c:pt idx="1522">
                  <c:v>1</c:v>
                </c:pt>
                <c:pt idx="1523">
                  <c:v>0.95</c:v>
                </c:pt>
                <c:pt idx="1524">
                  <c:v>0.94</c:v>
                </c:pt>
                <c:pt idx="1525">
                  <c:v>0.92</c:v>
                </c:pt>
                <c:pt idx="1526">
                  <c:v>0.91</c:v>
                </c:pt>
                <c:pt idx="1527">
                  <c:v>0.92</c:v>
                </c:pt>
                <c:pt idx="1528">
                  <c:v>0.9</c:v>
                </c:pt>
                <c:pt idx="1529">
                  <c:v>0.77</c:v>
                </c:pt>
                <c:pt idx="1530">
                  <c:v>0.77</c:v>
                </c:pt>
                <c:pt idx="1531">
                  <c:v>0.97</c:v>
                </c:pt>
                <c:pt idx="1532">
                  <c:v>1</c:v>
                </c:pt>
                <c:pt idx="1533">
                  <c:v>1</c:v>
                </c:pt>
                <c:pt idx="1534">
                  <c:v>1</c:v>
                </c:pt>
                <c:pt idx="1535">
                  <c:v>0.99</c:v>
                </c:pt>
                <c:pt idx="1536">
                  <c:v>0.97</c:v>
                </c:pt>
                <c:pt idx="1537">
                  <c:v>0.96</c:v>
                </c:pt>
                <c:pt idx="1538">
                  <c:v>0.93</c:v>
                </c:pt>
                <c:pt idx="1539">
                  <c:v>0.92</c:v>
                </c:pt>
                <c:pt idx="1540">
                  <c:v>0.74</c:v>
                </c:pt>
                <c:pt idx="1541">
                  <c:v>0.63</c:v>
                </c:pt>
                <c:pt idx="1542">
                  <c:v>0.57999999999999996</c:v>
                </c:pt>
                <c:pt idx="1543">
                  <c:v>0.52</c:v>
                </c:pt>
                <c:pt idx="1544">
                  <c:v>0.5</c:v>
                </c:pt>
                <c:pt idx="1545">
                  <c:v>0.5</c:v>
                </c:pt>
                <c:pt idx="1546">
                  <c:v>0.5</c:v>
                </c:pt>
                <c:pt idx="1547">
                  <c:v>0.52</c:v>
                </c:pt>
                <c:pt idx="1548">
                  <c:v>0.56000000000000005</c:v>
                </c:pt>
                <c:pt idx="1549">
                  <c:v>0.61</c:v>
                </c:pt>
                <c:pt idx="1550">
                  <c:v>0.7</c:v>
                </c:pt>
                <c:pt idx="1551">
                  <c:v>0.74</c:v>
                </c:pt>
                <c:pt idx="1552">
                  <c:v>0.74</c:v>
                </c:pt>
                <c:pt idx="1553">
                  <c:v>0.84</c:v>
                </c:pt>
                <c:pt idx="1554">
                  <c:v>0.99</c:v>
                </c:pt>
                <c:pt idx="1555">
                  <c:v>1</c:v>
                </c:pt>
                <c:pt idx="1556">
                  <c:v>1</c:v>
                </c:pt>
                <c:pt idx="1557">
                  <c:v>1</c:v>
                </c:pt>
                <c:pt idx="1558">
                  <c:v>1</c:v>
                </c:pt>
                <c:pt idx="1559">
                  <c:v>1</c:v>
                </c:pt>
                <c:pt idx="1560">
                  <c:v>1</c:v>
                </c:pt>
                <c:pt idx="1561">
                  <c:v>1</c:v>
                </c:pt>
                <c:pt idx="1562">
                  <c:v>1</c:v>
                </c:pt>
                <c:pt idx="1563">
                  <c:v>1</c:v>
                </c:pt>
                <c:pt idx="1564">
                  <c:v>1</c:v>
                </c:pt>
                <c:pt idx="1565">
                  <c:v>1</c:v>
                </c:pt>
                <c:pt idx="1566">
                  <c:v>1</c:v>
                </c:pt>
                <c:pt idx="1567">
                  <c:v>1</c:v>
                </c:pt>
                <c:pt idx="1568">
                  <c:v>0.97</c:v>
                </c:pt>
                <c:pt idx="1569">
                  <c:v>0.95</c:v>
                </c:pt>
                <c:pt idx="1570">
                  <c:v>0.94</c:v>
                </c:pt>
                <c:pt idx="1571">
                  <c:v>0.94</c:v>
                </c:pt>
                <c:pt idx="1572">
                  <c:v>0.76</c:v>
                </c:pt>
                <c:pt idx="1573">
                  <c:v>0.67</c:v>
                </c:pt>
                <c:pt idx="1574">
                  <c:v>0.61</c:v>
                </c:pt>
                <c:pt idx="1575">
                  <c:v>0.62</c:v>
                </c:pt>
                <c:pt idx="1576">
                  <c:v>0.62</c:v>
                </c:pt>
                <c:pt idx="1577">
                  <c:v>0.62</c:v>
                </c:pt>
                <c:pt idx="1578">
                  <c:v>0.69</c:v>
                </c:pt>
                <c:pt idx="1579">
                  <c:v>0.77</c:v>
                </c:pt>
                <c:pt idx="1580">
                  <c:v>0.83</c:v>
                </c:pt>
                <c:pt idx="1581">
                  <c:v>0.96</c:v>
                </c:pt>
                <c:pt idx="1582">
                  <c:v>0.94</c:v>
                </c:pt>
                <c:pt idx="1583">
                  <c:v>0.94</c:v>
                </c:pt>
                <c:pt idx="1584">
                  <c:v>0.94</c:v>
                </c:pt>
                <c:pt idx="1585">
                  <c:v>0.94</c:v>
                </c:pt>
                <c:pt idx="1586">
                  <c:v>0.95</c:v>
                </c:pt>
                <c:pt idx="1587">
                  <c:v>0.94</c:v>
                </c:pt>
                <c:pt idx="1588">
                  <c:v>0.99</c:v>
                </c:pt>
                <c:pt idx="1589">
                  <c:v>1</c:v>
                </c:pt>
                <c:pt idx="1590">
                  <c:v>1</c:v>
                </c:pt>
                <c:pt idx="1591">
                  <c:v>1</c:v>
                </c:pt>
                <c:pt idx="1592">
                  <c:v>1</c:v>
                </c:pt>
                <c:pt idx="1593">
                  <c:v>1</c:v>
                </c:pt>
                <c:pt idx="1594">
                  <c:v>1</c:v>
                </c:pt>
                <c:pt idx="1595">
                  <c:v>1</c:v>
                </c:pt>
                <c:pt idx="1596">
                  <c:v>1</c:v>
                </c:pt>
                <c:pt idx="1597">
                  <c:v>1</c:v>
                </c:pt>
                <c:pt idx="1598">
                  <c:v>0.99</c:v>
                </c:pt>
                <c:pt idx="1599">
                  <c:v>0.95</c:v>
                </c:pt>
                <c:pt idx="1600">
                  <c:v>0.94</c:v>
                </c:pt>
                <c:pt idx="1601">
                  <c:v>0.88</c:v>
                </c:pt>
                <c:pt idx="1602">
                  <c:v>0.89</c:v>
                </c:pt>
                <c:pt idx="1603">
                  <c:v>0.85</c:v>
                </c:pt>
                <c:pt idx="1604">
                  <c:v>0.84</c:v>
                </c:pt>
                <c:pt idx="1605">
                  <c:v>0.75</c:v>
                </c:pt>
                <c:pt idx="1606">
                  <c:v>0.64</c:v>
                </c:pt>
                <c:pt idx="1607">
                  <c:v>0.61</c:v>
                </c:pt>
                <c:pt idx="1608">
                  <c:v>0.61</c:v>
                </c:pt>
                <c:pt idx="1609">
                  <c:v>0.6</c:v>
                </c:pt>
                <c:pt idx="1610">
                  <c:v>0.65</c:v>
                </c:pt>
                <c:pt idx="1611">
                  <c:v>0.67</c:v>
                </c:pt>
                <c:pt idx="1612">
                  <c:v>0.64</c:v>
                </c:pt>
                <c:pt idx="1613">
                  <c:v>0.61</c:v>
                </c:pt>
                <c:pt idx="1614">
                  <c:v>0.59</c:v>
                </c:pt>
                <c:pt idx="1615">
                  <c:v>0.56000000000000005</c:v>
                </c:pt>
                <c:pt idx="1616">
                  <c:v>0.52</c:v>
                </c:pt>
                <c:pt idx="1617">
                  <c:v>0.52</c:v>
                </c:pt>
                <c:pt idx="1618">
                  <c:v>0.52</c:v>
                </c:pt>
                <c:pt idx="1619">
                  <c:v>0.51</c:v>
                </c:pt>
                <c:pt idx="1620">
                  <c:v>0.54</c:v>
                </c:pt>
                <c:pt idx="1621">
                  <c:v>0.63</c:v>
                </c:pt>
                <c:pt idx="1622">
                  <c:v>0.73</c:v>
                </c:pt>
                <c:pt idx="1623">
                  <c:v>0.81</c:v>
                </c:pt>
                <c:pt idx="1624">
                  <c:v>0.9</c:v>
                </c:pt>
                <c:pt idx="1625">
                  <c:v>0.98</c:v>
                </c:pt>
                <c:pt idx="1626">
                  <c:v>1</c:v>
                </c:pt>
                <c:pt idx="1627">
                  <c:v>1</c:v>
                </c:pt>
                <c:pt idx="1628">
                  <c:v>1</c:v>
                </c:pt>
                <c:pt idx="1629">
                  <c:v>1</c:v>
                </c:pt>
                <c:pt idx="1630">
                  <c:v>1</c:v>
                </c:pt>
                <c:pt idx="1631">
                  <c:v>1</c:v>
                </c:pt>
                <c:pt idx="1632">
                  <c:v>1</c:v>
                </c:pt>
                <c:pt idx="1633">
                  <c:v>1</c:v>
                </c:pt>
                <c:pt idx="1634">
                  <c:v>1</c:v>
                </c:pt>
                <c:pt idx="1635">
                  <c:v>1</c:v>
                </c:pt>
                <c:pt idx="1636">
                  <c:v>1</c:v>
                </c:pt>
                <c:pt idx="1637">
                  <c:v>1</c:v>
                </c:pt>
                <c:pt idx="1638">
                  <c:v>1</c:v>
                </c:pt>
                <c:pt idx="1639">
                  <c:v>1</c:v>
                </c:pt>
                <c:pt idx="1640">
                  <c:v>1</c:v>
                </c:pt>
                <c:pt idx="1641">
                  <c:v>1</c:v>
                </c:pt>
                <c:pt idx="1642">
                  <c:v>1</c:v>
                </c:pt>
                <c:pt idx="1643">
                  <c:v>1</c:v>
                </c:pt>
                <c:pt idx="1644">
                  <c:v>1</c:v>
                </c:pt>
                <c:pt idx="1645">
                  <c:v>1</c:v>
                </c:pt>
                <c:pt idx="1646">
                  <c:v>1</c:v>
                </c:pt>
                <c:pt idx="1647">
                  <c:v>1</c:v>
                </c:pt>
                <c:pt idx="1648">
                  <c:v>0.88</c:v>
                </c:pt>
                <c:pt idx="1649">
                  <c:v>0.67</c:v>
                </c:pt>
                <c:pt idx="1650">
                  <c:v>0.61</c:v>
                </c:pt>
                <c:pt idx="1651">
                  <c:v>0.56999999999999995</c:v>
                </c:pt>
                <c:pt idx="1652">
                  <c:v>0.53</c:v>
                </c:pt>
                <c:pt idx="1653">
                  <c:v>0.51</c:v>
                </c:pt>
                <c:pt idx="1654">
                  <c:v>0.48</c:v>
                </c:pt>
                <c:pt idx="1655">
                  <c:v>0.48</c:v>
                </c:pt>
                <c:pt idx="1656">
                  <c:v>0.51</c:v>
                </c:pt>
                <c:pt idx="1657">
                  <c:v>0.52</c:v>
                </c:pt>
                <c:pt idx="1658">
                  <c:v>0.49</c:v>
                </c:pt>
                <c:pt idx="1659">
                  <c:v>0.49</c:v>
                </c:pt>
                <c:pt idx="1660">
                  <c:v>0.5</c:v>
                </c:pt>
                <c:pt idx="1661">
                  <c:v>0.52</c:v>
                </c:pt>
                <c:pt idx="1662">
                  <c:v>0.53</c:v>
                </c:pt>
                <c:pt idx="1663">
                  <c:v>0.54</c:v>
                </c:pt>
                <c:pt idx="1664">
                  <c:v>0.6</c:v>
                </c:pt>
                <c:pt idx="1665">
                  <c:v>0.59</c:v>
                </c:pt>
                <c:pt idx="1666">
                  <c:v>0.56000000000000005</c:v>
                </c:pt>
                <c:pt idx="1667">
                  <c:v>0.56999999999999995</c:v>
                </c:pt>
                <c:pt idx="1668">
                  <c:v>0.59</c:v>
                </c:pt>
                <c:pt idx="1669">
                  <c:v>0.68</c:v>
                </c:pt>
                <c:pt idx="1670">
                  <c:v>0.76</c:v>
                </c:pt>
                <c:pt idx="1671">
                  <c:v>0.84</c:v>
                </c:pt>
                <c:pt idx="1672">
                  <c:v>0.98</c:v>
                </c:pt>
                <c:pt idx="1673">
                  <c:v>1</c:v>
                </c:pt>
                <c:pt idx="1674">
                  <c:v>1</c:v>
                </c:pt>
                <c:pt idx="1675">
                  <c:v>1</c:v>
                </c:pt>
                <c:pt idx="1676">
                  <c:v>1</c:v>
                </c:pt>
                <c:pt idx="1677">
                  <c:v>1</c:v>
                </c:pt>
                <c:pt idx="1678">
                  <c:v>1</c:v>
                </c:pt>
                <c:pt idx="1679">
                  <c:v>1</c:v>
                </c:pt>
                <c:pt idx="1680">
                  <c:v>1</c:v>
                </c:pt>
                <c:pt idx="1681">
                  <c:v>1</c:v>
                </c:pt>
                <c:pt idx="1682">
                  <c:v>1</c:v>
                </c:pt>
                <c:pt idx="1683">
                  <c:v>1</c:v>
                </c:pt>
                <c:pt idx="1684">
                  <c:v>0.9</c:v>
                </c:pt>
                <c:pt idx="1685">
                  <c:v>0.79</c:v>
                </c:pt>
                <c:pt idx="1686">
                  <c:v>0.71</c:v>
                </c:pt>
                <c:pt idx="1687">
                  <c:v>0.69</c:v>
                </c:pt>
                <c:pt idx="1688">
                  <c:v>0.65</c:v>
                </c:pt>
                <c:pt idx="1689">
                  <c:v>0.61</c:v>
                </c:pt>
                <c:pt idx="1690">
                  <c:v>0.54</c:v>
                </c:pt>
                <c:pt idx="1691">
                  <c:v>0.49</c:v>
                </c:pt>
                <c:pt idx="1692">
                  <c:v>0.46</c:v>
                </c:pt>
                <c:pt idx="1693">
                  <c:v>0.45</c:v>
                </c:pt>
                <c:pt idx="1694">
                  <c:v>0.45</c:v>
                </c:pt>
                <c:pt idx="1695">
                  <c:v>0.44</c:v>
                </c:pt>
                <c:pt idx="1696">
                  <c:v>0.43</c:v>
                </c:pt>
                <c:pt idx="1697">
                  <c:v>0.42</c:v>
                </c:pt>
                <c:pt idx="1698">
                  <c:v>0.41</c:v>
                </c:pt>
                <c:pt idx="1699">
                  <c:v>0.41</c:v>
                </c:pt>
                <c:pt idx="1700">
                  <c:v>0.43</c:v>
                </c:pt>
                <c:pt idx="1701">
                  <c:v>0.47</c:v>
                </c:pt>
                <c:pt idx="1702">
                  <c:v>0.49</c:v>
                </c:pt>
                <c:pt idx="1703">
                  <c:v>0.52</c:v>
                </c:pt>
                <c:pt idx="1704">
                  <c:v>0.54</c:v>
                </c:pt>
                <c:pt idx="1705">
                  <c:v>0.56999999999999995</c:v>
                </c:pt>
                <c:pt idx="1706">
                  <c:v>0.65</c:v>
                </c:pt>
                <c:pt idx="1707">
                  <c:v>0.74</c:v>
                </c:pt>
                <c:pt idx="1708">
                  <c:v>0.77</c:v>
                </c:pt>
                <c:pt idx="1709">
                  <c:v>0.81</c:v>
                </c:pt>
                <c:pt idx="1710">
                  <c:v>0.77</c:v>
                </c:pt>
                <c:pt idx="1711">
                  <c:v>0.77</c:v>
                </c:pt>
                <c:pt idx="1712">
                  <c:v>0.78</c:v>
                </c:pt>
                <c:pt idx="1713">
                  <c:v>0.81</c:v>
                </c:pt>
                <c:pt idx="1714">
                  <c:v>0.75</c:v>
                </c:pt>
                <c:pt idx="1715">
                  <c:v>0.63</c:v>
                </c:pt>
                <c:pt idx="1716">
                  <c:v>0.54</c:v>
                </c:pt>
                <c:pt idx="1717">
                  <c:v>0.49</c:v>
                </c:pt>
                <c:pt idx="1718">
                  <c:v>0.44</c:v>
                </c:pt>
                <c:pt idx="1719">
                  <c:v>0.43</c:v>
                </c:pt>
                <c:pt idx="1720">
                  <c:v>0.43</c:v>
                </c:pt>
                <c:pt idx="1721">
                  <c:v>0.43</c:v>
                </c:pt>
                <c:pt idx="1722">
                  <c:v>0.44</c:v>
                </c:pt>
                <c:pt idx="1723">
                  <c:v>0.46</c:v>
                </c:pt>
                <c:pt idx="1724">
                  <c:v>0.45</c:v>
                </c:pt>
                <c:pt idx="1725">
                  <c:v>0.43</c:v>
                </c:pt>
                <c:pt idx="1726">
                  <c:v>0.43</c:v>
                </c:pt>
                <c:pt idx="1727">
                  <c:v>0.44</c:v>
                </c:pt>
                <c:pt idx="1728">
                  <c:v>0.43</c:v>
                </c:pt>
                <c:pt idx="1729">
                  <c:v>0.42</c:v>
                </c:pt>
                <c:pt idx="1730">
                  <c:v>0.43</c:v>
                </c:pt>
                <c:pt idx="1731">
                  <c:v>0.44</c:v>
                </c:pt>
                <c:pt idx="1732">
                  <c:v>0.44</c:v>
                </c:pt>
                <c:pt idx="1733">
                  <c:v>0.44</c:v>
                </c:pt>
                <c:pt idx="1734">
                  <c:v>0.44</c:v>
                </c:pt>
                <c:pt idx="1735">
                  <c:v>0.44</c:v>
                </c:pt>
                <c:pt idx="1736">
                  <c:v>0.45</c:v>
                </c:pt>
                <c:pt idx="1737">
                  <c:v>0.47</c:v>
                </c:pt>
                <c:pt idx="1738">
                  <c:v>0.47</c:v>
                </c:pt>
                <c:pt idx="1739">
                  <c:v>0.48</c:v>
                </c:pt>
                <c:pt idx="1740">
                  <c:v>0.48</c:v>
                </c:pt>
                <c:pt idx="1741">
                  <c:v>0.5</c:v>
                </c:pt>
                <c:pt idx="1742">
                  <c:v>0.52</c:v>
                </c:pt>
                <c:pt idx="1743">
                  <c:v>0.55000000000000004</c:v>
                </c:pt>
                <c:pt idx="1744">
                  <c:v>0.62</c:v>
                </c:pt>
                <c:pt idx="1745">
                  <c:v>0.7</c:v>
                </c:pt>
                <c:pt idx="1746">
                  <c:v>0.73</c:v>
                </c:pt>
                <c:pt idx="1747">
                  <c:v>0.75</c:v>
                </c:pt>
                <c:pt idx="1748">
                  <c:v>0.77</c:v>
                </c:pt>
                <c:pt idx="1749">
                  <c:v>0.84</c:v>
                </c:pt>
                <c:pt idx="1750">
                  <c:v>1</c:v>
                </c:pt>
                <c:pt idx="1751">
                  <c:v>1</c:v>
                </c:pt>
                <c:pt idx="1752">
                  <c:v>1</c:v>
                </c:pt>
                <c:pt idx="1753">
                  <c:v>1</c:v>
                </c:pt>
                <c:pt idx="1754">
                  <c:v>1</c:v>
                </c:pt>
                <c:pt idx="1755">
                  <c:v>0.86</c:v>
                </c:pt>
                <c:pt idx="1756">
                  <c:v>0.81</c:v>
                </c:pt>
                <c:pt idx="1757">
                  <c:v>0.78</c:v>
                </c:pt>
                <c:pt idx="1758">
                  <c:v>0.8</c:v>
                </c:pt>
                <c:pt idx="1759">
                  <c:v>0.77</c:v>
                </c:pt>
                <c:pt idx="1760">
                  <c:v>0.75</c:v>
                </c:pt>
                <c:pt idx="1761">
                  <c:v>0.82</c:v>
                </c:pt>
                <c:pt idx="1762">
                  <c:v>0.91</c:v>
                </c:pt>
                <c:pt idx="1763">
                  <c:v>0.9</c:v>
                </c:pt>
                <c:pt idx="1764">
                  <c:v>0.87</c:v>
                </c:pt>
                <c:pt idx="1765">
                  <c:v>0.82</c:v>
                </c:pt>
                <c:pt idx="1766">
                  <c:v>0.7</c:v>
                </c:pt>
                <c:pt idx="1767">
                  <c:v>0.62</c:v>
                </c:pt>
                <c:pt idx="1768">
                  <c:v>0.56999999999999995</c:v>
                </c:pt>
                <c:pt idx="1769">
                  <c:v>0.55000000000000004</c:v>
                </c:pt>
                <c:pt idx="1770">
                  <c:v>0.53</c:v>
                </c:pt>
                <c:pt idx="1771">
                  <c:v>0.57999999999999996</c:v>
                </c:pt>
                <c:pt idx="1772">
                  <c:v>0.7</c:v>
                </c:pt>
                <c:pt idx="1773">
                  <c:v>0.82</c:v>
                </c:pt>
                <c:pt idx="1774">
                  <c:v>0.87</c:v>
                </c:pt>
                <c:pt idx="1775">
                  <c:v>0.9</c:v>
                </c:pt>
                <c:pt idx="1776">
                  <c:v>0.96</c:v>
                </c:pt>
                <c:pt idx="1777">
                  <c:v>1</c:v>
                </c:pt>
                <c:pt idx="1778">
                  <c:v>0.89</c:v>
                </c:pt>
                <c:pt idx="1779">
                  <c:v>0.93</c:v>
                </c:pt>
                <c:pt idx="1780">
                  <c:v>0.95</c:v>
                </c:pt>
                <c:pt idx="1781">
                  <c:v>1</c:v>
                </c:pt>
                <c:pt idx="1782">
                  <c:v>1</c:v>
                </c:pt>
                <c:pt idx="1783">
                  <c:v>0.94</c:v>
                </c:pt>
                <c:pt idx="1784">
                  <c:v>0.94</c:v>
                </c:pt>
                <c:pt idx="1785">
                  <c:v>1</c:v>
                </c:pt>
                <c:pt idx="1786">
                  <c:v>1</c:v>
                </c:pt>
                <c:pt idx="1787">
                  <c:v>1</c:v>
                </c:pt>
                <c:pt idx="1788">
                  <c:v>1</c:v>
                </c:pt>
                <c:pt idx="1789">
                  <c:v>0.82</c:v>
                </c:pt>
                <c:pt idx="1790">
                  <c:v>0.65</c:v>
                </c:pt>
                <c:pt idx="1791">
                  <c:v>0.52</c:v>
                </c:pt>
                <c:pt idx="1792">
                  <c:v>0.49</c:v>
                </c:pt>
                <c:pt idx="1793">
                  <c:v>0.47</c:v>
                </c:pt>
                <c:pt idx="1794">
                  <c:v>0.47</c:v>
                </c:pt>
                <c:pt idx="1795">
                  <c:v>0.46</c:v>
                </c:pt>
                <c:pt idx="1796">
                  <c:v>0.46</c:v>
                </c:pt>
                <c:pt idx="1797">
                  <c:v>0.46</c:v>
                </c:pt>
                <c:pt idx="1798">
                  <c:v>0.49</c:v>
                </c:pt>
                <c:pt idx="1799">
                  <c:v>0.53</c:v>
                </c:pt>
                <c:pt idx="1800">
                  <c:v>0.55000000000000004</c:v>
                </c:pt>
                <c:pt idx="1801">
                  <c:v>0.57999999999999996</c:v>
                </c:pt>
                <c:pt idx="1802">
                  <c:v>0.62</c:v>
                </c:pt>
                <c:pt idx="1803">
                  <c:v>0.66</c:v>
                </c:pt>
                <c:pt idx="1804">
                  <c:v>0.72</c:v>
                </c:pt>
                <c:pt idx="1805">
                  <c:v>0.8</c:v>
                </c:pt>
                <c:pt idx="1806">
                  <c:v>0.88</c:v>
                </c:pt>
                <c:pt idx="1807">
                  <c:v>0.83</c:v>
                </c:pt>
                <c:pt idx="1808">
                  <c:v>0.79</c:v>
                </c:pt>
                <c:pt idx="1809">
                  <c:v>0.71</c:v>
                </c:pt>
                <c:pt idx="1810">
                  <c:v>0.68</c:v>
                </c:pt>
                <c:pt idx="1811">
                  <c:v>0.6</c:v>
                </c:pt>
                <c:pt idx="1812">
                  <c:v>0.59</c:v>
                </c:pt>
                <c:pt idx="1813">
                  <c:v>0.65</c:v>
                </c:pt>
                <c:pt idx="1814">
                  <c:v>0.67</c:v>
                </c:pt>
                <c:pt idx="1815">
                  <c:v>0.7</c:v>
                </c:pt>
                <c:pt idx="1816">
                  <c:v>0.75</c:v>
                </c:pt>
                <c:pt idx="1817">
                  <c:v>0.76</c:v>
                </c:pt>
                <c:pt idx="1818">
                  <c:v>0.77</c:v>
                </c:pt>
                <c:pt idx="1819">
                  <c:v>0.83</c:v>
                </c:pt>
                <c:pt idx="1820">
                  <c:v>1</c:v>
                </c:pt>
                <c:pt idx="1821">
                  <c:v>1</c:v>
                </c:pt>
                <c:pt idx="1822">
                  <c:v>1</c:v>
                </c:pt>
                <c:pt idx="1823">
                  <c:v>1</c:v>
                </c:pt>
                <c:pt idx="1824">
                  <c:v>1</c:v>
                </c:pt>
                <c:pt idx="1825">
                  <c:v>1</c:v>
                </c:pt>
                <c:pt idx="1826">
                  <c:v>1</c:v>
                </c:pt>
                <c:pt idx="1827">
                  <c:v>1</c:v>
                </c:pt>
                <c:pt idx="1828">
                  <c:v>1</c:v>
                </c:pt>
                <c:pt idx="1829">
                  <c:v>1</c:v>
                </c:pt>
                <c:pt idx="1830">
                  <c:v>1</c:v>
                </c:pt>
                <c:pt idx="1831">
                  <c:v>1</c:v>
                </c:pt>
                <c:pt idx="1832">
                  <c:v>1</c:v>
                </c:pt>
                <c:pt idx="1833">
                  <c:v>1</c:v>
                </c:pt>
                <c:pt idx="1834">
                  <c:v>1</c:v>
                </c:pt>
                <c:pt idx="1835">
                  <c:v>0.88</c:v>
                </c:pt>
                <c:pt idx="1836">
                  <c:v>0.76</c:v>
                </c:pt>
                <c:pt idx="1837">
                  <c:v>0.72</c:v>
                </c:pt>
                <c:pt idx="1838">
                  <c:v>0.69</c:v>
                </c:pt>
                <c:pt idx="1839">
                  <c:v>0.63</c:v>
                </c:pt>
                <c:pt idx="1840">
                  <c:v>0.53</c:v>
                </c:pt>
                <c:pt idx="1841">
                  <c:v>0.48</c:v>
                </c:pt>
                <c:pt idx="1842">
                  <c:v>0.47</c:v>
                </c:pt>
                <c:pt idx="1843">
                  <c:v>0.49</c:v>
                </c:pt>
                <c:pt idx="1844">
                  <c:v>0.53</c:v>
                </c:pt>
                <c:pt idx="1845">
                  <c:v>0.56000000000000005</c:v>
                </c:pt>
                <c:pt idx="1846">
                  <c:v>0.57999999999999996</c:v>
                </c:pt>
                <c:pt idx="1847">
                  <c:v>0.55000000000000004</c:v>
                </c:pt>
                <c:pt idx="1848">
                  <c:v>0.48</c:v>
                </c:pt>
                <c:pt idx="1849">
                  <c:v>0.45</c:v>
                </c:pt>
                <c:pt idx="1850">
                  <c:v>0.45</c:v>
                </c:pt>
                <c:pt idx="1851">
                  <c:v>0.45</c:v>
                </c:pt>
                <c:pt idx="1852">
                  <c:v>0.45</c:v>
                </c:pt>
                <c:pt idx="1853">
                  <c:v>0.44</c:v>
                </c:pt>
                <c:pt idx="1854">
                  <c:v>0.43</c:v>
                </c:pt>
                <c:pt idx="1855">
                  <c:v>0.44</c:v>
                </c:pt>
                <c:pt idx="1856">
                  <c:v>0.44</c:v>
                </c:pt>
                <c:pt idx="1857">
                  <c:v>0.44</c:v>
                </c:pt>
                <c:pt idx="1858">
                  <c:v>0.44</c:v>
                </c:pt>
                <c:pt idx="1859">
                  <c:v>0.44</c:v>
                </c:pt>
                <c:pt idx="1860">
                  <c:v>0.44</c:v>
                </c:pt>
                <c:pt idx="1861">
                  <c:v>0.45</c:v>
                </c:pt>
                <c:pt idx="1862">
                  <c:v>0.45</c:v>
                </c:pt>
                <c:pt idx="1863">
                  <c:v>0.46</c:v>
                </c:pt>
                <c:pt idx="1864">
                  <c:v>0.46</c:v>
                </c:pt>
                <c:pt idx="1865">
                  <c:v>0.45</c:v>
                </c:pt>
                <c:pt idx="1866">
                  <c:v>0.45</c:v>
                </c:pt>
                <c:pt idx="1867">
                  <c:v>0.43</c:v>
                </c:pt>
                <c:pt idx="1868">
                  <c:v>0.43</c:v>
                </c:pt>
                <c:pt idx="1869">
                  <c:v>0.44</c:v>
                </c:pt>
                <c:pt idx="1870">
                  <c:v>0.46</c:v>
                </c:pt>
                <c:pt idx="1871">
                  <c:v>0.5</c:v>
                </c:pt>
                <c:pt idx="1872">
                  <c:v>0.53</c:v>
                </c:pt>
                <c:pt idx="1873">
                  <c:v>0.55000000000000004</c:v>
                </c:pt>
                <c:pt idx="1874">
                  <c:v>0.57999999999999996</c:v>
                </c:pt>
                <c:pt idx="1875">
                  <c:v>0.61</c:v>
                </c:pt>
                <c:pt idx="1876">
                  <c:v>0.69</c:v>
                </c:pt>
                <c:pt idx="1877">
                  <c:v>0.77</c:v>
                </c:pt>
                <c:pt idx="1878">
                  <c:v>0.86</c:v>
                </c:pt>
                <c:pt idx="1879">
                  <c:v>1</c:v>
                </c:pt>
                <c:pt idx="1880">
                  <c:v>1</c:v>
                </c:pt>
                <c:pt idx="1881">
                  <c:v>1</c:v>
                </c:pt>
                <c:pt idx="1882">
                  <c:v>1</c:v>
                </c:pt>
                <c:pt idx="1883">
                  <c:v>1</c:v>
                </c:pt>
                <c:pt idx="1884">
                  <c:v>1</c:v>
                </c:pt>
                <c:pt idx="1885">
                  <c:v>0.98</c:v>
                </c:pt>
                <c:pt idx="1886">
                  <c:v>0.99</c:v>
                </c:pt>
                <c:pt idx="1887">
                  <c:v>0.98</c:v>
                </c:pt>
                <c:pt idx="1888">
                  <c:v>1</c:v>
                </c:pt>
                <c:pt idx="1889">
                  <c:v>1</c:v>
                </c:pt>
                <c:pt idx="1890">
                  <c:v>1</c:v>
                </c:pt>
                <c:pt idx="1891">
                  <c:v>0.98</c:v>
                </c:pt>
                <c:pt idx="1892">
                  <c:v>0.96</c:v>
                </c:pt>
                <c:pt idx="1893">
                  <c:v>1</c:v>
                </c:pt>
                <c:pt idx="1894">
                  <c:v>1</c:v>
                </c:pt>
                <c:pt idx="1895">
                  <c:v>1</c:v>
                </c:pt>
                <c:pt idx="1896">
                  <c:v>1</c:v>
                </c:pt>
                <c:pt idx="1897">
                  <c:v>0.99</c:v>
                </c:pt>
                <c:pt idx="1898">
                  <c:v>0.95</c:v>
                </c:pt>
                <c:pt idx="1899">
                  <c:v>1</c:v>
                </c:pt>
                <c:pt idx="1900">
                  <c:v>1</c:v>
                </c:pt>
                <c:pt idx="1901">
                  <c:v>0.89</c:v>
                </c:pt>
                <c:pt idx="1902">
                  <c:v>0.9</c:v>
                </c:pt>
                <c:pt idx="1903">
                  <c:v>0.98</c:v>
                </c:pt>
                <c:pt idx="1904">
                  <c:v>0.96</c:v>
                </c:pt>
                <c:pt idx="1905">
                  <c:v>0.83</c:v>
                </c:pt>
                <c:pt idx="1906">
                  <c:v>0.94</c:v>
                </c:pt>
                <c:pt idx="1907">
                  <c:v>0.91</c:v>
                </c:pt>
                <c:pt idx="1908">
                  <c:v>0.92</c:v>
                </c:pt>
                <c:pt idx="1909">
                  <c:v>0.93</c:v>
                </c:pt>
                <c:pt idx="1910">
                  <c:v>0.91</c:v>
                </c:pt>
                <c:pt idx="1911">
                  <c:v>0.92</c:v>
                </c:pt>
                <c:pt idx="1912">
                  <c:v>0.94</c:v>
                </c:pt>
                <c:pt idx="1913">
                  <c:v>0.92</c:v>
                </c:pt>
                <c:pt idx="1914">
                  <c:v>0.96</c:v>
                </c:pt>
                <c:pt idx="1915">
                  <c:v>0.97</c:v>
                </c:pt>
                <c:pt idx="1916">
                  <c:v>0.96</c:v>
                </c:pt>
                <c:pt idx="1917">
                  <c:v>0.99</c:v>
                </c:pt>
                <c:pt idx="1918">
                  <c:v>1</c:v>
                </c:pt>
                <c:pt idx="1919">
                  <c:v>0.97</c:v>
                </c:pt>
                <c:pt idx="1920">
                  <c:v>0.98</c:v>
                </c:pt>
                <c:pt idx="1921">
                  <c:v>0.96</c:v>
                </c:pt>
                <c:pt idx="1922">
                  <c:v>0.94</c:v>
                </c:pt>
                <c:pt idx="1923">
                  <c:v>0.91</c:v>
                </c:pt>
                <c:pt idx="1924">
                  <c:v>0.89</c:v>
                </c:pt>
                <c:pt idx="1925">
                  <c:v>0.87</c:v>
                </c:pt>
                <c:pt idx="1926">
                  <c:v>0.89</c:v>
                </c:pt>
                <c:pt idx="1927">
                  <c:v>0.9</c:v>
                </c:pt>
                <c:pt idx="1928">
                  <c:v>0.91</c:v>
                </c:pt>
                <c:pt idx="1929">
                  <c:v>0.88</c:v>
                </c:pt>
                <c:pt idx="1930">
                  <c:v>0.8</c:v>
                </c:pt>
                <c:pt idx="1931">
                  <c:v>0.74</c:v>
                </c:pt>
                <c:pt idx="1932">
                  <c:v>0.72</c:v>
                </c:pt>
                <c:pt idx="1933">
                  <c:v>0.7</c:v>
                </c:pt>
                <c:pt idx="1934">
                  <c:v>0.72</c:v>
                </c:pt>
                <c:pt idx="1935">
                  <c:v>0.73</c:v>
                </c:pt>
                <c:pt idx="1936">
                  <c:v>0.76</c:v>
                </c:pt>
                <c:pt idx="1937">
                  <c:v>0.83</c:v>
                </c:pt>
                <c:pt idx="1938">
                  <c:v>0.97</c:v>
                </c:pt>
                <c:pt idx="1939">
                  <c:v>0.92</c:v>
                </c:pt>
                <c:pt idx="1940">
                  <c:v>0.93</c:v>
                </c:pt>
                <c:pt idx="1941">
                  <c:v>0.96</c:v>
                </c:pt>
                <c:pt idx="1942">
                  <c:v>0.95</c:v>
                </c:pt>
                <c:pt idx="1943">
                  <c:v>0.94</c:v>
                </c:pt>
                <c:pt idx="1944">
                  <c:v>0.95</c:v>
                </c:pt>
                <c:pt idx="1945">
                  <c:v>0.98</c:v>
                </c:pt>
                <c:pt idx="1946">
                  <c:v>0.97</c:v>
                </c:pt>
                <c:pt idx="1947">
                  <c:v>0.96</c:v>
                </c:pt>
                <c:pt idx="1948">
                  <c:v>0.96</c:v>
                </c:pt>
                <c:pt idx="1949">
                  <c:v>0.93</c:v>
                </c:pt>
                <c:pt idx="1950">
                  <c:v>0.96</c:v>
                </c:pt>
                <c:pt idx="1951">
                  <c:v>0.96</c:v>
                </c:pt>
                <c:pt idx="1952">
                  <c:v>0.95</c:v>
                </c:pt>
                <c:pt idx="1953">
                  <c:v>0.97</c:v>
                </c:pt>
                <c:pt idx="1954">
                  <c:v>0.94</c:v>
                </c:pt>
                <c:pt idx="1955">
                  <c:v>0.94</c:v>
                </c:pt>
                <c:pt idx="1956">
                  <c:v>0.93</c:v>
                </c:pt>
                <c:pt idx="1957">
                  <c:v>0.76</c:v>
                </c:pt>
                <c:pt idx="1958">
                  <c:v>0.75</c:v>
                </c:pt>
                <c:pt idx="1959">
                  <c:v>0.73</c:v>
                </c:pt>
                <c:pt idx="1960">
                  <c:v>0.77</c:v>
                </c:pt>
                <c:pt idx="1961">
                  <c:v>0.85</c:v>
                </c:pt>
                <c:pt idx="1962">
                  <c:v>1</c:v>
                </c:pt>
                <c:pt idx="1963">
                  <c:v>0.99</c:v>
                </c:pt>
                <c:pt idx="1964">
                  <c:v>0.97</c:v>
                </c:pt>
                <c:pt idx="1965">
                  <c:v>0.95</c:v>
                </c:pt>
                <c:pt idx="1966">
                  <c:v>0.95</c:v>
                </c:pt>
                <c:pt idx="1967">
                  <c:v>0.94</c:v>
                </c:pt>
                <c:pt idx="1968">
                  <c:v>0.97</c:v>
                </c:pt>
                <c:pt idx="1969">
                  <c:v>0.99</c:v>
                </c:pt>
                <c:pt idx="1970">
                  <c:v>1</c:v>
                </c:pt>
                <c:pt idx="1971">
                  <c:v>0.99</c:v>
                </c:pt>
                <c:pt idx="1972">
                  <c:v>0.98</c:v>
                </c:pt>
                <c:pt idx="1973">
                  <c:v>1</c:v>
                </c:pt>
                <c:pt idx="1974">
                  <c:v>1</c:v>
                </c:pt>
                <c:pt idx="1975">
                  <c:v>1</c:v>
                </c:pt>
                <c:pt idx="1976">
                  <c:v>1</c:v>
                </c:pt>
                <c:pt idx="1977">
                  <c:v>1</c:v>
                </c:pt>
                <c:pt idx="1978">
                  <c:v>0.99</c:v>
                </c:pt>
                <c:pt idx="1979">
                  <c:v>1</c:v>
                </c:pt>
                <c:pt idx="1980">
                  <c:v>1</c:v>
                </c:pt>
                <c:pt idx="1981">
                  <c:v>0.96</c:v>
                </c:pt>
                <c:pt idx="1982">
                  <c:v>0.97</c:v>
                </c:pt>
                <c:pt idx="1983">
                  <c:v>0.98</c:v>
                </c:pt>
                <c:pt idx="1984">
                  <c:v>0.97</c:v>
                </c:pt>
                <c:pt idx="1985">
                  <c:v>0.96</c:v>
                </c:pt>
                <c:pt idx="1986">
                  <c:v>0.88</c:v>
                </c:pt>
                <c:pt idx="1987">
                  <c:v>0.85</c:v>
                </c:pt>
                <c:pt idx="1988">
                  <c:v>0.79</c:v>
                </c:pt>
                <c:pt idx="1989">
                  <c:v>0.79</c:v>
                </c:pt>
                <c:pt idx="1990">
                  <c:v>0.81</c:v>
                </c:pt>
                <c:pt idx="1991">
                  <c:v>0.83</c:v>
                </c:pt>
                <c:pt idx="1992">
                  <c:v>0.82</c:v>
                </c:pt>
                <c:pt idx="1993">
                  <c:v>0.9</c:v>
                </c:pt>
                <c:pt idx="1994">
                  <c:v>0.89</c:v>
                </c:pt>
                <c:pt idx="1995">
                  <c:v>0.91</c:v>
                </c:pt>
                <c:pt idx="1996">
                  <c:v>0.94</c:v>
                </c:pt>
                <c:pt idx="1997">
                  <c:v>0.95</c:v>
                </c:pt>
                <c:pt idx="1998">
                  <c:v>0.93</c:v>
                </c:pt>
                <c:pt idx="1999">
                  <c:v>0.93</c:v>
                </c:pt>
                <c:pt idx="2000">
                  <c:v>0.96</c:v>
                </c:pt>
                <c:pt idx="2001">
                  <c:v>0.83</c:v>
                </c:pt>
                <c:pt idx="2002">
                  <c:v>0.8</c:v>
                </c:pt>
                <c:pt idx="2003">
                  <c:v>0.81</c:v>
                </c:pt>
                <c:pt idx="2004">
                  <c:v>0.83</c:v>
                </c:pt>
                <c:pt idx="2005">
                  <c:v>0.84</c:v>
                </c:pt>
                <c:pt idx="2006">
                  <c:v>0.85</c:v>
                </c:pt>
                <c:pt idx="2007">
                  <c:v>0.89</c:v>
                </c:pt>
                <c:pt idx="2008">
                  <c:v>0.9</c:v>
                </c:pt>
                <c:pt idx="2009">
                  <c:v>1</c:v>
                </c:pt>
                <c:pt idx="2010">
                  <c:v>0.97</c:v>
                </c:pt>
                <c:pt idx="2011">
                  <c:v>0.98</c:v>
                </c:pt>
                <c:pt idx="2012">
                  <c:v>0.98</c:v>
                </c:pt>
                <c:pt idx="2013">
                  <c:v>0.96</c:v>
                </c:pt>
                <c:pt idx="2014">
                  <c:v>0.97</c:v>
                </c:pt>
                <c:pt idx="2015">
                  <c:v>0.98</c:v>
                </c:pt>
                <c:pt idx="2016">
                  <c:v>0.99</c:v>
                </c:pt>
                <c:pt idx="2017">
                  <c:v>0.98</c:v>
                </c:pt>
                <c:pt idx="2018">
                  <c:v>0.96</c:v>
                </c:pt>
                <c:pt idx="2019">
                  <c:v>0.88</c:v>
                </c:pt>
                <c:pt idx="2020">
                  <c:v>0.88</c:v>
                </c:pt>
                <c:pt idx="2021">
                  <c:v>0.95</c:v>
                </c:pt>
                <c:pt idx="2022">
                  <c:v>0.96</c:v>
                </c:pt>
                <c:pt idx="2023">
                  <c:v>0.96</c:v>
                </c:pt>
              </c:numCache>
            </c:numRef>
          </c:yVal>
          <c:smooth val="0"/>
          <c:extLst>
            <c:ext xmlns:c16="http://schemas.microsoft.com/office/drawing/2014/chart" uri="{C3380CC4-5D6E-409C-BE32-E72D297353CC}">
              <c16:uniqueId val="{00000000-97A7-4D70-8AD8-61F9D2E1DC93}"/>
            </c:ext>
          </c:extLst>
        </c:ser>
        <c:dLbls>
          <c:showLegendKey val="0"/>
          <c:showVal val="0"/>
          <c:showCatName val="0"/>
          <c:showSerName val="0"/>
          <c:showPercent val="0"/>
          <c:showBubbleSize val="0"/>
        </c:dLbls>
        <c:axId val="253703232"/>
        <c:axId val="253703808"/>
      </c:scatterChart>
      <c:valAx>
        <c:axId val="253703232"/>
        <c:scaling>
          <c:logBase val="10"/>
          <c:orientation val="minMax"/>
          <c:max val="1"/>
          <c:min val="1.0000000000000002E-2"/>
        </c:scaling>
        <c:delete val="0"/>
        <c:axPos val="b"/>
        <c:title>
          <c:tx>
            <c:rich>
              <a:bodyPr/>
              <a:lstStyle/>
              <a:p>
                <a:pPr>
                  <a:defRPr/>
                </a:pPr>
                <a:r>
                  <a:rPr lang="es-BO"/>
                  <a:t>Porosidad</a:t>
                </a:r>
              </a:p>
            </c:rich>
          </c:tx>
          <c:layout/>
          <c:overlay val="0"/>
        </c:title>
        <c:numFmt formatCode="0.000" sourceLinked="1"/>
        <c:majorTickMark val="out"/>
        <c:minorTickMark val="none"/>
        <c:tickLblPos val="nextTo"/>
        <c:crossAx val="253703808"/>
        <c:crossesAt val="1.0000000000000002E-2"/>
        <c:crossBetween val="midCat"/>
      </c:valAx>
      <c:valAx>
        <c:axId val="253703808"/>
        <c:scaling>
          <c:logBase val="10"/>
          <c:orientation val="minMax"/>
          <c:max val="1"/>
          <c:min val="1.0000000000000002E-2"/>
        </c:scaling>
        <c:delete val="0"/>
        <c:axPos val="l"/>
        <c:majorGridlines/>
        <c:title>
          <c:tx>
            <c:rich>
              <a:bodyPr/>
              <a:lstStyle/>
              <a:p>
                <a:pPr>
                  <a:defRPr/>
                </a:pPr>
                <a:r>
                  <a:rPr lang="es-BO"/>
                  <a:t>Sw</a:t>
                </a:r>
              </a:p>
            </c:rich>
          </c:tx>
          <c:layout/>
          <c:overlay val="0"/>
        </c:title>
        <c:numFmt formatCode="0.000" sourceLinked="1"/>
        <c:majorTickMark val="out"/>
        <c:minorTickMark val="none"/>
        <c:tickLblPos val="nextTo"/>
        <c:crossAx val="253703232"/>
        <c:crossesAt val="1.0000000000000002E-2"/>
        <c:crossBetween val="midCat"/>
      </c:valAx>
    </c:plotArea>
    <c:legend>
      <c:legendPos val="r"/>
      <c:layout/>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_rels/drawing2.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198120</xdr:colOff>
          <xdr:row>5</xdr:row>
          <xdr:rowOff>152400</xdr:rowOff>
        </xdr:from>
        <xdr:to>
          <xdr:col>11</xdr:col>
          <xdr:colOff>22860</xdr:colOff>
          <xdr:row>8</xdr:row>
          <xdr:rowOff>76200</xdr:rowOff>
        </xdr:to>
        <xdr:sp macro="" textlink="">
          <xdr:nvSpPr>
            <xdr:cNvPr id="52232" name="RUN_1" hidden="1">
              <a:extLst>
                <a:ext uri="{63B3BB69-23CF-44E3-9099-C40C66FF867C}">
                  <a14:compatExt spid="_x0000_s52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5</xdr:row>
      <xdr:rowOff>95250</xdr:rowOff>
    </xdr:from>
    <xdr:to>
      <xdr:col>25</xdr:col>
      <xdr:colOff>467064</xdr:colOff>
      <xdr:row>15</xdr:row>
      <xdr:rowOff>101970</xdr:rowOff>
    </xdr:to>
    <xdr:pic>
      <xdr:nvPicPr>
        <xdr:cNvPr id="6" name="Dice"/>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401800" y="904875"/>
          <a:ext cx="1486239" cy="1625970"/>
        </a:xfrm>
        <a:prstGeom prst="rect">
          <a:avLst/>
        </a:prstGeom>
      </xdr:spPr>
    </xdr:pic>
    <xdr:clientData/>
  </xdr:twoCellAnchor>
  <xdr:twoCellAnchor editAs="oneCell">
    <xdr:from>
      <xdr:col>12</xdr:col>
      <xdr:colOff>0</xdr:colOff>
      <xdr:row>1</xdr:row>
      <xdr:rowOff>0</xdr:rowOff>
    </xdr:from>
    <xdr:to>
      <xdr:col>19</xdr:col>
      <xdr:colOff>37574</xdr:colOff>
      <xdr:row>29</xdr:row>
      <xdr:rowOff>37529</xdr:rowOff>
    </xdr:to>
    <xdr:pic>
      <xdr:nvPicPr>
        <xdr:cNvPr id="2" name="Picture 1"/>
        <xdr:cNvPicPr>
          <a:picLocks noChangeAspect="1"/>
        </xdr:cNvPicPr>
      </xdr:nvPicPr>
      <xdr:blipFill>
        <a:blip xmlns:r="http://schemas.openxmlformats.org/officeDocument/2006/relationships" r:embed="rId2"/>
        <a:stretch>
          <a:fillRect/>
        </a:stretch>
      </xdr:blipFill>
      <xdr:spPr>
        <a:xfrm>
          <a:off x="8486775" y="161925"/>
          <a:ext cx="4209524" cy="4571429"/>
        </a:xfrm>
        <a:prstGeom prst="rect">
          <a:avLst/>
        </a:prstGeom>
      </xdr:spPr>
    </xdr:pic>
    <xdr:clientData/>
  </xdr:twoCellAnchor>
  <xdr:twoCellAnchor editAs="oneCell">
    <xdr:from>
      <xdr:col>12</xdr:col>
      <xdr:colOff>0</xdr:colOff>
      <xdr:row>22</xdr:row>
      <xdr:rowOff>0</xdr:rowOff>
    </xdr:from>
    <xdr:to>
      <xdr:col>27</xdr:col>
      <xdr:colOff>465613</xdr:colOff>
      <xdr:row>57</xdr:row>
      <xdr:rowOff>18354</xdr:rowOff>
    </xdr:to>
    <xdr:pic>
      <xdr:nvPicPr>
        <xdr:cNvPr id="3" name="Sensibilidad OGIP"/>
        <xdr:cNvPicPr>
          <a:picLocks noChangeAspect="1"/>
        </xdr:cNvPicPr>
      </xdr:nvPicPr>
      <xdr:blipFill>
        <a:blip xmlns:r="http://schemas.openxmlformats.org/officeDocument/2006/relationships" r:embed="rId3"/>
        <a:stretch>
          <a:fillRect/>
        </a:stretch>
      </xdr:blipFill>
      <xdr:spPr>
        <a:xfrm>
          <a:off x="8486775" y="3562350"/>
          <a:ext cx="8904763" cy="5571429"/>
        </a:xfrm>
        <a:prstGeom prst="rect">
          <a:avLst/>
        </a:prstGeom>
      </xdr:spPr>
    </xdr:pic>
    <xdr:clientData/>
  </xdr:twoCellAnchor>
  <xdr:twoCellAnchor editAs="oneCell">
    <xdr:from>
      <xdr:col>12</xdr:col>
      <xdr:colOff>0</xdr:colOff>
      <xdr:row>58</xdr:row>
      <xdr:rowOff>0</xdr:rowOff>
    </xdr:from>
    <xdr:to>
      <xdr:col>25</xdr:col>
      <xdr:colOff>8603</xdr:colOff>
      <xdr:row>96</xdr:row>
      <xdr:rowOff>113608</xdr:rowOff>
    </xdr:to>
    <xdr:pic>
      <xdr:nvPicPr>
        <xdr:cNvPr id="4" name="Original Gas In-Place"/>
        <xdr:cNvPicPr>
          <a:picLocks noChangeAspect="1"/>
        </xdr:cNvPicPr>
      </xdr:nvPicPr>
      <xdr:blipFill>
        <a:blip xmlns:r="http://schemas.openxmlformats.org/officeDocument/2006/relationships" r:embed="rId4"/>
        <a:stretch>
          <a:fillRect/>
        </a:stretch>
      </xdr:blipFill>
      <xdr:spPr>
        <a:xfrm>
          <a:off x="8486775" y="9258300"/>
          <a:ext cx="7380953" cy="554285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23</xdr:col>
      <xdr:colOff>0</xdr:colOff>
      <xdr:row>4</xdr:row>
      <xdr:rowOff>0</xdr:rowOff>
    </xdr:from>
    <xdr:to>
      <xdr:col>30</xdr:col>
      <xdr:colOff>475724</xdr:colOff>
      <xdr:row>35</xdr:row>
      <xdr:rowOff>142304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2563475" y="676275"/>
          <a:ext cx="4209524" cy="4571429"/>
        </a:xfrm>
        <a:prstGeom prst="rect">
          <a:avLst/>
        </a:prstGeom>
      </xdr:spPr>
    </xdr:pic>
    <xdr:clientData/>
  </xdr:twoCellAnchor>
  <xdr:twoCellAnchor editAs="oneCell">
    <xdr:from>
      <xdr:col>1</xdr:col>
      <xdr:colOff>0</xdr:colOff>
      <xdr:row>4</xdr:row>
      <xdr:rowOff>0</xdr:rowOff>
    </xdr:from>
    <xdr:to>
      <xdr:col>21</xdr:col>
      <xdr:colOff>789144</xdr:colOff>
      <xdr:row>56</xdr:row>
      <xdr:rowOff>94310</xdr:rowOff>
    </xdr:to>
    <xdr:pic>
      <xdr:nvPicPr>
        <xdr:cNvPr id="3" name="Picture 2"/>
        <xdr:cNvPicPr>
          <a:picLocks noChangeAspect="1"/>
        </xdr:cNvPicPr>
      </xdr:nvPicPr>
      <xdr:blipFill>
        <a:blip xmlns:r="http://schemas.openxmlformats.org/officeDocument/2006/relationships" r:embed="rId2"/>
        <a:stretch>
          <a:fillRect/>
        </a:stretch>
      </xdr:blipFill>
      <xdr:spPr>
        <a:xfrm>
          <a:off x="533400" y="676275"/>
          <a:ext cx="11457144" cy="752381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11</xdr:col>
      <xdr:colOff>7620</xdr:colOff>
      <xdr:row>2</xdr:row>
      <xdr:rowOff>114300</xdr:rowOff>
    </xdr:from>
    <xdr:to>
      <xdr:col>25</xdr:col>
      <xdr:colOff>323850</xdr:colOff>
      <xdr:row>38</xdr:row>
      <xdr:rowOff>106680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D34"/>
  <sheetViews>
    <sheetView workbookViewId="0"/>
  </sheetViews>
  <sheetFormatPr defaultRowHeight="10.199999999999999"/>
  <cols>
    <col min="1" max="4" width="36.85546875" customWidth="1"/>
  </cols>
  <sheetData>
    <row r="1" spans="1:4">
      <c r="A1" s="1" t="s">
        <v>17</v>
      </c>
    </row>
    <row r="3" spans="1:4">
      <c r="A3" t="s">
        <v>18</v>
      </c>
      <c r="B3" t="s">
        <v>19</v>
      </c>
      <c r="C3">
        <v>0</v>
      </c>
    </row>
    <row r="4" spans="1:4">
      <c r="A4" t="s">
        <v>20</v>
      </c>
    </row>
    <row r="5" spans="1:4">
      <c r="A5" t="s">
        <v>21</v>
      </c>
    </row>
    <row r="7" spans="1:4">
      <c r="A7" s="1" t="s">
        <v>22</v>
      </c>
      <c r="B7" t="s">
        <v>23</v>
      </c>
    </row>
    <row r="8" spans="1:4">
      <c r="B8">
        <v>4</v>
      </c>
    </row>
    <row r="10" spans="1:4">
      <c r="A10" t="s">
        <v>24</v>
      </c>
    </row>
    <row r="11" spans="1:4">
      <c r="A11" t="e">
        <f>CB_DATA_!#REF!</f>
        <v>#REF!</v>
      </c>
      <c r="B11" t="e">
        <f>Volumetric_OOIP_Reserves!#REF!</f>
        <v>#REF!</v>
      </c>
      <c r="C11" t="e">
        <f>'Input Data (Volumetric)'!#REF!</f>
        <v>#REF!</v>
      </c>
      <c r="D11" t="e">
        <f>#REF!</f>
        <v>#REF!</v>
      </c>
    </row>
    <row r="13" spans="1:4">
      <c r="A13" t="s">
        <v>25</v>
      </c>
    </row>
    <row r="14" spans="1:4">
      <c r="A14" t="s">
        <v>29</v>
      </c>
      <c r="B14" t="s">
        <v>32</v>
      </c>
      <c r="C14" t="s">
        <v>35</v>
      </c>
      <c r="D14" t="s">
        <v>62</v>
      </c>
    </row>
    <row r="16" spans="1:4">
      <c r="A16" t="s">
        <v>26</v>
      </c>
    </row>
    <row r="17" spans="1:4">
      <c r="D17">
        <v>3</v>
      </c>
    </row>
    <row r="19" spans="1:4">
      <c r="A19" t="s">
        <v>27</v>
      </c>
    </row>
    <row r="20" spans="1:4">
      <c r="A20">
        <v>34</v>
      </c>
      <c r="B20">
        <v>31</v>
      </c>
      <c r="C20">
        <v>31</v>
      </c>
      <c r="D20">
        <v>26</v>
      </c>
    </row>
    <row r="25" spans="1:4">
      <c r="A25" s="1" t="s">
        <v>28</v>
      </c>
    </row>
    <row r="26" spans="1:4">
      <c r="A26" s="26" t="s">
        <v>30</v>
      </c>
      <c r="B26" s="26" t="s">
        <v>33</v>
      </c>
      <c r="C26" s="26" t="s">
        <v>33</v>
      </c>
    </row>
    <row r="27" spans="1:4">
      <c r="A27" t="s">
        <v>90</v>
      </c>
      <c r="B27" t="s">
        <v>95</v>
      </c>
      <c r="C27" t="s">
        <v>96</v>
      </c>
    </row>
    <row r="28" spans="1:4">
      <c r="A28" s="26" t="s">
        <v>31</v>
      </c>
      <c r="B28" s="26" t="s">
        <v>31</v>
      </c>
      <c r="C28" s="26" t="s">
        <v>31</v>
      </c>
    </row>
    <row r="29" spans="1:4">
      <c r="A29" s="26" t="s">
        <v>54</v>
      </c>
      <c r="B29" s="26" t="s">
        <v>30</v>
      </c>
      <c r="C29" s="26" t="s">
        <v>30</v>
      </c>
    </row>
    <row r="30" spans="1:4">
      <c r="A30" t="s">
        <v>91</v>
      </c>
      <c r="B30" t="s">
        <v>94</v>
      </c>
      <c r="C30" t="s">
        <v>93</v>
      </c>
    </row>
    <row r="31" spans="1:4">
      <c r="A31" s="26" t="s">
        <v>31</v>
      </c>
      <c r="B31" s="26" t="s">
        <v>31</v>
      </c>
      <c r="C31" s="26" t="s">
        <v>31</v>
      </c>
    </row>
    <row r="32" spans="1:4">
      <c r="A32" s="26" t="s">
        <v>55</v>
      </c>
    </row>
    <row r="33" spans="1:1">
      <c r="A33" t="s">
        <v>92</v>
      </c>
    </row>
    <row r="34" spans="1:1">
      <c r="A34" s="26" t="s">
        <v>38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C000"/>
  </sheetPr>
  <dimension ref="B1:U42"/>
  <sheetViews>
    <sheetView showGridLines="0" tabSelected="1" workbookViewId="0">
      <selection activeCell="J13" sqref="J13"/>
    </sheetView>
  </sheetViews>
  <sheetFormatPr defaultColWidth="9.28515625" defaultRowHeight="14.4"/>
  <cols>
    <col min="1" max="1" width="9.28515625" style="2"/>
    <col min="2" max="2" width="30.28515625" style="2" customWidth="1"/>
    <col min="3" max="3" width="13.7109375" style="2" bestFit="1" customWidth="1"/>
    <col min="4" max="4" width="10.42578125" style="2" bestFit="1" customWidth="1"/>
    <col min="5" max="5" width="9.28515625" style="2"/>
    <col min="6" max="6" width="10.42578125" style="2" bestFit="1" customWidth="1"/>
    <col min="7" max="7" width="15.42578125" style="2" customWidth="1"/>
    <col min="8" max="11" width="9.28515625" style="2"/>
    <col min="12" max="12" width="18.42578125" style="2" customWidth="1"/>
    <col min="13" max="13" width="9.28515625" style="2"/>
    <col min="14" max="14" width="12.7109375" style="2" bestFit="1" customWidth="1"/>
    <col min="15" max="15" width="17.85546875" style="2" bestFit="1" customWidth="1"/>
    <col min="16" max="16" width="17.42578125" style="2" bestFit="1" customWidth="1"/>
    <col min="17" max="17" width="15.42578125" style="2" bestFit="1" customWidth="1"/>
    <col min="18" max="18" width="12.42578125" style="2" bestFit="1" customWidth="1"/>
    <col min="19" max="19" width="17.7109375" style="2" bestFit="1" customWidth="1"/>
    <col min="20" max="20" width="14.85546875" style="2" bestFit="1" customWidth="1"/>
    <col min="21" max="21" width="19" style="2" bestFit="1" customWidth="1"/>
    <col min="22" max="22" width="17.7109375" style="2" bestFit="1" customWidth="1"/>
    <col min="23" max="16384" width="9.28515625" style="2"/>
  </cols>
  <sheetData>
    <row r="1" spans="2:13" ht="15" thickBot="1"/>
    <row r="2" spans="2:13">
      <c r="I2" s="27" t="s">
        <v>13</v>
      </c>
      <c r="J2" s="28"/>
      <c r="K2" s="28" t="s">
        <v>1</v>
      </c>
      <c r="L2" s="28" t="s">
        <v>61</v>
      </c>
      <c r="M2" s="29"/>
    </row>
    <row r="3" spans="2:13">
      <c r="I3" s="30" t="s">
        <v>15</v>
      </c>
      <c r="J3" s="4"/>
      <c r="K3" s="4" t="s">
        <v>1</v>
      </c>
      <c r="L3" s="4" t="s">
        <v>61</v>
      </c>
      <c r="M3" s="31"/>
    </row>
    <row r="4" spans="2:13">
      <c r="B4" s="115" t="s">
        <v>44</v>
      </c>
      <c r="C4" s="115"/>
      <c r="D4" s="115"/>
      <c r="E4" s="115"/>
      <c r="F4" s="115"/>
      <c r="G4" s="115"/>
      <c r="I4" s="30" t="s">
        <v>12</v>
      </c>
      <c r="J4" s="4"/>
      <c r="K4" s="4" t="s">
        <v>1</v>
      </c>
      <c r="L4" s="4" t="s">
        <v>61</v>
      </c>
      <c r="M4" s="31"/>
    </row>
    <row r="5" spans="2:13" ht="15" thickBot="1">
      <c r="B5" s="116"/>
      <c r="C5" s="117" t="s">
        <v>42</v>
      </c>
      <c r="D5" s="117" t="s">
        <v>9</v>
      </c>
      <c r="E5" s="117" t="s">
        <v>10</v>
      </c>
      <c r="F5" s="117" t="s">
        <v>11</v>
      </c>
      <c r="G5" s="116"/>
      <c r="I5" s="32" t="s">
        <v>14</v>
      </c>
      <c r="J5" s="33"/>
      <c r="K5" s="33" t="s">
        <v>1</v>
      </c>
      <c r="L5" s="50">
        <f ca="1">NOW()</f>
        <v>43492.914044212965</v>
      </c>
      <c r="M5" s="34"/>
    </row>
    <row r="6" spans="2:13">
      <c r="B6" s="116" t="s">
        <v>50</v>
      </c>
      <c r="C6" s="118">
        <v>0</v>
      </c>
      <c r="D6" s="119">
        <v>18000000</v>
      </c>
      <c r="E6" s="119"/>
      <c r="F6" s="119">
        <v>4000000</v>
      </c>
      <c r="G6" s="116" t="s">
        <v>77</v>
      </c>
    </row>
    <row r="7" spans="2:13">
      <c r="B7" s="116" t="s">
        <v>51</v>
      </c>
      <c r="C7" s="118">
        <v>0</v>
      </c>
      <c r="D7" s="120">
        <v>46.6</v>
      </c>
      <c r="E7" s="120"/>
      <c r="F7" s="120">
        <v>42.2</v>
      </c>
      <c r="G7" s="116" t="s">
        <v>34</v>
      </c>
    </row>
    <row r="8" spans="2:13">
      <c r="B8" s="116" t="s">
        <v>44</v>
      </c>
      <c r="C8" s="118">
        <v>30.6</v>
      </c>
      <c r="D8" s="121">
        <v>586.1</v>
      </c>
      <c r="E8" s="121">
        <v>150</v>
      </c>
      <c r="F8" s="121">
        <v>61.2</v>
      </c>
      <c r="G8" s="116" t="s">
        <v>78</v>
      </c>
    </row>
    <row r="9" spans="2:13">
      <c r="B9" s="116"/>
      <c r="C9" s="116"/>
      <c r="D9" s="116"/>
      <c r="E9" s="116"/>
      <c r="F9" s="116"/>
      <c r="G9" s="116"/>
    </row>
    <row r="10" spans="2:13">
      <c r="B10" s="115" t="s">
        <v>43</v>
      </c>
      <c r="C10" s="115"/>
      <c r="D10" s="115"/>
      <c r="E10" s="115"/>
      <c r="F10" s="115"/>
      <c r="G10" s="115"/>
    </row>
    <row r="11" spans="2:13">
      <c r="B11" s="116"/>
      <c r="C11" s="117" t="s">
        <v>42</v>
      </c>
      <c r="D11" s="117" t="s">
        <v>9</v>
      </c>
      <c r="E11" s="117" t="s">
        <v>10</v>
      </c>
      <c r="F11" s="117" t="s">
        <v>11</v>
      </c>
      <c r="G11" s="116"/>
    </row>
    <row r="12" spans="2:13">
      <c r="B12" s="116" t="s">
        <v>52</v>
      </c>
      <c r="C12" s="118">
        <v>0.16</v>
      </c>
      <c r="D12" s="122">
        <v>0.09</v>
      </c>
      <c r="E12" s="122"/>
      <c r="F12" s="122">
        <v>7.0000000000000007E-2</v>
      </c>
      <c r="G12" s="116" t="s">
        <v>47</v>
      </c>
    </row>
    <row r="13" spans="2:13">
      <c r="B13" s="116" t="s">
        <v>53</v>
      </c>
      <c r="C13" s="118">
        <v>0.4</v>
      </c>
      <c r="D13" s="122">
        <v>1</v>
      </c>
      <c r="E13" s="122"/>
      <c r="F13" s="122">
        <v>0.22</v>
      </c>
      <c r="G13" s="116" t="s">
        <v>47</v>
      </c>
    </row>
    <row r="14" spans="2:13">
      <c r="B14" s="116" t="s">
        <v>66</v>
      </c>
      <c r="C14" s="118">
        <v>0.8</v>
      </c>
      <c r="D14" s="122">
        <v>0.6</v>
      </c>
      <c r="E14" s="122"/>
      <c r="F14" s="122">
        <v>0.433</v>
      </c>
      <c r="G14" s="116" t="s">
        <v>47</v>
      </c>
    </row>
    <row r="15" spans="2:13">
      <c r="B15" s="116"/>
      <c r="C15" s="116"/>
      <c r="D15" s="116"/>
      <c r="E15" s="116"/>
      <c r="F15" s="116"/>
      <c r="G15" s="116"/>
    </row>
    <row r="16" spans="2:13">
      <c r="B16" s="116"/>
      <c r="C16" s="116"/>
      <c r="D16" s="116"/>
      <c r="E16" s="116"/>
      <c r="F16" s="116"/>
      <c r="G16" s="116"/>
    </row>
    <row r="17" spans="2:17">
      <c r="B17" s="115" t="s">
        <v>45</v>
      </c>
      <c r="C17" s="115"/>
      <c r="D17" s="115"/>
      <c r="E17" s="115"/>
      <c r="F17" s="115"/>
      <c r="G17" s="115"/>
      <c r="K17" s="36"/>
      <c r="L17" s="36"/>
      <c r="M17" s="36"/>
      <c r="N17" s="36"/>
      <c r="O17" s="36"/>
      <c r="P17" s="36"/>
      <c r="Q17" s="36"/>
    </row>
    <row r="18" spans="2:17">
      <c r="B18" s="116"/>
      <c r="C18" s="117" t="s">
        <v>42</v>
      </c>
      <c r="D18" s="117" t="s">
        <v>9</v>
      </c>
      <c r="E18" s="117" t="s">
        <v>10</v>
      </c>
      <c r="F18" s="117" t="s">
        <v>11</v>
      </c>
      <c r="G18" s="116"/>
      <c r="K18" s="36"/>
      <c r="L18" s="36"/>
      <c r="N18" s="36"/>
      <c r="O18" s="36"/>
    </row>
    <row r="19" spans="2:17">
      <c r="B19" s="116" t="s">
        <v>65</v>
      </c>
      <c r="C19" s="123">
        <v>0.15</v>
      </c>
      <c r="D19" s="124">
        <v>0.18</v>
      </c>
      <c r="E19" s="124"/>
      <c r="F19" s="124">
        <v>0.12</v>
      </c>
      <c r="G19" s="116" t="s">
        <v>47</v>
      </c>
    </row>
    <row r="20" spans="2:17">
      <c r="B20" s="116"/>
      <c r="C20" s="125"/>
      <c r="D20" s="126"/>
      <c r="E20" s="126"/>
      <c r="F20" s="126"/>
      <c r="G20" s="116"/>
      <c r="H20" s="49"/>
    </row>
    <row r="21" spans="2:17">
      <c r="B21" s="116"/>
      <c r="C21" s="116"/>
      <c r="D21" s="116"/>
      <c r="E21" s="116"/>
      <c r="F21" s="116"/>
      <c r="G21" s="116"/>
    </row>
    <row r="22" spans="2:17">
      <c r="B22" s="116"/>
      <c r="C22" s="116"/>
      <c r="D22" s="116"/>
      <c r="E22" s="116"/>
      <c r="F22" s="116"/>
      <c r="G22" s="116"/>
    </row>
    <row r="23" spans="2:17">
      <c r="B23" s="116"/>
      <c r="C23" s="116"/>
      <c r="D23" s="116"/>
      <c r="E23" s="116"/>
      <c r="F23" s="116"/>
      <c r="G23" s="116"/>
    </row>
    <row r="24" spans="2:17">
      <c r="B24" s="115" t="s">
        <v>70</v>
      </c>
      <c r="C24" s="115"/>
      <c r="D24" s="115"/>
      <c r="E24" s="115"/>
      <c r="F24" s="115"/>
      <c r="G24" s="115"/>
      <c r="L24" s="35"/>
      <c r="N24" s="35"/>
      <c r="O24" s="35"/>
    </row>
    <row r="25" spans="2:17">
      <c r="B25" s="116"/>
      <c r="C25" s="117" t="s">
        <v>42</v>
      </c>
      <c r="D25" s="117" t="s">
        <v>9</v>
      </c>
      <c r="E25" s="117" t="s">
        <v>10</v>
      </c>
      <c r="F25" s="117" t="s">
        <v>11</v>
      </c>
      <c r="G25" s="116"/>
      <c r="L25" s="35"/>
      <c r="N25" s="35"/>
      <c r="O25" s="35"/>
    </row>
    <row r="26" spans="2:17">
      <c r="B26" s="127" t="s">
        <v>67</v>
      </c>
      <c r="C26" s="128">
        <v>2.2000000000000002</v>
      </c>
      <c r="D26" s="129">
        <v>2.2000000000000002</v>
      </c>
      <c r="E26" s="129"/>
      <c r="F26" s="129">
        <v>2.21</v>
      </c>
      <c r="G26" s="127" t="s">
        <v>71</v>
      </c>
      <c r="N26" s="35"/>
      <c r="O26" s="35"/>
    </row>
    <row r="27" spans="2:17">
      <c r="N27" s="37"/>
      <c r="O27" s="37"/>
    </row>
    <row r="29" spans="2:17">
      <c r="N29" s="41"/>
      <c r="O29" s="41"/>
      <c r="P29" s="40"/>
    </row>
    <row r="30" spans="2:17">
      <c r="N30" s="41"/>
      <c r="O30" s="41"/>
      <c r="P30" s="40"/>
    </row>
    <row r="31" spans="2:17">
      <c r="N31" s="40"/>
      <c r="O31" s="40"/>
      <c r="P31" s="40"/>
    </row>
    <row r="32" spans="2:17">
      <c r="N32" s="39"/>
      <c r="O32" s="38"/>
      <c r="P32" s="39"/>
    </row>
    <row r="36" spans="5:21">
      <c r="L36" s="46"/>
      <c r="S36" s="46"/>
      <c r="T36" s="46"/>
      <c r="U36" s="46"/>
    </row>
    <row r="42" spans="5:21">
      <c r="E42" s="42"/>
    </row>
  </sheetData>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3:F1346"/>
  <sheetViews>
    <sheetView showGridLines="0" workbookViewId="0">
      <selection activeCell="I7" sqref="I7"/>
    </sheetView>
  </sheetViews>
  <sheetFormatPr defaultRowHeight="10.199999999999999"/>
  <cols>
    <col min="3" max="3" width="9.28515625" style="134"/>
    <col min="4" max="4" width="13.42578125" style="132" customWidth="1"/>
    <col min="5" max="5" width="13.7109375" style="133" customWidth="1"/>
    <col min="6" max="6" width="15.85546875" style="133" customWidth="1"/>
  </cols>
  <sheetData>
    <row r="3" spans="3:6">
      <c r="C3" s="135"/>
      <c r="D3" s="136"/>
      <c r="E3" s="137">
        <f>COUNT(E6:E5000)</f>
        <v>1341</v>
      </c>
      <c r="F3" s="137">
        <f>COUNT(F6:F500)</f>
        <v>183</v>
      </c>
    </row>
    <row r="4" spans="3:6">
      <c r="C4" s="135"/>
      <c r="D4" s="136" t="s">
        <v>83</v>
      </c>
      <c r="E4" s="137" t="s">
        <v>82</v>
      </c>
      <c r="F4" s="137" t="s">
        <v>82</v>
      </c>
    </row>
    <row r="5" spans="3:6">
      <c r="C5" s="138" t="s">
        <v>80</v>
      </c>
      <c r="D5" s="139" t="s">
        <v>85</v>
      </c>
      <c r="E5" s="140" t="s">
        <v>86</v>
      </c>
      <c r="F5" s="140" t="s">
        <v>87</v>
      </c>
    </row>
    <row r="6" spans="3:6">
      <c r="C6" s="134">
        <v>1</v>
      </c>
      <c r="D6" s="132">
        <v>10330.5</v>
      </c>
      <c r="E6" s="133">
        <v>0.20200000000000001</v>
      </c>
      <c r="F6" s="133">
        <v>0.22900000000000001</v>
      </c>
    </row>
    <row r="7" spans="3:6">
      <c r="C7" s="134">
        <v>2</v>
      </c>
      <c r="D7" s="132">
        <v>10331</v>
      </c>
      <c r="E7" s="133">
        <v>0.216</v>
      </c>
    </row>
    <row r="8" spans="3:6">
      <c r="C8" s="134">
        <v>3</v>
      </c>
      <c r="D8" s="132">
        <v>10331.5</v>
      </c>
      <c r="E8" s="133">
        <v>0.22</v>
      </c>
      <c r="F8" s="133">
        <v>0.22500000000000001</v>
      </c>
    </row>
    <row r="9" spans="3:6">
      <c r="C9" s="134">
        <v>4</v>
      </c>
      <c r="D9" s="132">
        <v>10332</v>
      </c>
      <c r="E9" s="133">
        <v>0.22500000000000001</v>
      </c>
      <c r="F9" s="133">
        <v>0.23400000000000001</v>
      </c>
    </row>
    <row r="10" spans="3:6">
      <c r="C10" s="134">
        <v>5</v>
      </c>
      <c r="D10" s="132">
        <v>10332.5</v>
      </c>
      <c r="E10" s="133">
        <v>0.23</v>
      </c>
    </row>
    <row r="11" spans="3:6">
      <c r="C11" s="134">
        <v>6</v>
      </c>
      <c r="D11" s="132">
        <v>10333</v>
      </c>
      <c r="E11" s="133">
        <v>0.23300000000000001</v>
      </c>
      <c r="F11" s="133">
        <v>0.248</v>
      </c>
    </row>
    <row r="12" spans="3:6">
      <c r="C12" s="134">
        <v>7</v>
      </c>
      <c r="D12" s="132">
        <v>10333.5</v>
      </c>
      <c r="E12" s="133">
        <v>0.23</v>
      </c>
    </row>
    <row r="13" spans="3:6">
      <c r="C13" s="134">
        <v>8</v>
      </c>
      <c r="D13" s="132">
        <v>10334</v>
      </c>
      <c r="E13" s="133">
        <v>0.22800000000000001</v>
      </c>
      <c r="F13" s="133">
        <v>0.24299999999999999</v>
      </c>
    </row>
    <row r="14" spans="3:6">
      <c r="C14" s="134">
        <v>9</v>
      </c>
      <c r="D14" s="132">
        <v>10334.5</v>
      </c>
      <c r="E14" s="133">
        <v>0.22900000000000001</v>
      </c>
      <c r="F14" s="133">
        <v>0.25700000000000001</v>
      </c>
    </row>
    <row r="15" spans="3:6">
      <c r="C15" s="134">
        <v>10</v>
      </c>
      <c r="D15" s="132">
        <v>10335</v>
      </c>
      <c r="E15" s="133">
        <v>0.23</v>
      </c>
    </row>
    <row r="16" spans="3:6">
      <c r="C16" s="134">
        <v>11</v>
      </c>
      <c r="D16" s="132">
        <v>10335.5</v>
      </c>
      <c r="E16" s="133">
        <v>0.224</v>
      </c>
      <c r="F16" s="133">
        <v>0.156</v>
      </c>
    </row>
    <row r="17" spans="3:6">
      <c r="C17" s="134">
        <v>12</v>
      </c>
      <c r="D17" s="132">
        <v>10336</v>
      </c>
      <c r="E17" s="133">
        <v>0.217</v>
      </c>
    </row>
    <row r="18" spans="3:6">
      <c r="C18" s="134">
        <v>13</v>
      </c>
      <c r="D18" s="132">
        <v>10336.5</v>
      </c>
      <c r="E18" s="133">
        <v>0.21</v>
      </c>
      <c r="F18" s="133">
        <v>0.21099999999999999</v>
      </c>
    </row>
    <row r="19" spans="3:6">
      <c r="C19" s="134">
        <v>14</v>
      </c>
      <c r="D19" s="132">
        <v>10337</v>
      </c>
      <c r="E19" s="133">
        <v>0.21</v>
      </c>
    </row>
    <row r="20" spans="3:6">
      <c r="C20" s="134">
        <v>15</v>
      </c>
      <c r="D20" s="132">
        <v>10337.5</v>
      </c>
      <c r="E20" s="133">
        <v>0.223</v>
      </c>
    </row>
    <row r="21" spans="3:6">
      <c r="C21" s="134">
        <v>16</v>
      </c>
      <c r="D21" s="132">
        <v>10338</v>
      </c>
      <c r="E21" s="133">
        <v>0.23699999999999999</v>
      </c>
    </row>
    <row r="22" spans="3:6">
      <c r="C22" s="134">
        <v>17</v>
      </c>
      <c r="D22" s="132">
        <v>10338.5</v>
      </c>
      <c r="E22" s="133">
        <v>0.254</v>
      </c>
    </row>
    <row r="23" spans="3:6">
      <c r="C23" s="134">
        <v>18</v>
      </c>
      <c r="D23" s="132">
        <v>10339</v>
      </c>
      <c r="E23" s="133">
        <v>0.26500000000000001</v>
      </c>
    </row>
    <row r="24" spans="3:6">
      <c r="C24" s="134">
        <v>19</v>
      </c>
      <c r="D24" s="132">
        <v>10339.5</v>
      </c>
      <c r="E24" s="133">
        <v>0.25600000000000001</v>
      </c>
    </row>
    <row r="25" spans="3:6">
      <c r="C25" s="134">
        <v>20</v>
      </c>
      <c r="D25" s="132">
        <v>10340</v>
      </c>
      <c r="E25" s="133">
        <v>0.246</v>
      </c>
      <c r="F25" s="133">
        <v>0.22900000000000001</v>
      </c>
    </row>
    <row r="26" spans="3:6">
      <c r="C26" s="134">
        <v>21</v>
      </c>
      <c r="D26" s="132">
        <v>10340.5</v>
      </c>
      <c r="E26" s="133">
        <v>0.24</v>
      </c>
    </row>
    <row r="27" spans="3:6">
      <c r="C27" s="134">
        <v>22</v>
      </c>
      <c r="D27" s="132">
        <v>10341</v>
      </c>
      <c r="E27" s="133">
        <v>0.24199999999999999</v>
      </c>
      <c r="F27" s="133">
        <v>0.248</v>
      </c>
    </row>
    <row r="28" spans="3:6">
      <c r="C28" s="134">
        <v>23</v>
      </c>
      <c r="D28" s="132">
        <v>10341.5</v>
      </c>
      <c r="E28" s="133">
        <v>0.247</v>
      </c>
    </row>
    <row r="29" spans="3:6">
      <c r="C29" s="134">
        <v>24</v>
      </c>
      <c r="D29" s="132">
        <v>10342</v>
      </c>
      <c r="E29" s="133">
        <v>0.252</v>
      </c>
      <c r="F29" s="133">
        <v>0.29099999999999998</v>
      </c>
    </row>
    <row r="30" spans="3:6">
      <c r="C30" s="134">
        <v>25</v>
      </c>
      <c r="D30" s="132">
        <v>10342.5</v>
      </c>
      <c r="E30" s="133">
        <v>0.25800000000000001</v>
      </c>
      <c r="F30" s="133">
        <v>0.27400000000000002</v>
      </c>
    </row>
    <row r="31" spans="3:6">
      <c r="C31" s="134">
        <v>26</v>
      </c>
      <c r="D31" s="132">
        <v>10343</v>
      </c>
      <c r="E31" s="133">
        <v>0.26</v>
      </c>
    </row>
    <row r="32" spans="3:6">
      <c r="C32" s="134">
        <v>27</v>
      </c>
      <c r="D32" s="132">
        <v>10343.5</v>
      </c>
      <c r="E32" s="133">
        <v>0.26200000000000001</v>
      </c>
      <c r="F32" s="133">
        <v>0.28199999999999997</v>
      </c>
    </row>
    <row r="33" spans="3:6">
      <c r="C33" s="134">
        <v>28</v>
      </c>
      <c r="D33" s="132">
        <v>10344</v>
      </c>
      <c r="E33" s="133">
        <v>0.26100000000000001</v>
      </c>
    </row>
    <row r="34" spans="3:6">
      <c r="C34" s="134">
        <v>29</v>
      </c>
      <c r="D34" s="132">
        <v>10344.5</v>
      </c>
      <c r="E34" s="133">
        <v>0.25800000000000001</v>
      </c>
      <c r="F34" s="133">
        <v>0.25800000000000001</v>
      </c>
    </row>
    <row r="35" spans="3:6">
      <c r="C35" s="134">
        <v>30</v>
      </c>
      <c r="D35" s="132">
        <v>10345</v>
      </c>
      <c r="E35" s="133">
        <v>0.25900000000000001</v>
      </c>
    </row>
    <row r="36" spans="3:6">
      <c r="C36" s="134">
        <v>31</v>
      </c>
      <c r="D36" s="132">
        <v>10345.5</v>
      </c>
      <c r="E36" s="133">
        <v>0.26600000000000001</v>
      </c>
      <c r="F36" s="133">
        <v>0.25600000000000001</v>
      </c>
    </row>
    <row r="37" spans="3:6">
      <c r="C37" s="134">
        <v>32</v>
      </c>
      <c r="D37" s="132">
        <v>10346</v>
      </c>
      <c r="E37" s="133">
        <v>0.26900000000000002</v>
      </c>
    </row>
    <row r="38" spans="3:6">
      <c r="C38" s="134">
        <v>33</v>
      </c>
      <c r="D38" s="132">
        <v>10346.5</v>
      </c>
      <c r="E38" s="133">
        <v>0.27100000000000002</v>
      </c>
      <c r="F38" s="133">
        <v>0.26400000000000001</v>
      </c>
    </row>
    <row r="39" spans="3:6">
      <c r="C39" s="134">
        <v>34</v>
      </c>
      <c r="D39" s="132">
        <v>10347</v>
      </c>
      <c r="E39" s="133">
        <v>0.27200000000000002</v>
      </c>
    </row>
    <row r="40" spans="3:6">
      <c r="C40" s="134">
        <v>35</v>
      </c>
      <c r="D40" s="132">
        <v>10347.5</v>
      </c>
      <c r="E40" s="133">
        <v>0.27200000000000002</v>
      </c>
      <c r="F40" s="133">
        <v>0.28000000000000003</v>
      </c>
    </row>
    <row r="41" spans="3:6">
      <c r="C41" s="134">
        <v>36</v>
      </c>
      <c r="D41" s="132">
        <v>10348</v>
      </c>
      <c r="E41" s="133">
        <v>0.27</v>
      </c>
    </row>
    <row r="42" spans="3:6">
      <c r="C42" s="134">
        <v>37</v>
      </c>
      <c r="D42" s="132">
        <v>10348.5</v>
      </c>
      <c r="E42" s="133">
        <v>0.26900000000000002</v>
      </c>
      <c r="F42" s="133">
        <v>0.247</v>
      </c>
    </row>
    <row r="43" spans="3:6">
      <c r="C43" s="134">
        <v>38</v>
      </c>
      <c r="D43" s="132">
        <v>10349</v>
      </c>
      <c r="E43" s="133">
        <v>0.27100000000000002</v>
      </c>
    </row>
    <row r="44" spans="3:6">
      <c r="C44" s="134">
        <v>39</v>
      </c>
      <c r="D44" s="132">
        <v>10349.5</v>
      </c>
      <c r="E44" s="133">
        <v>0.27100000000000002</v>
      </c>
      <c r="F44" s="133">
        <v>0.27500000000000002</v>
      </c>
    </row>
    <row r="45" spans="3:6">
      <c r="C45" s="134">
        <v>40</v>
      </c>
      <c r="D45" s="132">
        <v>10350</v>
      </c>
      <c r="E45" s="133">
        <v>0.27200000000000002</v>
      </c>
    </row>
    <row r="46" spans="3:6">
      <c r="C46" s="134">
        <v>41</v>
      </c>
      <c r="D46" s="132">
        <v>10350.5</v>
      </c>
      <c r="E46" s="133">
        <v>0.27</v>
      </c>
      <c r="F46" s="133">
        <v>0.27100000000000002</v>
      </c>
    </row>
    <row r="47" spans="3:6">
      <c r="C47" s="134">
        <v>42</v>
      </c>
      <c r="D47" s="132">
        <v>10351</v>
      </c>
      <c r="E47" s="133">
        <v>0.26800000000000002</v>
      </c>
    </row>
    <row r="48" spans="3:6">
      <c r="C48" s="134">
        <v>43</v>
      </c>
      <c r="D48" s="132">
        <v>10351.5</v>
      </c>
      <c r="E48" s="133">
        <v>0.26500000000000001</v>
      </c>
      <c r="F48" s="133">
        <v>0.27300000000000002</v>
      </c>
    </row>
    <row r="49" spans="3:6">
      <c r="C49" s="134">
        <v>44</v>
      </c>
      <c r="D49" s="132">
        <v>10352</v>
      </c>
      <c r="E49" s="133">
        <v>0.26</v>
      </c>
    </row>
    <row r="50" spans="3:6">
      <c r="C50" s="134">
        <v>45</v>
      </c>
      <c r="D50" s="132">
        <v>10352.5</v>
      </c>
      <c r="E50" s="133">
        <v>0.25900000000000001</v>
      </c>
      <c r="F50" s="133">
        <v>0.254</v>
      </c>
    </row>
    <row r="51" spans="3:6">
      <c r="C51" s="134">
        <v>46</v>
      </c>
      <c r="D51" s="132">
        <v>10353</v>
      </c>
      <c r="E51" s="133">
        <v>0.252</v>
      </c>
      <c r="F51" s="133">
        <v>0.26800000000000002</v>
      </c>
    </row>
    <row r="52" spans="3:6">
      <c r="C52" s="134">
        <v>47</v>
      </c>
      <c r="D52" s="132">
        <v>10353.5</v>
      </c>
      <c r="E52" s="133">
        <v>0.247</v>
      </c>
    </row>
    <row r="53" spans="3:6">
      <c r="C53" s="134">
        <v>48</v>
      </c>
      <c r="D53" s="132">
        <v>10354</v>
      </c>
      <c r="E53" s="133">
        <v>0.245</v>
      </c>
      <c r="F53" s="133">
        <v>0.252</v>
      </c>
    </row>
    <row r="54" spans="3:6">
      <c r="C54" s="134">
        <v>49</v>
      </c>
      <c r="D54" s="132">
        <v>10354.5</v>
      </c>
      <c r="E54" s="133">
        <v>0.246</v>
      </c>
    </row>
    <row r="55" spans="3:6">
      <c r="C55" s="134">
        <v>50</v>
      </c>
      <c r="D55" s="132">
        <v>10355</v>
      </c>
      <c r="E55" s="133">
        <v>0.247</v>
      </c>
      <c r="F55" s="133">
        <v>0.23699999999999999</v>
      </c>
    </row>
    <row r="56" spans="3:6">
      <c r="C56" s="134">
        <v>51</v>
      </c>
      <c r="D56" s="132">
        <v>10355.5</v>
      </c>
      <c r="E56" s="133">
        <v>0.246</v>
      </c>
    </row>
    <row r="57" spans="3:6">
      <c r="C57" s="134">
        <v>52</v>
      </c>
      <c r="D57" s="132">
        <v>10356</v>
      </c>
      <c r="E57" s="133">
        <v>0.246</v>
      </c>
      <c r="F57" s="133">
        <v>0.255</v>
      </c>
    </row>
    <row r="58" spans="3:6">
      <c r="C58" s="134">
        <v>53</v>
      </c>
      <c r="D58" s="132">
        <v>10356.5</v>
      </c>
      <c r="E58" s="133">
        <v>0.249</v>
      </c>
    </row>
    <row r="59" spans="3:6">
      <c r="C59" s="134">
        <v>54</v>
      </c>
      <c r="D59" s="132">
        <v>10357</v>
      </c>
      <c r="E59" s="133">
        <v>0.249</v>
      </c>
      <c r="F59" s="133">
        <v>0.24</v>
      </c>
    </row>
    <row r="60" spans="3:6">
      <c r="C60" s="134">
        <v>55</v>
      </c>
      <c r="D60" s="132">
        <v>10357.5</v>
      </c>
      <c r="E60" s="133">
        <v>0.25</v>
      </c>
      <c r="F60" s="133">
        <v>0.26100000000000001</v>
      </c>
    </row>
    <row r="61" spans="3:6">
      <c r="C61" s="134">
        <v>56</v>
      </c>
      <c r="D61" s="132">
        <v>10358</v>
      </c>
      <c r="E61" s="133">
        <v>0.248</v>
      </c>
      <c r="F61" s="133">
        <v>0.25600000000000001</v>
      </c>
    </row>
    <row r="62" spans="3:6">
      <c r="C62" s="134">
        <v>57</v>
      </c>
      <c r="D62" s="132">
        <v>10358.5</v>
      </c>
      <c r="E62" s="133">
        <v>0.24399999999999999</v>
      </c>
    </row>
    <row r="63" spans="3:6">
      <c r="C63" s="134">
        <v>58</v>
      </c>
      <c r="D63" s="132">
        <v>10359</v>
      </c>
      <c r="E63" s="133">
        <v>0.24199999999999999</v>
      </c>
    </row>
    <row r="64" spans="3:6">
      <c r="C64" s="134">
        <v>59</v>
      </c>
      <c r="D64" s="132">
        <v>10359.5</v>
      </c>
      <c r="E64" s="133">
        <v>0.24</v>
      </c>
    </row>
    <row r="65" spans="3:6">
      <c r="C65" s="134">
        <v>60</v>
      </c>
      <c r="D65" s="132">
        <v>10360</v>
      </c>
      <c r="E65" s="133">
        <v>0.23499999999999999</v>
      </c>
    </row>
    <row r="66" spans="3:6">
      <c r="C66" s="134">
        <v>61</v>
      </c>
      <c r="D66" s="132">
        <v>10360.5</v>
      </c>
      <c r="E66" s="133">
        <v>0.23100000000000001</v>
      </c>
    </row>
    <row r="67" spans="3:6">
      <c r="C67" s="134">
        <v>62</v>
      </c>
      <c r="D67" s="132">
        <v>10361</v>
      </c>
      <c r="E67" s="133">
        <v>0.23</v>
      </c>
    </row>
    <row r="68" spans="3:6">
      <c r="C68" s="134">
        <v>63</v>
      </c>
      <c r="D68" s="132">
        <v>10361.5</v>
      </c>
      <c r="E68" s="133">
        <v>0.23100000000000001</v>
      </c>
    </row>
    <row r="69" spans="3:6">
      <c r="C69" s="134">
        <v>64</v>
      </c>
      <c r="D69" s="132">
        <v>10362</v>
      </c>
      <c r="E69" s="133">
        <v>0.23599999999999999</v>
      </c>
      <c r="F69" s="133">
        <v>0.23200000000000001</v>
      </c>
    </row>
    <row r="70" spans="3:6">
      <c r="C70" s="134">
        <v>65</v>
      </c>
      <c r="D70" s="132">
        <v>10362.5</v>
      </c>
      <c r="E70" s="133">
        <v>0.23899999999999999</v>
      </c>
    </row>
    <row r="71" spans="3:6">
      <c r="C71" s="134">
        <v>66</v>
      </c>
      <c r="D71" s="132">
        <v>10363</v>
      </c>
      <c r="E71" s="133">
        <v>0.24099999999999999</v>
      </c>
      <c r="F71" s="133">
        <v>0.222</v>
      </c>
    </row>
    <row r="72" spans="3:6">
      <c r="C72" s="134">
        <v>67</v>
      </c>
      <c r="D72" s="132">
        <v>10363.5</v>
      </c>
      <c r="E72" s="133">
        <v>0.24299999999999999</v>
      </c>
    </row>
    <row r="73" spans="3:6">
      <c r="C73" s="134">
        <v>68</v>
      </c>
      <c r="D73" s="132">
        <v>10364</v>
      </c>
      <c r="E73" s="133">
        <v>0.247</v>
      </c>
      <c r="F73" s="133">
        <v>0.20399999999999999</v>
      </c>
    </row>
    <row r="74" spans="3:6">
      <c r="C74" s="134">
        <v>69</v>
      </c>
      <c r="D74" s="132">
        <v>10364.5</v>
      </c>
      <c r="E74" s="133">
        <v>0.248</v>
      </c>
    </row>
    <row r="75" spans="3:6">
      <c r="C75" s="134">
        <v>70</v>
      </c>
      <c r="D75" s="132">
        <v>10365</v>
      </c>
      <c r="E75" s="133">
        <v>0.248</v>
      </c>
      <c r="F75" s="133">
        <v>0.219</v>
      </c>
    </row>
    <row r="76" spans="3:6">
      <c r="C76" s="134">
        <v>71</v>
      </c>
      <c r="D76" s="132">
        <v>10365.5</v>
      </c>
      <c r="E76" s="133">
        <v>0.246</v>
      </c>
    </row>
    <row r="77" spans="3:6">
      <c r="C77" s="134">
        <v>72</v>
      </c>
      <c r="D77" s="132">
        <v>10366</v>
      </c>
      <c r="E77" s="133">
        <v>0.245</v>
      </c>
      <c r="F77" s="133">
        <v>0.23400000000000001</v>
      </c>
    </row>
    <row r="78" spans="3:6">
      <c r="C78" s="134">
        <v>73</v>
      </c>
      <c r="D78" s="132">
        <v>10366.5</v>
      </c>
      <c r="E78" s="133">
        <v>0.246</v>
      </c>
    </row>
    <row r="79" spans="3:6">
      <c r="C79" s="134">
        <v>74</v>
      </c>
      <c r="D79" s="132">
        <v>10367</v>
      </c>
      <c r="E79" s="133">
        <v>0.247</v>
      </c>
      <c r="F79" s="133">
        <v>0.24399999999999999</v>
      </c>
    </row>
    <row r="80" spans="3:6">
      <c r="C80" s="134">
        <v>75</v>
      </c>
      <c r="D80" s="132">
        <v>10367.5</v>
      </c>
      <c r="E80" s="133">
        <v>0.248</v>
      </c>
      <c r="F80" s="133">
        <v>0.246</v>
      </c>
    </row>
    <row r="81" spans="3:6">
      <c r="C81" s="134">
        <v>76</v>
      </c>
      <c r="D81" s="132">
        <v>10368</v>
      </c>
      <c r="E81" s="133">
        <v>0.255</v>
      </c>
    </row>
    <row r="82" spans="3:6">
      <c r="C82" s="134">
        <v>77</v>
      </c>
      <c r="D82" s="132">
        <v>10368.5</v>
      </c>
      <c r="E82" s="133">
        <v>0.26200000000000001</v>
      </c>
      <c r="F82" s="133">
        <v>0.24299999999999999</v>
      </c>
    </row>
    <row r="83" spans="3:6">
      <c r="C83" s="134">
        <v>78</v>
      </c>
      <c r="D83" s="132">
        <v>10369</v>
      </c>
      <c r="E83" s="133">
        <v>0.26200000000000001</v>
      </c>
    </row>
    <row r="84" spans="3:6">
      <c r="C84" s="134">
        <v>79</v>
      </c>
      <c r="D84" s="132">
        <v>10369.5</v>
      </c>
      <c r="E84" s="133">
        <v>0.26200000000000001</v>
      </c>
      <c r="F84" s="133">
        <v>0.23400000000000001</v>
      </c>
    </row>
    <row r="85" spans="3:6">
      <c r="C85" s="134">
        <v>80</v>
      </c>
      <c r="D85" s="132">
        <v>10370</v>
      </c>
      <c r="E85" s="133">
        <v>0.26300000000000001</v>
      </c>
      <c r="F85" s="133">
        <v>0.23400000000000001</v>
      </c>
    </row>
    <row r="86" spans="3:6">
      <c r="C86" s="134">
        <v>81</v>
      </c>
      <c r="D86" s="132">
        <v>10370.5</v>
      </c>
      <c r="E86" s="133">
        <v>0.26400000000000001</v>
      </c>
    </row>
    <row r="87" spans="3:6">
      <c r="C87" s="134">
        <v>82</v>
      </c>
      <c r="D87" s="132">
        <v>10371</v>
      </c>
      <c r="E87" s="133">
        <v>0.26300000000000001</v>
      </c>
      <c r="F87" s="133">
        <v>0.246</v>
      </c>
    </row>
    <row r="88" spans="3:6">
      <c r="C88" s="134">
        <v>83</v>
      </c>
      <c r="D88" s="132">
        <v>10371.5</v>
      </c>
      <c r="E88" s="133">
        <v>0.26300000000000001</v>
      </c>
    </row>
    <row r="89" spans="3:6">
      <c r="C89" s="134">
        <v>84</v>
      </c>
      <c r="D89" s="132">
        <v>10372</v>
      </c>
      <c r="E89" s="133">
        <v>0.26300000000000001</v>
      </c>
      <c r="F89" s="133">
        <v>0.252</v>
      </c>
    </row>
    <row r="90" spans="3:6">
      <c r="C90" s="134">
        <v>85</v>
      </c>
      <c r="D90" s="132">
        <v>10372.5</v>
      </c>
      <c r="E90" s="133">
        <v>0.26100000000000001</v>
      </c>
    </row>
    <row r="91" spans="3:6">
      <c r="C91" s="134">
        <v>86</v>
      </c>
      <c r="D91" s="132">
        <v>10373</v>
      </c>
      <c r="E91" s="133">
        <v>0.25700000000000001</v>
      </c>
    </row>
    <row r="92" spans="3:6">
      <c r="C92" s="134">
        <v>87</v>
      </c>
      <c r="D92" s="132">
        <v>10373.5</v>
      </c>
      <c r="E92" s="133">
        <v>0.252</v>
      </c>
      <c r="F92" s="133">
        <v>0.26500000000000001</v>
      </c>
    </row>
    <row r="93" spans="3:6">
      <c r="C93" s="134">
        <v>88</v>
      </c>
      <c r="D93" s="132">
        <v>10374</v>
      </c>
      <c r="E93" s="133">
        <v>0.253</v>
      </c>
    </row>
    <row r="94" spans="3:6">
      <c r="C94" s="134">
        <v>89</v>
      </c>
      <c r="D94" s="132">
        <v>10374.5</v>
      </c>
      <c r="E94" s="133">
        <v>0.251</v>
      </c>
      <c r="F94" s="133">
        <v>0.27200000000000002</v>
      </c>
    </row>
    <row r="95" spans="3:6">
      <c r="C95" s="134">
        <v>90</v>
      </c>
      <c r="D95" s="132">
        <v>10375</v>
      </c>
      <c r="E95" s="133">
        <v>0.248</v>
      </c>
      <c r="F95" s="133">
        <v>0.27100000000000002</v>
      </c>
    </row>
    <row r="96" spans="3:6">
      <c r="C96" s="134">
        <v>91</v>
      </c>
      <c r="D96" s="132">
        <v>10375.5</v>
      </c>
      <c r="E96" s="133">
        <v>0.253</v>
      </c>
      <c r="F96" s="133">
        <v>0.27900000000000003</v>
      </c>
    </row>
    <row r="97" spans="3:6">
      <c r="C97" s="134">
        <v>92</v>
      </c>
      <c r="D97" s="132">
        <v>10376</v>
      </c>
      <c r="E97" s="133">
        <v>0.25800000000000001</v>
      </c>
    </row>
    <row r="98" spans="3:6">
      <c r="C98" s="134">
        <v>93</v>
      </c>
      <c r="D98" s="132">
        <v>10376.5</v>
      </c>
      <c r="E98" s="133">
        <v>0.25900000000000001</v>
      </c>
      <c r="F98" s="133">
        <v>0.25900000000000001</v>
      </c>
    </row>
    <row r="99" spans="3:6">
      <c r="C99" s="134">
        <v>94</v>
      </c>
      <c r="D99" s="132">
        <v>10377</v>
      </c>
      <c r="E99" s="133">
        <v>0.26200000000000001</v>
      </c>
    </row>
    <row r="100" spans="3:6">
      <c r="C100" s="134">
        <v>95</v>
      </c>
      <c r="D100" s="132">
        <v>10377.5</v>
      </c>
      <c r="E100" s="133">
        <v>0.26600000000000001</v>
      </c>
      <c r="F100" s="133">
        <v>0.25600000000000001</v>
      </c>
    </row>
    <row r="101" spans="3:6">
      <c r="C101" s="134">
        <v>96</v>
      </c>
      <c r="D101" s="132">
        <v>10378</v>
      </c>
      <c r="E101" s="133">
        <v>0.27100000000000002</v>
      </c>
    </row>
    <row r="102" spans="3:6">
      <c r="C102" s="134">
        <v>97</v>
      </c>
      <c r="D102" s="132">
        <v>10378.5</v>
      </c>
      <c r="E102" s="133">
        <v>0.27400000000000002</v>
      </c>
      <c r="F102" s="133">
        <v>0.254</v>
      </c>
    </row>
    <row r="103" spans="3:6">
      <c r="C103" s="134">
        <v>98</v>
      </c>
      <c r="D103" s="132">
        <v>10379</v>
      </c>
      <c r="E103" s="133">
        <v>0.27700000000000002</v>
      </c>
    </row>
    <row r="104" spans="3:6">
      <c r="C104" s="134">
        <v>99</v>
      </c>
      <c r="D104" s="132">
        <v>10379.5</v>
      </c>
      <c r="E104" s="133">
        <v>0.28100000000000003</v>
      </c>
      <c r="F104" s="133">
        <v>0.22900000000000001</v>
      </c>
    </row>
    <row r="105" spans="3:6">
      <c r="C105" s="134">
        <v>100</v>
      </c>
      <c r="D105" s="132">
        <v>10380</v>
      </c>
      <c r="E105" s="133">
        <v>0.28699999999999998</v>
      </c>
    </row>
    <row r="106" spans="3:6">
      <c r="C106" s="134">
        <v>101</v>
      </c>
      <c r="D106" s="132">
        <v>10380.5</v>
      </c>
      <c r="E106" s="133">
        <v>0.28999999999999998</v>
      </c>
      <c r="F106" s="133">
        <v>0.27200000000000002</v>
      </c>
    </row>
    <row r="107" spans="3:6">
      <c r="C107" s="134">
        <v>102</v>
      </c>
      <c r="D107" s="132">
        <v>10381</v>
      </c>
      <c r="E107" s="133">
        <v>0.28999999999999998</v>
      </c>
    </row>
    <row r="108" spans="3:6">
      <c r="C108" s="134">
        <v>103</v>
      </c>
      <c r="D108" s="132">
        <v>10381.5</v>
      </c>
      <c r="E108" s="133">
        <v>0.28699999999999998</v>
      </c>
      <c r="F108" s="133">
        <v>0.25</v>
      </c>
    </row>
    <row r="109" spans="3:6">
      <c r="C109" s="134">
        <v>104</v>
      </c>
      <c r="D109" s="132">
        <v>10382</v>
      </c>
      <c r="E109" s="133">
        <v>0.28899999999999998</v>
      </c>
    </row>
    <row r="110" spans="3:6">
      <c r="C110" s="134">
        <v>105</v>
      </c>
      <c r="D110" s="132">
        <v>10382.5</v>
      </c>
      <c r="E110" s="133">
        <v>0.29099999999999998</v>
      </c>
      <c r="F110" s="133">
        <v>0.29199999999999998</v>
      </c>
    </row>
    <row r="111" spans="3:6">
      <c r="C111" s="134">
        <v>106</v>
      </c>
      <c r="D111" s="132">
        <v>10383</v>
      </c>
      <c r="E111" s="133">
        <v>0.29299999999999998</v>
      </c>
    </row>
    <row r="112" spans="3:6">
      <c r="C112" s="134">
        <v>107</v>
      </c>
      <c r="D112" s="132">
        <v>10383.5</v>
      </c>
      <c r="E112" s="133">
        <v>0.29099999999999998</v>
      </c>
      <c r="F112" s="133">
        <v>0.3</v>
      </c>
    </row>
    <row r="113" spans="3:6">
      <c r="C113" s="134">
        <v>108</v>
      </c>
      <c r="D113" s="132">
        <v>10384</v>
      </c>
      <c r="E113" s="133">
        <v>0.28799999999999998</v>
      </c>
      <c r="F113" s="133">
        <v>0.29499999999999998</v>
      </c>
    </row>
    <row r="114" spans="3:6">
      <c r="C114" s="134">
        <v>109</v>
      </c>
      <c r="D114" s="132">
        <v>10384.5</v>
      </c>
      <c r="E114" s="133">
        <v>0.28599999999999998</v>
      </c>
    </row>
    <row r="115" spans="3:6">
      <c r="C115" s="134">
        <v>110</v>
      </c>
      <c r="D115" s="132">
        <v>10385</v>
      </c>
      <c r="E115" s="133">
        <v>0.28599999999999998</v>
      </c>
      <c r="F115" s="133">
        <v>0.27300000000000002</v>
      </c>
    </row>
    <row r="116" spans="3:6">
      <c r="C116" s="134">
        <v>111</v>
      </c>
      <c r="D116" s="132">
        <v>10385.5</v>
      </c>
      <c r="E116" s="133">
        <v>0.28599999999999998</v>
      </c>
    </row>
    <row r="117" spans="3:6">
      <c r="C117" s="134">
        <v>112</v>
      </c>
      <c r="D117" s="132">
        <v>10386</v>
      </c>
      <c r="E117" s="133">
        <v>0.28799999999999998</v>
      </c>
      <c r="F117" s="133">
        <v>0.33300000000000002</v>
      </c>
    </row>
    <row r="118" spans="3:6">
      <c r="C118" s="134">
        <v>113</v>
      </c>
      <c r="D118" s="132">
        <v>10386.5</v>
      </c>
      <c r="E118" s="133">
        <v>0.29099999999999998</v>
      </c>
    </row>
    <row r="119" spans="3:6">
      <c r="C119" s="134">
        <v>114</v>
      </c>
      <c r="D119" s="132">
        <v>10387</v>
      </c>
      <c r="E119" s="133">
        <v>0.28899999999999998</v>
      </c>
      <c r="F119" s="133">
        <v>0.29399999999999998</v>
      </c>
    </row>
    <row r="120" spans="3:6">
      <c r="C120" s="134">
        <v>115</v>
      </c>
      <c r="D120" s="132">
        <v>10387.5</v>
      </c>
      <c r="E120" s="133">
        <v>0.28799999999999998</v>
      </c>
    </row>
    <row r="121" spans="3:6">
      <c r="C121" s="134">
        <v>116</v>
      </c>
      <c r="D121" s="132">
        <v>10388</v>
      </c>
      <c r="E121" s="133">
        <v>0.28499999999999998</v>
      </c>
    </row>
    <row r="122" spans="3:6">
      <c r="C122" s="134">
        <v>117</v>
      </c>
      <c r="D122" s="132">
        <v>10388.5</v>
      </c>
      <c r="E122" s="133">
        <v>0.28199999999999997</v>
      </c>
      <c r="F122" s="133">
        <v>0.29799999999999999</v>
      </c>
    </row>
    <row r="123" spans="3:6">
      <c r="C123" s="134">
        <v>118</v>
      </c>
      <c r="D123" s="132">
        <v>10389</v>
      </c>
      <c r="E123" s="133">
        <v>0.28199999999999997</v>
      </c>
    </row>
    <row r="124" spans="3:6">
      <c r="C124" s="134">
        <v>119</v>
      </c>
      <c r="D124" s="132">
        <v>10389.5</v>
      </c>
      <c r="E124" s="133">
        <v>0.28000000000000003</v>
      </c>
      <c r="F124" s="133">
        <v>0.30299999999999999</v>
      </c>
    </row>
    <row r="125" spans="3:6">
      <c r="C125" s="134">
        <v>120</v>
      </c>
      <c r="D125" s="132">
        <v>10390</v>
      </c>
      <c r="E125" s="133">
        <v>0.27700000000000002</v>
      </c>
      <c r="F125" s="133">
        <v>0.30099999999999999</v>
      </c>
    </row>
    <row r="126" spans="3:6">
      <c r="C126" s="134">
        <v>121</v>
      </c>
      <c r="D126" s="132">
        <v>10390.5</v>
      </c>
      <c r="E126" s="133">
        <v>0.27800000000000002</v>
      </c>
    </row>
    <row r="127" spans="3:6">
      <c r="C127" s="134">
        <v>122</v>
      </c>
      <c r="D127" s="132">
        <v>10391</v>
      </c>
      <c r="E127" s="133">
        <v>0.27700000000000002</v>
      </c>
    </row>
    <row r="128" spans="3:6">
      <c r="C128" s="134">
        <v>123</v>
      </c>
      <c r="D128" s="132">
        <v>10391.5</v>
      </c>
      <c r="E128" s="133">
        <v>0.27600000000000002</v>
      </c>
      <c r="F128" s="133">
        <v>0.28999999999999998</v>
      </c>
    </row>
    <row r="129" spans="3:6">
      <c r="C129" s="134">
        <v>124</v>
      </c>
      <c r="D129" s="132">
        <v>10392</v>
      </c>
      <c r="E129" s="133">
        <v>0.27400000000000002</v>
      </c>
    </row>
    <row r="130" spans="3:6">
      <c r="C130" s="134">
        <v>125</v>
      </c>
      <c r="D130" s="132">
        <v>10392.5</v>
      </c>
      <c r="E130" s="133">
        <v>0.27400000000000002</v>
      </c>
      <c r="F130" s="133">
        <v>0.29099999999999998</v>
      </c>
    </row>
    <row r="131" spans="3:6">
      <c r="C131" s="134">
        <v>126</v>
      </c>
      <c r="D131" s="132">
        <v>10393</v>
      </c>
      <c r="E131" s="133">
        <v>0.27500000000000002</v>
      </c>
      <c r="F131" s="133">
        <v>0.27800000000000002</v>
      </c>
    </row>
    <row r="132" spans="3:6">
      <c r="C132" s="134">
        <v>127</v>
      </c>
      <c r="D132" s="132">
        <v>10393.5</v>
      </c>
      <c r="E132" s="133">
        <v>0.27500000000000002</v>
      </c>
    </row>
    <row r="133" spans="3:6">
      <c r="C133" s="134">
        <v>128</v>
      </c>
      <c r="D133" s="132">
        <v>10394</v>
      </c>
      <c r="E133" s="133">
        <v>0.27600000000000002</v>
      </c>
      <c r="F133" s="133">
        <v>0.23699999999999999</v>
      </c>
    </row>
    <row r="134" spans="3:6">
      <c r="C134" s="134">
        <v>129</v>
      </c>
      <c r="D134" s="132">
        <v>10394.5</v>
      </c>
      <c r="E134" s="133">
        <v>0.27700000000000002</v>
      </c>
    </row>
    <row r="135" spans="3:6">
      <c r="C135" s="134">
        <v>130</v>
      </c>
      <c r="D135" s="132">
        <v>10395</v>
      </c>
      <c r="E135" s="133">
        <v>0.28299999999999997</v>
      </c>
      <c r="F135" s="133">
        <v>0.28100000000000003</v>
      </c>
    </row>
    <row r="136" spans="3:6">
      <c r="C136" s="134">
        <v>131</v>
      </c>
      <c r="D136" s="132">
        <v>10395.5</v>
      </c>
      <c r="E136" s="133">
        <v>0.28399999999999997</v>
      </c>
      <c r="F136" s="133">
        <v>0.28699999999999998</v>
      </c>
    </row>
    <row r="137" spans="3:6">
      <c r="C137" s="134">
        <v>132</v>
      </c>
      <c r="D137" s="132">
        <v>10396</v>
      </c>
      <c r="E137" s="133">
        <v>0.28599999999999998</v>
      </c>
    </row>
    <row r="138" spans="3:6">
      <c r="C138" s="134">
        <v>133</v>
      </c>
      <c r="D138" s="132">
        <v>10396.5</v>
      </c>
      <c r="E138" s="133">
        <v>0.29099999999999998</v>
      </c>
      <c r="F138" s="133">
        <v>0.28599999999999998</v>
      </c>
    </row>
    <row r="139" spans="3:6">
      <c r="C139" s="134">
        <v>134</v>
      </c>
      <c r="D139" s="132">
        <v>10397</v>
      </c>
      <c r="E139" s="133">
        <v>0.29199999999999998</v>
      </c>
    </row>
    <row r="140" spans="3:6">
      <c r="C140" s="134">
        <v>135</v>
      </c>
      <c r="D140" s="132">
        <v>10397.5</v>
      </c>
      <c r="E140" s="133">
        <v>0.28999999999999998</v>
      </c>
      <c r="F140" s="133">
        <v>0.28100000000000003</v>
      </c>
    </row>
    <row r="141" spans="3:6">
      <c r="C141" s="134">
        <v>136</v>
      </c>
      <c r="D141" s="132">
        <v>10398</v>
      </c>
      <c r="E141" s="133">
        <v>0.28899999999999998</v>
      </c>
    </row>
    <row r="142" spans="3:6">
      <c r="C142" s="134">
        <v>137</v>
      </c>
      <c r="D142" s="132">
        <v>10398.5</v>
      </c>
      <c r="E142" s="133">
        <v>0.28699999999999998</v>
      </c>
      <c r="F142" s="133">
        <v>0.28599999999999998</v>
      </c>
    </row>
    <row r="143" spans="3:6">
      <c r="C143" s="134">
        <v>138</v>
      </c>
      <c r="D143" s="132">
        <v>10399</v>
      </c>
      <c r="E143" s="133">
        <v>0.28199999999999997</v>
      </c>
    </row>
    <row r="144" spans="3:6">
      <c r="C144" s="134">
        <v>139</v>
      </c>
      <c r="D144" s="132">
        <v>10399.5</v>
      </c>
      <c r="E144" s="133">
        <v>0.27800000000000002</v>
      </c>
      <c r="F144" s="133">
        <v>0.28799999999999998</v>
      </c>
    </row>
    <row r="145" spans="3:6">
      <c r="C145" s="134">
        <v>140</v>
      </c>
      <c r="D145" s="132">
        <v>10400</v>
      </c>
      <c r="E145" s="133">
        <v>0.27600000000000002</v>
      </c>
    </row>
    <row r="146" spans="3:6">
      <c r="C146" s="134">
        <v>141</v>
      </c>
      <c r="D146" s="132">
        <v>10400.5</v>
      </c>
      <c r="E146" s="133">
        <v>0.27700000000000002</v>
      </c>
      <c r="F146" s="133">
        <v>0.30299999999999999</v>
      </c>
    </row>
    <row r="147" spans="3:6">
      <c r="C147" s="134">
        <v>142</v>
      </c>
      <c r="D147" s="132">
        <v>10401</v>
      </c>
      <c r="E147" s="133">
        <v>0.27800000000000002</v>
      </c>
      <c r="F147" s="133">
        <v>0.28899999999999998</v>
      </c>
    </row>
    <row r="148" spans="3:6">
      <c r="C148" s="134">
        <v>143</v>
      </c>
      <c r="D148" s="132">
        <v>10401.5</v>
      </c>
      <c r="E148" s="133">
        <v>0.28000000000000003</v>
      </c>
    </row>
    <row r="149" spans="3:6">
      <c r="C149" s="134">
        <v>144</v>
      </c>
      <c r="D149" s="132">
        <v>10402</v>
      </c>
      <c r="E149" s="133">
        <v>0.27600000000000002</v>
      </c>
    </row>
    <row r="150" spans="3:6">
      <c r="C150" s="134">
        <v>145</v>
      </c>
      <c r="D150" s="132">
        <v>10402.5</v>
      </c>
      <c r="E150" s="133">
        <v>0.27300000000000002</v>
      </c>
    </row>
    <row r="151" spans="3:6">
      <c r="C151" s="134">
        <v>146</v>
      </c>
      <c r="D151" s="132">
        <v>10403</v>
      </c>
      <c r="E151" s="133">
        <v>0.27200000000000002</v>
      </c>
      <c r="F151" s="133">
        <v>0.29499999999999998</v>
      </c>
    </row>
    <row r="152" spans="3:6">
      <c r="C152" s="134">
        <v>147</v>
      </c>
      <c r="D152" s="132">
        <v>10403.5</v>
      </c>
      <c r="E152" s="133">
        <v>0.26700000000000002</v>
      </c>
      <c r="F152" s="133">
        <v>0.26900000000000002</v>
      </c>
    </row>
    <row r="153" spans="3:6">
      <c r="C153" s="134">
        <v>148</v>
      </c>
      <c r="D153" s="132">
        <v>10404</v>
      </c>
      <c r="E153" s="133">
        <v>0.26200000000000001</v>
      </c>
    </row>
    <row r="154" spans="3:6">
      <c r="C154" s="134">
        <v>149</v>
      </c>
      <c r="D154" s="132">
        <v>10404.5</v>
      </c>
      <c r="E154" s="133">
        <v>0.25600000000000001</v>
      </c>
      <c r="F154" s="133">
        <v>0.29099999999999998</v>
      </c>
    </row>
    <row r="155" spans="3:6">
      <c r="C155" s="134">
        <v>150</v>
      </c>
      <c r="D155" s="132">
        <v>10405</v>
      </c>
      <c r="E155" s="133">
        <v>0.248</v>
      </c>
    </row>
    <row r="156" spans="3:6">
      <c r="C156" s="134">
        <v>151</v>
      </c>
      <c r="D156" s="132">
        <v>10405.5</v>
      </c>
      <c r="E156" s="133">
        <v>0.24</v>
      </c>
      <c r="F156" s="133">
        <v>0.26500000000000001</v>
      </c>
    </row>
    <row r="157" spans="3:6">
      <c r="C157" s="134">
        <v>152</v>
      </c>
      <c r="D157" s="132">
        <v>10406</v>
      </c>
      <c r="E157" s="133">
        <v>0.23799999999999999</v>
      </c>
    </row>
    <row r="158" spans="3:6">
      <c r="C158" s="134">
        <v>153</v>
      </c>
      <c r="D158" s="132">
        <v>10406.5</v>
      </c>
      <c r="E158" s="133">
        <v>0.23799999999999999</v>
      </c>
    </row>
    <row r="159" spans="3:6">
      <c r="C159" s="134">
        <v>154</v>
      </c>
      <c r="D159" s="132">
        <v>10407</v>
      </c>
      <c r="E159" s="133">
        <v>0.23699999999999999</v>
      </c>
    </row>
    <row r="160" spans="3:6">
      <c r="C160" s="134">
        <v>155</v>
      </c>
      <c r="D160" s="132">
        <v>10407.5</v>
      </c>
      <c r="E160" s="133">
        <v>0.23899999999999999</v>
      </c>
    </row>
    <row r="161" spans="3:5">
      <c r="C161" s="134">
        <v>156</v>
      </c>
      <c r="D161" s="132">
        <v>10408</v>
      </c>
      <c r="E161" s="133">
        <v>0.24199999999999999</v>
      </c>
    </row>
    <row r="162" spans="3:5">
      <c r="C162" s="134">
        <v>157</v>
      </c>
      <c r="D162" s="132">
        <v>10408.5</v>
      </c>
      <c r="E162" s="133">
        <v>0.251</v>
      </c>
    </row>
    <row r="163" spans="3:5">
      <c r="C163" s="134">
        <v>158</v>
      </c>
      <c r="D163" s="132">
        <v>10409</v>
      </c>
      <c r="E163" s="133">
        <v>0.26</v>
      </c>
    </row>
    <row r="164" spans="3:5">
      <c r="C164" s="134">
        <v>159</v>
      </c>
      <c r="D164" s="132">
        <v>10409.5</v>
      </c>
      <c r="E164" s="133">
        <v>0.26900000000000002</v>
      </c>
    </row>
    <row r="165" spans="3:5">
      <c r="C165" s="134">
        <v>160</v>
      </c>
      <c r="D165" s="132">
        <v>10410</v>
      </c>
      <c r="E165" s="133">
        <v>0.27200000000000002</v>
      </c>
    </row>
    <row r="166" spans="3:5">
      <c r="C166" s="134">
        <v>161</v>
      </c>
      <c r="D166" s="132">
        <v>10410.5</v>
      </c>
      <c r="E166" s="133">
        <v>0.27300000000000002</v>
      </c>
    </row>
    <row r="167" spans="3:5">
      <c r="C167" s="134">
        <v>162</v>
      </c>
      <c r="D167" s="132">
        <v>10411</v>
      </c>
      <c r="E167" s="133">
        <v>0.27200000000000002</v>
      </c>
    </row>
    <row r="168" spans="3:5">
      <c r="C168" s="134">
        <v>163</v>
      </c>
      <c r="D168" s="132">
        <v>10411.5</v>
      </c>
      <c r="E168" s="133">
        <v>0.27300000000000002</v>
      </c>
    </row>
    <row r="169" spans="3:5">
      <c r="C169" s="134">
        <v>164</v>
      </c>
      <c r="D169" s="132">
        <v>10412</v>
      </c>
      <c r="E169" s="133">
        <v>0.27500000000000002</v>
      </c>
    </row>
    <row r="170" spans="3:5">
      <c r="C170" s="134">
        <v>165</v>
      </c>
      <c r="D170" s="132">
        <v>10412.5</v>
      </c>
      <c r="E170" s="133">
        <v>0.28000000000000003</v>
      </c>
    </row>
    <row r="171" spans="3:5">
      <c r="C171" s="134">
        <v>166</v>
      </c>
      <c r="D171" s="132">
        <v>10413</v>
      </c>
      <c r="E171" s="133">
        <v>0.28100000000000003</v>
      </c>
    </row>
    <row r="172" spans="3:5">
      <c r="C172" s="134">
        <v>167</v>
      </c>
      <c r="D172" s="132">
        <v>10413.5</v>
      </c>
      <c r="E172" s="133">
        <v>0.28100000000000003</v>
      </c>
    </row>
    <row r="173" spans="3:5">
      <c r="C173" s="134">
        <v>168</v>
      </c>
      <c r="D173" s="132">
        <v>10414</v>
      </c>
      <c r="E173" s="133">
        <v>0.26900000000000002</v>
      </c>
    </row>
    <row r="174" spans="3:5">
      <c r="C174" s="134">
        <v>169</v>
      </c>
      <c r="D174" s="132">
        <v>10414.5</v>
      </c>
      <c r="E174" s="133">
        <v>0.26500000000000001</v>
      </c>
    </row>
    <row r="175" spans="3:5">
      <c r="C175" s="134">
        <v>170</v>
      </c>
      <c r="D175" s="132">
        <v>10415</v>
      </c>
      <c r="E175" s="133">
        <v>0.26200000000000001</v>
      </c>
    </row>
    <row r="176" spans="3:5">
      <c r="C176" s="134">
        <v>171</v>
      </c>
      <c r="D176" s="132">
        <v>10415.5</v>
      </c>
      <c r="E176" s="133">
        <v>0.26300000000000001</v>
      </c>
    </row>
    <row r="177" spans="3:6">
      <c r="C177" s="134">
        <v>172</v>
      </c>
      <c r="D177" s="132">
        <v>10416</v>
      </c>
      <c r="E177" s="133">
        <v>0.26400000000000001</v>
      </c>
    </row>
    <row r="178" spans="3:6">
      <c r="C178" s="134">
        <v>173</v>
      </c>
      <c r="D178" s="132">
        <v>10416.5</v>
      </c>
      <c r="E178" s="133">
        <v>0.26600000000000001</v>
      </c>
    </row>
    <row r="179" spans="3:6">
      <c r="C179" s="134">
        <v>174</v>
      </c>
      <c r="D179" s="132">
        <v>10417</v>
      </c>
      <c r="E179" s="133">
        <v>0.26500000000000001</v>
      </c>
    </row>
    <row r="180" spans="3:6">
      <c r="C180" s="134">
        <v>175</v>
      </c>
      <c r="D180" s="132">
        <v>10417.5</v>
      </c>
      <c r="E180" s="133">
        <v>0.26700000000000002</v>
      </c>
    </row>
    <row r="181" spans="3:6">
      <c r="C181" s="134">
        <v>176</v>
      </c>
      <c r="D181" s="132">
        <v>10418</v>
      </c>
      <c r="E181" s="133">
        <v>0.26500000000000001</v>
      </c>
    </row>
    <row r="182" spans="3:6">
      <c r="C182" s="134">
        <v>177</v>
      </c>
      <c r="D182" s="132">
        <v>10418.5</v>
      </c>
      <c r="E182" s="133">
        <v>0.26200000000000001</v>
      </c>
    </row>
    <row r="183" spans="3:6">
      <c r="C183" s="134">
        <v>178</v>
      </c>
      <c r="D183" s="132">
        <v>10419</v>
      </c>
      <c r="E183" s="133">
        <v>0.26200000000000001</v>
      </c>
    </row>
    <row r="184" spans="3:6">
      <c r="C184" s="134">
        <v>179</v>
      </c>
      <c r="D184" s="132">
        <v>10419.5</v>
      </c>
      <c r="E184" s="133">
        <v>0.26300000000000001</v>
      </c>
    </row>
    <row r="185" spans="3:6">
      <c r="C185" s="134">
        <v>180</v>
      </c>
      <c r="D185" s="132">
        <v>10420</v>
      </c>
      <c r="E185" s="133">
        <v>0.26400000000000001</v>
      </c>
    </row>
    <row r="186" spans="3:6">
      <c r="C186" s="134">
        <v>181</v>
      </c>
      <c r="D186" s="132">
        <v>10420.5</v>
      </c>
      <c r="E186" s="133">
        <v>0.26400000000000001</v>
      </c>
    </row>
    <row r="187" spans="3:6">
      <c r="C187" s="134">
        <v>182</v>
      </c>
      <c r="D187" s="132">
        <v>10421</v>
      </c>
      <c r="E187" s="133">
        <v>0.26100000000000001</v>
      </c>
    </row>
    <row r="188" spans="3:6">
      <c r="C188" s="134">
        <v>183</v>
      </c>
      <c r="D188" s="132">
        <v>10421.5</v>
      </c>
      <c r="E188" s="133">
        <v>0.26300000000000001</v>
      </c>
    </row>
    <row r="189" spans="3:6">
      <c r="C189" s="134">
        <v>184</v>
      </c>
      <c r="D189" s="132">
        <v>10422</v>
      </c>
      <c r="E189" s="133">
        <v>0.26800000000000002</v>
      </c>
      <c r="F189" s="133">
        <v>0.248</v>
      </c>
    </row>
    <row r="190" spans="3:6">
      <c r="C190" s="134">
        <v>185</v>
      </c>
      <c r="D190" s="132">
        <v>10422.5</v>
      </c>
      <c r="E190" s="133">
        <v>0.27400000000000002</v>
      </c>
    </row>
    <row r="191" spans="3:6">
      <c r="C191" s="134">
        <v>186</v>
      </c>
      <c r="D191" s="132">
        <v>10423</v>
      </c>
      <c r="E191" s="133">
        <v>0.27900000000000003</v>
      </c>
    </row>
    <row r="192" spans="3:6">
      <c r="C192" s="134">
        <v>187</v>
      </c>
      <c r="D192" s="132">
        <v>10423.5</v>
      </c>
      <c r="E192" s="133">
        <v>0.28100000000000003</v>
      </c>
      <c r="F192" s="133">
        <v>0.25</v>
      </c>
    </row>
    <row r="193" spans="3:6">
      <c r="C193" s="134">
        <v>188</v>
      </c>
      <c r="D193" s="132">
        <v>10424</v>
      </c>
      <c r="E193" s="133">
        <v>0.28399999999999997</v>
      </c>
    </row>
    <row r="194" spans="3:6">
      <c r="C194" s="134">
        <v>189</v>
      </c>
      <c r="D194" s="132">
        <v>10424.5</v>
      </c>
      <c r="E194" s="133">
        <v>0.28599999999999998</v>
      </c>
      <c r="F194" s="133">
        <v>0.26200000000000001</v>
      </c>
    </row>
    <row r="195" spans="3:6">
      <c r="C195" s="134">
        <v>190</v>
      </c>
      <c r="D195" s="132">
        <v>10425</v>
      </c>
      <c r="E195" s="133">
        <v>0.28199999999999997</v>
      </c>
      <c r="F195" s="133">
        <v>0.27300000000000002</v>
      </c>
    </row>
    <row r="196" spans="3:6">
      <c r="C196" s="134">
        <v>191</v>
      </c>
      <c r="D196" s="132">
        <v>10425.5</v>
      </c>
      <c r="E196" s="133">
        <v>0.27800000000000002</v>
      </c>
      <c r="F196" s="133">
        <v>0.29199999999999998</v>
      </c>
    </row>
    <row r="197" spans="3:6">
      <c r="C197" s="134">
        <v>192</v>
      </c>
      <c r="D197" s="132">
        <v>10426</v>
      </c>
      <c r="E197" s="133">
        <v>0.27600000000000002</v>
      </c>
    </row>
    <row r="198" spans="3:6">
      <c r="C198" s="134">
        <v>193</v>
      </c>
      <c r="D198" s="132">
        <v>10426.5</v>
      </c>
      <c r="E198" s="133">
        <v>0.27900000000000003</v>
      </c>
      <c r="F198" s="133">
        <v>0.26200000000000001</v>
      </c>
    </row>
    <row r="199" spans="3:6">
      <c r="C199" s="134">
        <v>194</v>
      </c>
      <c r="D199" s="132">
        <v>10427</v>
      </c>
      <c r="E199" s="133">
        <v>0.28399999999999997</v>
      </c>
    </row>
    <row r="200" spans="3:6">
      <c r="C200" s="134">
        <v>195</v>
      </c>
      <c r="D200" s="132">
        <v>10427.5</v>
      </c>
      <c r="E200" s="133">
        <v>0.28599999999999998</v>
      </c>
    </row>
    <row r="201" spans="3:6">
      <c r="C201" s="134">
        <v>196</v>
      </c>
      <c r="D201" s="132">
        <v>10428</v>
      </c>
      <c r="E201" s="133">
        <v>0.28199999999999997</v>
      </c>
      <c r="F201" s="133">
        <v>0.248</v>
      </c>
    </row>
    <row r="202" spans="3:6">
      <c r="C202" s="134">
        <v>197</v>
      </c>
      <c r="D202" s="132">
        <v>10428.5</v>
      </c>
      <c r="E202" s="133">
        <v>0.28000000000000003</v>
      </c>
      <c r="F202" s="133">
        <v>0.27200000000000002</v>
      </c>
    </row>
    <row r="203" spans="3:6">
      <c r="C203" s="134">
        <v>198</v>
      </c>
      <c r="D203" s="132">
        <v>10429</v>
      </c>
      <c r="E203" s="133">
        <v>0.27900000000000003</v>
      </c>
    </row>
    <row r="204" spans="3:6">
      <c r="C204" s="134">
        <v>199</v>
      </c>
      <c r="D204" s="132">
        <v>10429.5</v>
      </c>
      <c r="E204" s="133">
        <v>0.28000000000000003</v>
      </c>
    </row>
    <row r="205" spans="3:6">
      <c r="C205" s="134">
        <v>200</v>
      </c>
      <c r="D205" s="132">
        <v>10430</v>
      </c>
      <c r="E205" s="133">
        <v>0.27800000000000002</v>
      </c>
      <c r="F205" s="133">
        <v>0.20499999999999999</v>
      </c>
    </row>
    <row r="206" spans="3:6">
      <c r="C206" s="134">
        <v>201</v>
      </c>
      <c r="D206" s="132">
        <v>10430.5</v>
      </c>
      <c r="E206" s="133">
        <v>0.27100000000000002</v>
      </c>
    </row>
    <row r="207" spans="3:6">
      <c r="C207" s="134">
        <v>202</v>
      </c>
      <c r="D207" s="132">
        <v>10431</v>
      </c>
      <c r="E207" s="133">
        <v>0.26300000000000001</v>
      </c>
    </row>
    <row r="208" spans="3:6">
      <c r="C208" s="134">
        <v>203</v>
      </c>
      <c r="D208" s="132">
        <v>10431.5</v>
      </c>
      <c r="E208" s="133">
        <v>0.25900000000000001</v>
      </c>
    </row>
    <row r="209" spans="3:5">
      <c r="C209" s="134">
        <v>204</v>
      </c>
      <c r="D209" s="132">
        <v>10432</v>
      </c>
      <c r="E209" s="133">
        <v>0.25700000000000001</v>
      </c>
    </row>
    <row r="210" spans="3:5">
      <c r="C210" s="134">
        <v>205</v>
      </c>
      <c r="D210" s="132">
        <v>10432.5</v>
      </c>
      <c r="E210" s="133">
        <v>0.26200000000000001</v>
      </c>
    </row>
    <row r="211" spans="3:5">
      <c r="C211" s="134">
        <v>206</v>
      </c>
      <c r="D211" s="132">
        <v>10433</v>
      </c>
      <c r="E211" s="133">
        <v>0.26200000000000001</v>
      </c>
    </row>
    <row r="212" spans="3:5">
      <c r="C212" s="134">
        <v>207</v>
      </c>
      <c r="D212" s="132">
        <v>10433.5</v>
      </c>
      <c r="E212" s="133">
        <v>0.26100000000000001</v>
      </c>
    </row>
    <row r="213" spans="3:5">
      <c r="C213" s="134">
        <v>208</v>
      </c>
      <c r="D213" s="132">
        <v>10434</v>
      </c>
      <c r="E213" s="133">
        <v>0.26200000000000001</v>
      </c>
    </row>
    <row r="214" spans="3:5">
      <c r="C214" s="134">
        <v>209</v>
      </c>
      <c r="D214" s="132">
        <v>10434.5</v>
      </c>
      <c r="E214" s="133">
        <v>0.26400000000000001</v>
      </c>
    </row>
    <row r="215" spans="3:5">
      <c r="C215" s="134">
        <v>210</v>
      </c>
      <c r="D215" s="132">
        <v>10435</v>
      </c>
      <c r="E215" s="133">
        <v>0.26600000000000001</v>
      </c>
    </row>
    <row r="216" spans="3:5">
      <c r="C216" s="134">
        <v>211</v>
      </c>
      <c r="D216" s="132">
        <v>10435.5</v>
      </c>
      <c r="E216" s="133">
        <v>0.26600000000000001</v>
      </c>
    </row>
    <row r="217" spans="3:5">
      <c r="C217" s="134">
        <v>212</v>
      </c>
      <c r="D217" s="132">
        <v>10436</v>
      </c>
      <c r="E217" s="133">
        <v>0.26500000000000001</v>
      </c>
    </row>
    <row r="218" spans="3:5">
      <c r="C218" s="134">
        <v>213</v>
      </c>
      <c r="D218" s="132">
        <v>10436.5</v>
      </c>
      <c r="E218" s="133">
        <v>0.26400000000000001</v>
      </c>
    </row>
    <row r="219" spans="3:5">
      <c r="C219" s="134">
        <v>214</v>
      </c>
      <c r="D219" s="132">
        <v>10437</v>
      </c>
      <c r="E219" s="133">
        <v>0.26400000000000001</v>
      </c>
    </row>
    <row r="220" spans="3:5">
      <c r="C220" s="134">
        <v>215</v>
      </c>
      <c r="D220" s="132">
        <v>10437.5</v>
      </c>
      <c r="E220" s="133">
        <v>0.26800000000000002</v>
      </c>
    </row>
    <row r="221" spans="3:5">
      <c r="C221" s="134">
        <v>216</v>
      </c>
      <c r="D221" s="132">
        <v>10438</v>
      </c>
      <c r="E221" s="133">
        <v>0.27200000000000002</v>
      </c>
    </row>
    <row r="222" spans="3:5">
      <c r="C222" s="134">
        <v>217</v>
      </c>
      <c r="D222" s="132">
        <v>10438.5</v>
      </c>
      <c r="E222" s="133">
        <v>0.27200000000000002</v>
      </c>
    </row>
    <row r="223" spans="3:5">
      <c r="C223" s="134">
        <v>218</v>
      </c>
      <c r="D223" s="132">
        <v>10439</v>
      </c>
      <c r="E223" s="133">
        <v>0.27100000000000002</v>
      </c>
    </row>
    <row r="224" spans="3:5">
      <c r="C224" s="134">
        <v>219</v>
      </c>
      <c r="D224" s="132">
        <v>10439.5</v>
      </c>
      <c r="E224" s="133">
        <v>0.26900000000000002</v>
      </c>
    </row>
    <row r="225" spans="3:5">
      <c r="C225" s="134">
        <v>220</v>
      </c>
      <c r="D225" s="132">
        <v>10440</v>
      </c>
      <c r="E225" s="133">
        <v>0.26500000000000001</v>
      </c>
    </row>
    <row r="226" spans="3:5">
      <c r="C226" s="134">
        <v>221</v>
      </c>
      <c r="D226" s="132">
        <v>10440.5</v>
      </c>
      <c r="E226" s="133">
        <v>0.26400000000000001</v>
      </c>
    </row>
    <row r="227" spans="3:5">
      <c r="C227" s="134">
        <v>222</v>
      </c>
      <c r="D227" s="132">
        <v>10441</v>
      </c>
      <c r="E227" s="133">
        <v>0.26200000000000001</v>
      </c>
    </row>
    <row r="228" spans="3:5">
      <c r="C228" s="134">
        <v>223</v>
      </c>
      <c r="D228" s="132">
        <v>10441.5</v>
      </c>
      <c r="E228" s="133">
        <v>0.26200000000000001</v>
      </c>
    </row>
    <row r="229" spans="3:5">
      <c r="C229" s="134">
        <v>224</v>
      </c>
      <c r="D229" s="132">
        <v>10442</v>
      </c>
      <c r="E229" s="133">
        <v>0.25900000000000001</v>
      </c>
    </row>
    <row r="230" spans="3:5">
      <c r="C230" s="134">
        <v>225</v>
      </c>
      <c r="D230" s="132">
        <v>10442.5</v>
      </c>
      <c r="E230" s="133">
        <v>0.25700000000000001</v>
      </c>
    </row>
    <row r="231" spans="3:5">
      <c r="C231" s="134">
        <v>226</v>
      </c>
      <c r="D231" s="132">
        <v>10443</v>
      </c>
      <c r="E231" s="133">
        <v>0.25800000000000001</v>
      </c>
    </row>
    <row r="232" spans="3:5">
      <c r="C232" s="134">
        <v>227</v>
      </c>
      <c r="D232" s="132">
        <v>10443.5</v>
      </c>
      <c r="E232" s="133">
        <v>0.26</v>
      </c>
    </row>
    <row r="233" spans="3:5">
      <c r="C233" s="134">
        <v>228</v>
      </c>
      <c r="D233" s="132">
        <v>10444</v>
      </c>
      <c r="E233" s="133">
        <v>0.26200000000000001</v>
      </c>
    </row>
    <row r="234" spans="3:5">
      <c r="C234" s="134">
        <v>229</v>
      </c>
      <c r="D234" s="132">
        <v>10444.5</v>
      </c>
      <c r="E234" s="133">
        <v>0.26100000000000001</v>
      </c>
    </row>
    <row r="235" spans="3:5">
      <c r="C235" s="134">
        <v>230</v>
      </c>
      <c r="D235" s="132">
        <v>10445</v>
      </c>
      <c r="E235" s="133">
        <v>0.26400000000000001</v>
      </c>
    </row>
    <row r="236" spans="3:5">
      <c r="C236" s="134">
        <v>231</v>
      </c>
      <c r="D236" s="132">
        <v>10445.5</v>
      </c>
      <c r="E236" s="133">
        <v>0.26800000000000002</v>
      </c>
    </row>
    <row r="237" spans="3:5">
      <c r="C237" s="134">
        <v>232</v>
      </c>
      <c r="D237" s="132">
        <v>10446</v>
      </c>
      <c r="E237" s="133">
        <v>0.26600000000000001</v>
      </c>
    </row>
    <row r="238" spans="3:5">
      <c r="C238" s="134">
        <v>233</v>
      </c>
      <c r="D238" s="132">
        <v>10446.5</v>
      </c>
      <c r="E238" s="133">
        <v>0.26</v>
      </c>
    </row>
    <row r="239" spans="3:5">
      <c r="C239" s="134">
        <v>234</v>
      </c>
      <c r="D239" s="132">
        <v>10447</v>
      </c>
      <c r="E239" s="133">
        <v>0.253</v>
      </c>
    </row>
    <row r="240" spans="3:5">
      <c r="C240" s="134">
        <v>235</v>
      </c>
      <c r="D240" s="132">
        <v>10447.5</v>
      </c>
      <c r="E240" s="133">
        <v>0.248</v>
      </c>
    </row>
    <row r="241" spans="3:5">
      <c r="C241" s="134">
        <v>236</v>
      </c>
      <c r="D241" s="132">
        <v>10448</v>
      </c>
      <c r="E241" s="133">
        <v>0.24399999999999999</v>
      </c>
    </row>
    <row r="242" spans="3:5">
      <c r="C242" s="134">
        <v>237</v>
      </c>
      <c r="D242" s="132">
        <v>10448.5</v>
      </c>
      <c r="E242" s="133">
        <v>0.24</v>
      </c>
    </row>
    <row r="243" spans="3:5">
      <c r="C243" s="134">
        <v>238</v>
      </c>
      <c r="D243" s="132">
        <v>10449</v>
      </c>
      <c r="E243" s="133">
        <v>0.23300000000000001</v>
      </c>
    </row>
    <row r="244" spans="3:5">
      <c r="C244" s="134">
        <v>239</v>
      </c>
      <c r="D244" s="132">
        <v>10449.5</v>
      </c>
      <c r="E244" s="133">
        <v>0.23300000000000001</v>
      </c>
    </row>
    <row r="245" spans="3:5">
      <c r="C245" s="134">
        <v>240</v>
      </c>
      <c r="D245" s="132">
        <v>10450</v>
      </c>
      <c r="E245" s="133">
        <v>0.23499999999999999</v>
      </c>
    </row>
    <row r="246" spans="3:5">
      <c r="C246" s="134">
        <v>241</v>
      </c>
      <c r="D246" s="132">
        <v>10450.5</v>
      </c>
      <c r="E246" s="133">
        <v>0.23599999999999999</v>
      </c>
    </row>
    <row r="247" spans="3:5">
      <c r="C247" s="134">
        <v>242</v>
      </c>
      <c r="D247" s="132">
        <v>10451</v>
      </c>
      <c r="E247" s="133">
        <v>0.24199999999999999</v>
      </c>
    </row>
    <row r="248" spans="3:5">
      <c r="C248" s="134">
        <v>243</v>
      </c>
      <c r="D248" s="132">
        <v>10451.5</v>
      </c>
      <c r="E248" s="133">
        <v>0.245</v>
      </c>
    </row>
    <row r="249" spans="3:5">
      <c r="C249" s="134">
        <v>244</v>
      </c>
      <c r="D249" s="132">
        <v>10452</v>
      </c>
      <c r="E249" s="133">
        <v>0.245</v>
      </c>
    </row>
    <row r="250" spans="3:5">
      <c r="C250" s="134">
        <v>245</v>
      </c>
      <c r="D250" s="132">
        <v>10452.5</v>
      </c>
      <c r="E250" s="133">
        <v>0.25</v>
      </c>
    </row>
    <row r="251" spans="3:5">
      <c r="C251" s="134">
        <v>246</v>
      </c>
      <c r="D251" s="132">
        <v>10453</v>
      </c>
      <c r="E251" s="133">
        <v>0.25800000000000001</v>
      </c>
    </row>
    <row r="252" spans="3:5">
      <c r="C252" s="134">
        <v>247</v>
      </c>
      <c r="D252" s="132">
        <v>10453.5</v>
      </c>
      <c r="E252" s="133">
        <v>0.26400000000000001</v>
      </c>
    </row>
    <row r="253" spans="3:5">
      <c r="C253" s="134">
        <v>248</v>
      </c>
      <c r="D253" s="132">
        <v>10454</v>
      </c>
      <c r="E253" s="133">
        <v>0.26700000000000002</v>
      </c>
    </row>
    <row r="254" spans="3:5">
      <c r="C254" s="134">
        <v>249</v>
      </c>
      <c r="D254" s="132">
        <v>10454.5</v>
      </c>
      <c r="E254" s="133">
        <v>0.26500000000000001</v>
      </c>
    </row>
    <row r="255" spans="3:5">
      <c r="C255" s="134">
        <v>250</v>
      </c>
      <c r="D255" s="132">
        <v>10455</v>
      </c>
      <c r="E255" s="133">
        <v>0.26200000000000001</v>
      </c>
    </row>
    <row r="256" spans="3:5">
      <c r="C256" s="134">
        <v>251</v>
      </c>
      <c r="D256" s="132">
        <v>10455.5</v>
      </c>
      <c r="E256" s="133">
        <v>0.25800000000000001</v>
      </c>
    </row>
    <row r="257" spans="3:5">
      <c r="C257" s="134">
        <v>252</v>
      </c>
      <c r="D257" s="132">
        <v>10456</v>
      </c>
      <c r="E257" s="133">
        <v>0.26100000000000001</v>
      </c>
    </row>
    <row r="258" spans="3:5">
      <c r="C258" s="134">
        <v>253</v>
      </c>
      <c r="D258" s="132">
        <v>10456.5</v>
      </c>
      <c r="E258" s="133">
        <v>0.26400000000000001</v>
      </c>
    </row>
    <row r="259" spans="3:5">
      <c r="C259" s="134">
        <v>254</v>
      </c>
      <c r="D259" s="132">
        <v>10457</v>
      </c>
      <c r="E259" s="133">
        <v>0.26500000000000001</v>
      </c>
    </row>
    <row r="260" spans="3:5">
      <c r="C260" s="134">
        <v>255</v>
      </c>
      <c r="D260" s="132">
        <v>10457.5</v>
      </c>
      <c r="E260" s="133">
        <v>0.26500000000000001</v>
      </c>
    </row>
    <row r="261" spans="3:5">
      <c r="C261" s="134">
        <v>256</v>
      </c>
      <c r="D261" s="132">
        <v>10458</v>
      </c>
      <c r="E261" s="133">
        <v>0.26400000000000001</v>
      </c>
    </row>
    <row r="262" spans="3:5">
      <c r="C262" s="134">
        <v>257</v>
      </c>
      <c r="D262" s="132">
        <v>10458.5</v>
      </c>
      <c r="E262" s="133">
        <v>0.26500000000000001</v>
      </c>
    </row>
    <row r="263" spans="3:5">
      <c r="C263" s="134">
        <v>258</v>
      </c>
      <c r="D263" s="132">
        <v>10459</v>
      </c>
      <c r="E263" s="133">
        <v>0.26400000000000001</v>
      </c>
    </row>
    <row r="264" spans="3:5">
      <c r="C264" s="134">
        <v>259</v>
      </c>
      <c r="D264" s="132">
        <v>10459.5</v>
      </c>
      <c r="E264" s="133">
        <v>0.25900000000000001</v>
      </c>
    </row>
    <row r="265" spans="3:5">
      <c r="C265" s="134">
        <v>260</v>
      </c>
      <c r="D265" s="132">
        <v>10460</v>
      </c>
      <c r="E265" s="133">
        <v>0.26100000000000001</v>
      </c>
    </row>
    <row r="266" spans="3:5">
      <c r="C266" s="134">
        <v>261</v>
      </c>
      <c r="D266" s="132">
        <v>10460.5</v>
      </c>
      <c r="E266" s="133">
        <v>0.26700000000000002</v>
      </c>
    </row>
    <row r="267" spans="3:5">
      <c r="C267" s="134">
        <v>262</v>
      </c>
      <c r="D267" s="132">
        <v>10461</v>
      </c>
      <c r="E267" s="133">
        <v>0.26700000000000002</v>
      </c>
    </row>
    <row r="268" spans="3:5">
      <c r="C268" s="134">
        <v>263</v>
      </c>
      <c r="D268" s="132">
        <v>10461.5</v>
      </c>
      <c r="E268" s="133">
        <v>0.26500000000000001</v>
      </c>
    </row>
    <row r="269" spans="3:5">
      <c r="C269" s="134">
        <v>264</v>
      </c>
      <c r="D269" s="132">
        <v>10462</v>
      </c>
      <c r="E269" s="133">
        <v>0.26100000000000001</v>
      </c>
    </row>
    <row r="270" spans="3:5">
      <c r="C270" s="134">
        <v>265</v>
      </c>
      <c r="D270" s="132">
        <v>10462.5</v>
      </c>
      <c r="E270" s="133">
        <v>0.26200000000000001</v>
      </c>
    </row>
    <row r="271" spans="3:5">
      <c r="C271" s="134">
        <v>266</v>
      </c>
      <c r="D271" s="132">
        <v>10463</v>
      </c>
      <c r="E271" s="133">
        <v>0.26400000000000001</v>
      </c>
    </row>
    <row r="272" spans="3:5">
      <c r="C272" s="134">
        <v>267</v>
      </c>
      <c r="D272" s="132">
        <v>10463.5</v>
      </c>
      <c r="E272" s="133">
        <v>0.26500000000000001</v>
      </c>
    </row>
    <row r="273" spans="3:5">
      <c r="C273" s="134">
        <v>268</v>
      </c>
      <c r="D273" s="132">
        <v>10464</v>
      </c>
      <c r="E273" s="133">
        <v>0.26400000000000001</v>
      </c>
    </row>
    <row r="274" spans="3:5">
      <c r="C274" s="134">
        <v>269</v>
      </c>
      <c r="D274" s="132">
        <v>10464.5</v>
      </c>
      <c r="E274" s="133">
        <v>0.26400000000000001</v>
      </c>
    </row>
    <row r="275" spans="3:5">
      <c r="C275" s="134">
        <v>270</v>
      </c>
      <c r="D275" s="132">
        <v>10465</v>
      </c>
      <c r="E275" s="133">
        <v>0.26400000000000001</v>
      </c>
    </row>
    <row r="276" spans="3:5">
      <c r="C276" s="134">
        <v>271</v>
      </c>
      <c r="D276" s="132">
        <v>10465.5</v>
      </c>
      <c r="E276" s="133">
        <v>0.26500000000000001</v>
      </c>
    </row>
    <row r="277" spans="3:5">
      <c r="C277" s="134">
        <v>272</v>
      </c>
      <c r="D277" s="132">
        <v>10466</v>
      </c>
      <c r="E277" s="133">
        <v>0.26600000000000001</v>
      </c>
    </row>
    <row r="278" spans="3:5">
      <c r="C278" s="134">
        <v>273</v>
      </c>
      <c r="D278" s="132">
        <v>10466.5</v>
      </c>
      <c r="E278" s="133">
        <v>0.26100000000000001</v>
      </c>
    </row>
    <row r="279" spans="3:5">
      <c r="C279" s="134">
        <v>274</v>
      </c>
      <c r="D279" s="132">
        <v>10467</v>
      </c>
      <c r="E279" s="133">
        <v>0.25900000000000001</v>
      </c>
    </row>
    <row r="280" spans="3:5">
      <c r="C280" s="134">
        <v>275</v>
      </c>
      <c r="D280" s="132">
        <v>10467.5</v>
      </c>
      <c r="E280" s="133">
        <v>0.255</v>
      </c>
    </row>
    <row r="281" spans="3:5">
      <c r="C281" s="134">
        <v>276</v>
      </c>
      <c r="D281" s="132">
        <v>10468</v>
      </c>
      <c r="E281" s="133">
        <v>0.253</v>
      </c>
    </row>
    <row r="282" spans="3:5">
      <c r="C282" s="134">
        <v>277</v>
      </c>
      <c r="D282" s="132">
        <v>10468.5</v>
      </c>
      <c r="E282" s="133">
        <v>0.254</v>
      </c>
    </row>
    <row r="283" spans="3:5">
      <c r="C283" s="134">
        <v>278</v>
      </c>
      <c r="D283" s="132">
        <v>10469</v>
      </c>
      <c r="E283" s="133">
        <v>0.252</v>
      </c>
    </row>
    <row r="284" spans="3:5">
      <c r="C284" s="134">
        <v>279</v>
      </c>
      <c r="D284" s="132">
        <v>10469.5</v>
      </c>
      <c r="E284" s="133">
        <v>0.253</v>
      </c>
    </row>
    <row r="285" spans="3:5">
      <c r="C285" s="134">
        <v>280</v>
      </c>
      <c r="D285" s="132">
        <v>10470</v>
      </c>
      <c r="E285" s="133">
        <v>0.253</v>
      </c>
    </row>
    <row r="286" spans="3:5">
      <c r="C286" s="134">
        <v>281</v>
      </c>
      <c r="D286" s="132">
        <v>10470.5</v>
      </c>
      <c r="E286" s="133">
        <v>0.252</v>
      </c>
    </row>
    <row r="287" spans="3:5">
      <c r="C287" s="134">
        <v>282</v>
      </c>
      <c r="D287" s="132">
        <v>10471</v>
      </c>
      <c r="E287" s="133">
        <v>0.251</v>
      </c>
    </row>
    <row r="288" spans="3:5">
      <c r="C288" s="134">
        <v>283</v>
      </c>
      <c r="D288" s="132">
        <v>10471.5</v>
      </c>
      <c r="E288" s="133">
        <v>0.251</v>
      </c>
    </row>
    <row r="289" spans="3:5">
      <c r="C289" s="134">
        <v>284</v>
      </c>
      <c r="D289" s="132">
        <v>10472</v>
      </c>
      <c r="E289" s="133">
        <v>0.25600000000000001</v>
      </c>
    </row>
    <row r="290" spans="3:5">
      <c r="C290" s="134">
        <v>285</v>
      </c>
      <c r="D290" s="132">
        <v>10472.5</v>
      </c>
      <c r="E290" s="133">
        <v>0.26400000000000001</v>
      </c>
    </row>
    <row r="291" spans="3:5">
      <c r="C291" s="134">
        <v>286</v>
      </c>
      <c r="D291" s="132">
        <v>10473</v>
      </c>
      <c r="E291" s="133">
        <v>0.27100000000000002</v>
      </c>
    </row>
    <row r="292" spans="3:5">
      <c r="C292" s="134">
        <v>287</v>
      </c>
      <c r="D292" s="132">
        <v>10473.5</v>
      </c>
      <c r="E292" s="133">
        <v>0.27900000000000003</v>
      </c>
    </row>
    <row r="293" spans="3:5">
      <c r="C293" s="134">
        <v>288</v>
      </c>
      <c r="D293" s="132">
        <v>10474</v>
      </c>
      <c r="E293" s="133">
        <v>0.28699999999999998</v>
      </c>
    </row>
    <row r="294" spans="3:5">
      <c r="C294" s="134">
        <v>289</v>
      </c>
      <c r="D294" s="132">
        <v>10474.5</v>
      </c>
      <c r="E294" s="133">
        <v>0.29099999999999998</v>
      </c>
    </row>
    <row r="295" spans="3:5">
      <c r="C295" s="134">
        <v>290</v>
      </c>
      <c r="D295" s="132">
        <v>10475</v>
      </c>
      <c r="E295" s="133">
        <v>0.28599999999999998</v>
      </c>
    </row>
    <row r="296" spans="3:5">
      <c r="C296" s="134">
        <v>291</v>
      </c>
      <c r="D296" s="132">
        <v>10475.5</v>
      </c>
      <c r="E296" s="133">
        <v>0.28699999999999998</v>
      </c>
    </row>
    <row r="297" spans="3:5">
      <c r="C297" s="134">
        <v>292</v>
      </c>
      <c r="D297" s="132">
        <v>10476</v>
      </c>
      <c r="E297" s="133">
        <v>0.29099999999999998</v>
      </c>
    </row>
    <row r="298" spans="3:5">
      <c r="C298" s="134">
        <v>293</v>
      </c>
      <c r="D298" s="132">
        <v>10476.5</v>
      </c>
      <c r="E298" s="133">
        <v>0.29399999999999998</v>
      </c>
    </row>
    <row r="299" spans="3:5">
      <c r="C299" s="134">
        <v>294</v>
      </c>
      <c r="D299" s="132">
        <v>10477</v>
      </c>
      <c r="E299" s="133">
        <v>0.29099999999999998</v>
      </c>
    </row>
    <row r="300" spans="3:5">
      <c r="C300" s="134">
        <v>295</v>
      </c>
      <c r="D300" s="132">
        <v>10477.5</v>
      </c>
      <c r="E300" s="133">
        <v>0.28499999999999998</v>
      </c>
    </row>
    <row r="301" spans="3:5">
      <c r="C301" s="134">
        <v>296</v>
      </c>
      <c r="D301" s="132">
        <v>10478</v>
      </c>
      <c r="E301" s="133">
        <v>0.27700000000000002</v>
      </c>
    </row>
    <row r="302" spans="3:5">
      <c r="C302" s="134">
        <v>297</v>
      </c>
      <c r="D302" s="132">
        <v>10478.5</v>
      </c>
      <c r="E302" s="133">
        <v>0.27</v>
      </c>
    </row>
    <row r="303" spans="3:5">
      <c r="C303" s="134">
        <v>298</v>
      </c>
      <c r="D303" s="132">
        <v>10479</v>
      </c>
      <c r="E303" s="133">
        <v>0.26300000000000001</v>
      </c>
    </row>
    <row r="304" spans="3:5">
      <c r="C304" s="134">
        <v>299</v>
      </c>
      <c r="D304" s="132">
        <v>10479.5</v>
      </c>
      <c r="E304" s="133">
        <v>0.26400000000000001</v>
      </c>
    </row>
    <row r="305" spans="3:6">
      <c r="C305" s="134">
        <v>300</v>
      </c>
      <c r="D305" s="132">
        <v>10480</v>
      </c>
      <c r="E305" s="133">
        <v>0.26800000000000002</v>
      </c>
    </row>
    <row r="306" spans="3:6">
      <c r="C306" s="134">
        <v>301</v>
      </c>
      <c r="D306" s="132">
        <v>10480.5</v>
      </c>
      <c r="E306" s="133">
        <v>0.26700000000000002</v>
      </c>
    </row>
    <row r="307" spans="3:6">
      <c r="C307" s="134">
        <v>302</v>
      </c>
      <c r="D307" s="132">
        <v>10481</v>
      </c>
      <c r="E307" s="133">
        <v>0.26900000000000002</v>
      </c>
    </row>
    <row r="308" spans="3:6">
      <c r="C308" s="134">
        <v>303</v>
      </c>
      <c r="D308" s="132">
        <v>10481.5</v>
      </c>
      <c r="E308" s="133">
        <v>0.27200000000000002</v>
      </c>
    </row>
    <row r="309" spans="3:6">
      <c r="C309" s="134">
        <v>304</v>
      </c>
      <c r="D309" s="132">
        <v>10482</v>
      </c>
      <c r="E309" s="133">
        <v>0.27400000000000002</v>
      </c>
      <c r="F309" s="133">
        <v>0.28699999999999998</v>
      </c>
    </row>
    <row r="310" spans="3:6">
      <c r="C310" s="134">
        <v>305</v>
      </c>
      <c r="D310" s="132">
        <v>10482.5</v>
      </c>
      <c r="E310" s="133">
        <v>0.28000000000000003</v>
      </c>
    </row>
    <row r="311" spans="3:6">
      <c r="C311" s="134">
        <v>306</v>
      </c>
      <c r="D311" s="132">
        <v>10483</v>
      </c>
      <c r="E311" s="133">
        <v>0.28599999999999998</v>
      </c>
      <c r="F311" s="133">
        <v>0.28000000000000003</v>
      </c>
    </row>
    <row r="312" spans="3:6">
      <c r="C312" s="134">
        <v>307</v>
      </c>
      <c r="D312" s="132">
        <v>10483.5</v>
      </c>
      <c r="E312" s="133">
        <v>0.28699999999999998</v>
      </c>
    </row>
    <row r="313" spans="3:6">
      <c r="C313" s="134">
        <v>308</v>
      </c>
      <c r="D313" s="132">
        <v>10484</v>
      </c>
      <c r="E313" s="133">
        <v>0.28499999999999998</v>
      </c>
    </row>
    <row r="314" spans="3:6">
      <c r="C314" s="134">
        <v>309</v>
      </c>
      <c r="D314" s="132">
        <v>10484.5</v>
      </c>
      <c r="E314" s="133">
        <v>0.28199999999999997</v>
      </c>
      <c r="F314" s="133">
        <v>0.28399999999999997</v>
      </c>
    </row>
    <row r="315" spans="3:6">
      <c r="C315" s="134">
        <v>310</v>
      </c>
      <c r="D315" s="132">
        <v>10485</v>
      </c>
      <c r="E315" s="133">
        <v>0.28299999999999997</v>
      </c>
      <c r="F315" s="133">
        <v>0.29799999999999999</v>
      </c>
    </row>
    <row r="316" spans="3:6">
      <c r="C316" s="134">
        <v>311</v>
      </c>
      <c r="D316" s="132">
        <v>10485.5</v>
      </c>
      <c r="E316" s="133">
        <v>0.27500000000000002</v>
      </c>
    </row>
    <row r="317" spans="3:6">
      <c r="C317" s="134">
        <v>312</v>
      </c>
      <c r="D317" s="132">
        <v>10486</v>
      </c>
      <c r="E317" s="133">
        <v>0.26700000000000002</v>
      </c>
      <c r="F317" s="133">
        <v>0.28000000000000003</v>
      </c>
    </row>
    <row r="318" spans="3:6">
      <c r="C318" s="134">
        <v>313</v>
      </c>
      <c r="D318" s="132">
        <v>10486.5</v>
      </c>
      <c r="E318" s="133">
        <v>0.26600000000000001</v>
      </c>
    </row>
    <row r="319" spans="3:6">
      <c r="C319" s="134">
        <v>314</v>
      </c>
      <c r="D319" s="132">
        <v>10487</v>
      </c>
      <c r="E319" s="133">
        <v>0.27</v>
      </c>
    </row>
    <row r="320" spans="3:6">
      <c r="C320" s="134">
        <v>315</v>
      </c>
      <c r="D320" s="132">
        <v>10487.5</v>
      </c>
      <c r="E320" s="133">
        <v>0.27500000000000002</v>
      </c>
      <c r="F320" s="133">
        <v>0.27300000000000002</v>
      </c>
    </row>
    <row r="321" spans="3:6">
      <c r="C321" s="134">
        <v>316</v>
      </c>
      <c r="D321" s="132">
        <v>10488</v>
      </c>
      <c r="E321" s="133">
        <v>0.27900000000000003</v>
      </c>
      <c r="F321" s="133">
        <v>0.28499999999999998</v>
      </c>
    </row>
    <row r="322" spans="3:6">
      <c r="C322" s="134">
        <v>317</v>
      </c>
      <c r="D322" s="132">
        <v>10488.5</v>
      </c>
      <c r="E322" s="133">
        <v>0.27900000000000003</v>
      </c>
    </row>
    <row r="323" spans="3:6">
      <c r="C323" s="134">
        <v>318</v>
      </c>
      <c r="D323" s="132">
        <v>10489</v>
      </c>
      <c r="E323" s="133">
        <v>0.27600000000000002</v>
      </c>
      <c r="F323" s="133">
        <v>0.248</v>
      </c>
    </row>
    <row r="324" spans="3:6">
      <c r="C324" s="134">
        <v>319</v>
      </c>
      <c r="D324" s="132">
        <v>10489.5</v>
      </c>
      <c r="E324" s="133">
        <v>0.27400000000000002</v>
      </c>
    </row>
    <row r="325" spans="3:6">
      <c r="C325" s="134">
        <v>320</v>
      </c>
      <c r="D325" s="132">
        <v>10490</v>
      </c>
      <c r="E325" s="133">
        <v>0.27500000000000002</v>
      </c>
      <c r="F325" s="133">
        <v>0.29699999999999999</v>
      </c>
    </row>
    <row r="326" spans="3:6">
      <c r="C326" s="134">
        <v>321</v>
      </c>
      <c r="D326" s="132">
        <v>10490.5</v>
      </c>
      <c r="E326" s="133">
        <v>0.28100000000000003</v>
      </c>
    </row>
    <row r="327" spans="3:6">
      <c r="C327" s="134">
        <v>322</v>
      </c>
      <c r="D327" s="132">
        <v>10491</v>
      </c>
      <c r="E327" s="133">
        <v>0.28199999999999997</v>
      </c>
      <c r="F327" s="133">
        <v>0.25800000000000001</v>
      </c>
    </row>
    <row r="328" spans="3:6">
      <c r="C328" s="134">
        <v>323</v>
      </c>
      <c r="D328" s="132">
        <v>10491.5</v>
      </c>
      <c r="E328" s="133">
        <v>0.28100000000000003</v>
      </c>
    </row>
    <row r="329" spans="3:6">
      <c r="C329" s="134">
        <v>324</v>
      </c>
      <c r="D329" s="132">
        <v>10492</v>
      </c>
      <c r="E329" s="133">
        <v>0.27800000000000002</v>
      </c>
      <c r="F329" s="133">
        <v>0.28699999999999998</v>
      </c>
    </row>
    <row r="330" spans="3:6">
      <c r="C330" s="134">
        <v>325</v>
      </c>
      <c r="D330" s="132">
        <v>10492.5</v>
      </c>
      <c r="E330" s="133">
        <v>0.27300000000000002</v>
      </c>
    </row>
    <row r="331" spans="3:6">
      <c r="C331" s="134">
        <v>326</v>
      </c>
      <c r="D331" s="132">
        <v>10493</v>
      </c>
      <c r="E331" s="133">
        <v>0.26800000000000002</v>
      </c>
    </row>
    <row r="332" spans="3:6">
      <c r="C332" s="134">
        <v>327</v>
      </c>
      <c r="D332" s="132">
        <v>10493.5</v>
      </c>
      <c r="E332" s="133">
        <v>0.26500000000000001</v>
      </c>
    </row>
    <row r="333" spans="3:6">
      <c r="C333" s="134">
        <v>328</v>
      </c>
      <c r="D333" s="132">
        <v>10494</v>
      </c>
      <c r="E333" s="133">
        <v>0.26500000000000001</v>
      </c>
      <c r="F333" s="133">
        <v>0.27200000000000002</v>
      </c>
    </row>
    <row r="334" spans="3:6">
      <c r="C334" s="134">
        <v>329</v>
      </c>
      <c r="D334" s="132">
        <v>10494.5</v>
      </c>
      <c r="E334" s="133">
        <v>0.26300000000000001</v>
      </c>
    </row>
    <row r="335" spans="3:6">
      <c r="C335" s="134">
        <v>330</v>
      </c>
      <c r="D335" s="132">
        <v>10495</v>
      </c>
      <c r="E335" s="133">
        <v>0.26200000000000001</v>
      </c>
      <c r="F335" s="133">
        <v>0.27600000000000002</v>
      </c>
    </row>
    <row r="336" spans="3:6">
      <c r="C336" s="134">
        <v>331</v>
      </c>
      <c r="D336" s="132">
        <v>10495.5</v>
      </c>
      <c r="E336" s="133">
        <v>0.26300000000000001</v>
      </c>
    </row>
    <row r="337" spans="3:6">
      <c r="C337" s="134">
        <v>332</v>
      </c>
      <c r="D337" s="132">
        <v>10496</v>
      </c>
      <c r="E337" s="133">
        <v>0.26600000000000001</v>
      </c>
      <c r="F337" s="133">
        <v>0.28299999999999997</v>
      </c>
    </row>
    <row r="338" spans="3:6">
      <c r="C338" s="134">
        <v>333</v>
      </c>
      <c r="D338" s="132">
        <v>10496.5</v>
      </c>
      <c r="E338" s="133">
        <v>0.26800000000000002</v>
      </c>
    </row>
    <row r="339" spans="3:6">
      <c r="C339" s="134">
        <v>334</v>
      </c>
      <c r="D339" s="132">
        <v>10497</v>
      </c>
      <c r="E339" s="133">
        <v>0.26400000000000001</v>
      </c>
      <c r="F339" s="133">
        <v>0.27</v>
      </c>
    </row>
    <row r="340" spans="3:6">
      <c r="C340" s="134">
        <v>335</v>
      </c>
      <c r="D340" s="132">
        <v>10497.5</v>
      </c>
      <c r="E340" s="133">
        <v>0.25900000000000001</v>
      </c>
    </row>
    <row r="341" spans="3:6">
      <c r="C341" s="134">
        <v>336</v>
      </c>
      <c r="D341" s="132">
        <v>10498</v>
      </c>
      <c r="E341" s="133">
        <v>0.26600000000000001</v>
      </c>
      <c r="F341" s="133">
        <v>0.318</v>
      </c>
    </row>
    <row r="342" spans="3:6">
      <c r="C342" s="134">
        <v>337</v>
      </c>
      <c r="D342" s="132">
        <v>10498.5</v>
      </c>
      <c r="E342" s="133">
        <v>0.27400000000000002</v>
      </c>
    </row>
    <row r="343" spans="3:6">
      <c r="C343" s="134">
        <v>338</v>
      </c>
      <c r="D343" s="132">
        <v>10499</v>
      </c>
      <c r="E343" s="133">
        <v>0.28599999999999998</v>
      </c>
    </row>
    <row r="344" spans="3:6">
      <c r="C344" s="134">
        <v>339</v>
      </c>
      <c r="D344" s="132">
        <v>10499.5</v>
      </c>
      <c r="E344" s="133">
        <v>0.28899999999999998</v>
      </c>
      <c r="F344" s="133">
        <v>0.27600000000000002</v>
      </c>
    </row>
    <row r="345" spans="3:6">
      <c r="C345" s="134">
        <v>340</v>
      </c>
      <c r="D345" s="132">
        <v>10500</v>
      </c>
      <c r="E345" s="133">
        <v>0.29299999999999998</v>
      </c>
    </row>
    <row r="346" spans="3:6">
      <c r="C346" s="134">
        <v>341</v>
      </c>
      <c r="D346" s="132">
        <v>10500.5</v>
      </c>
      <c r="E346" s="133">
        <v>0.29299999999999998</v>
      </c>
      <c r="F346" s="133">
        <v>0.29099999999999998</v>
      </c>
    </row>
    <row r="347" spans="3:6">
      <c r="C347" s="134">
        <v>342</v>
      </c>
      <c r="D347" s="132">
        <v>10501</v>
      </c>
      <c r="E347" s="133">
        <v>0.28999999999999998</v>
      </c>
    </row>
    <row r="348" spans="3:6">
      <c r="C348" s="134">
        <v>343</v>
      </c>
      <c r="D348" s="132">
        <v>10501.5</v>
      </c>
      <c r="E348" s="133">
        <v>0.28899999999999998</v>
      </c>
      <c r="F348" s="133">
        <v>0.314</v>
      </c>
    </row>
    <row r="349" spans="3:6">
      <c r="C349" s="134">
        <v>344</v>
      </c>
      <c r="D349" s="132">
        <v>10502</v>
      </c>
      <c r="E349" s="133">
        <v>0.28799999999999998</v>
      </c>
      <c r="F349" s="133">
        <v>0.28799999999999998</v>
      </c>
    </row>
    <row r="350" spans="3:6">
      <c r="C350" s="134">
        <v>345</v>
      </c>
      <c r="D350" s="132">
        <v>10502.5</v>
      </c>
      <c r="E350" s="133">
        <v>0.29099999999999998</v>
      </c>
    </row>
    <row r="351" spans="3:6">
      <c r="C351" s="134">
        <v>346</v>
      </c>
      <c r="D351" s="132">
        <v>10503</v>
      </c>
      <c r="E351" s="133">
        <v>0.29099999999999998</v>
      </c>
      <c r="F351" s="133">
        <v>0.309</v>
      </c>
    </row>
    <row r="352" spans="3:6">
      <c r="C352" s="134">
        <v>347</v>
      </c>
      <c r="D352" s="132">
        <v>10503.5</v>
      </c>
      <c r="E352" s="133">
        <v>0.28899999999999998</v>
      </c>
      <c r="F352" s="133">
        <v>0.29799999999999999</v>
      </c>
    </row>
    <row r="353" spans="3:6">
      <c r="C353" s="134">
        <v>348</v>
      </c>
      <c r="D353" s="132">
        <v>10504</v>
      </c>
      <c r="E353" s="133">
        <v>0.28999999999999998</v>
      </c>
    </row>
    <row r="354" spans="3:6">
      <c r="C354" s="134">
        <v>349</v>
      </c>
      <c r="D354" s="132">
        <v>10504.5</v>
      </c>
      <c r="E354" s="133">
        <v>0.28499999999999998</v>
      </c>
      <c r="F354" s="133">
        <v>0.30399999999999999</v>
      </c>
    </row>
    <row r="355" spans="3:6">
      <c r="C355" s="134">
        <v>350</v>
      </c>
      <c r="D355" s="132">
        <v>10505</v>
      </c>
      <c r="E355" s="133">
        <v>0.27800000000000002</v>
      </c>
    </row>
    <row r="356" spans="3:6">
      <c r="C356" s="134">
        <v>351</v>
      </c>
      <c r="D356" s="132">
        <v>10505.5</v>
      </c>
      <c r="E356" s="133">
        <v>0.27400000000000002</v>
      </c>
      <c r="F356" s="133">
        <v>0.27800000000000002</v>
      </c>
    </row>
    <row r="357" spans="3:6">
      <c r="C357" s="134">
        <v>352</v>
      </c>
      <c r="D357" s="132">
        <v>10506</v>
      </c>
      <c r="E357" s="133">
        <v>0.27</v>
      </c>
    </row>
    <row r="358" spans="3:6">
      <c r="C358" s="134">
        <v>353</v>
      </c>
      <c r="D358" s="132">
        <v>10506.5</v>
      </c>
      <c r="E358" s="133">
        <v>0.27200000000000002</v>
      </c>
      <c r="F358" s="133">
        <v>0.27900000000000003</v>
      </c>
    </row>
    <row r="359" spans="3:6">
      <c r="C359" s="134">
        <v>354</v>
      </c>
      <c r="D359" s="132">
        <v>10507</v>
      </c>
      <c r="E359" s="133">
        <v>0.27200000000000002</v>
      </c>
    </row>
    <row r="360" spans="3:6">
      <c r="C360" s="134">
        <v>355</v>
      </c>
      <c r="D360" s="132">
        <v>10507.5</v>
      </c>
      <c r="E360" s="133">
        <v>0.27200000000000002</v>
      </c>
      <c r="F360" s="133">
        <v>0.27100000000000002</v>
      </c>
    </row>
    <row r="361" spans="3:6">
      <c r="C361" s="134">
        <v>356</v>
      </c>
      <c r="D361" s="132">
        <v>10508</v>
      </c>
      <c r="E361" s="133">
        <v>0.26600000000000001</v>
      </c>
    </row>
    <row r="362" spans="3:6">
      <c r="C362" s="134">
        <v>357</v>
      </c>
      <c r="D362" s="132">
        <v>10508.5</v>
      </c>
      <c r="E362" s="133">
        <v>0.247</v>
      </c>
      <c r="F362" s="133">
        <v>0.252</v>
      </c>
    </row>
    <row r="363" spans="3:6">
      <c r="C363" s="134">
        <v>358</v>
      </c>
      <c r="D363" s="132">
        <v>10509</v>
      </c>
      <c r="E363" s="133">
        <v>0.24099999999999999</v>
      </c>
    </row>
    <row r="364" spans="3:6">
      <c r="C364" s="134">
        <v>359</v>
      </c>
      <c r="D364" s="132">
        <v>10509.5</v>
      </c>
      <c r="E364" s="133">
        <v>0.22900000000000001</v>
      </c>
      <c r="F364" s="133">
        <v>0.27900000000000003</v>
      </c>
    </row>
    <row r="365" spans="3:6">
      <c r="C365" s="134">
        <v>360</v>
      </c>
      <c r="D365" s="132">
        <v>10510</v>
      </c>
      <c r="E365" s="133">
        <v>0.215</v>
      </c>
    </row>
    <row r="366" spans="3:6">
      <c r="C366" s="134">
        <v>361</v>
      </c>
      <c r="D366" s="132">
        <v>10510.5</v>
      </c>
      <c r="E366" s="133">
        <v>0.20599999999999999</v>
      </c>
      <c r="F366" s="133">
        <v>0.193</v>
      </c>
    </row>
    <row r="367" spans="3:6">
      <c r="C367" s="134">
        <v>362</v>
      </c>
      <c r="D367" s="132">
        <v>10511</v>
      </c>
      <c r="E367" s="133">
        <v>0.19400000000000001</v>
      </c>
      <c r="F367" s="133">
        <v>0.19400000000000001</v>
      </c>
    </row>
    <row r="368" spans="3:6">
      <c r="C368" s="134">
        <v>363</v>
      </c>
      <c r="D368" s="132">
        <v>10511.5</v>
      </c>
      <c r="E368" s="133">
        <v>0.182</v>
      </c>
    </row>
    <row r="369" spans="3:6">
      <c r="C369" s="134">
        <v>364</v>
      </c>
      <c r="D369" s="132">
        <v>10512</v>
      </c>
      <c r="E369" s="133">
        <v>0.17899999999999999</v>
      </c>
      <c r="F369" s="133">
        <v>0.126</v>
      </c>
    </row>
    <row r="370" spans="3:6">
      <c r="C370" s="134">
        <v>365</v>
      </c>
      <c r="D370" s="132">
        <v>10512.5</v>
      </c>
      <c r="E370" s="133">
        <v>0.182</v>
      </c>
    </row>
    <row r="371" spans="3:6">
      <c r="C371" s="134">
        <v>366</v>
      </c>
      <c r="D371" s="132">
        <v>10513</v>
      </c>
      <c r="E371" s="133">
        <v>0.184</v>
      </c>
      <c r="F371" s="133">
        <v>0.184</v>
      </c>
    </row>
    <row r="372" spans="3:6">
      <c r="C372" s="134">
        <v>367</v>
      </c>
      <c r="D372" s="132">
        <v>10513.5</v>
      </c>
      <c r="E372" s="133">
        <v>0.187</v>
      </c>
    </row>
    <row r="373" spans="3:6">
      <c r="C373" s="134">
        <v>368</v>
      </c>
      <c r="D373" s="132">
        <v>10514</v>
      </c>
      <c r="E373" s="133">
        <v>0.189</v>
      </c>
      <c r="F373" s="133">
        <v>0.189</v>
      </c>
    </row>
    <row r="374" spans="3:6">
      <c r="C374" s="134">
        <v>369</v>
      </c>
      <c r="D374" s="132">
        <v>10514.5</v>
      </c>
      <c r="E374" s="133">
        <v>0.191</v>
      </c>
    </row>
    <row r="375" spans="3:6">
      <c r="C375" s="134">
        <v>370</v>
      </c>
      <c r="D375" s="132">
        <v>10515</v>
      </c>
      <c r="E375" s="133">
        <v>0.193</v>
      </c>
    </row>
    <row r="376" spans="3:6">
      <c r="C376" s="134">
        <v>371</v>
      </c>
      <c r="D376" s="132">
        <v>10515.5</v>
      </c>
      <c r="E376" s="133">
        <v>0.20200000000000001</v>
      </c>
      <c r="F376" s="133">
        <v>0.22700000000000001</v>
      </c>
    </row>
    <row r="377" spans="3:6">
      <c r="C377" s="134">
        <v>372</v>
      </c>
      <c r="D377" s="132">
        <v>10516</v>
      </c>
      <c r="E377" s="133">
        <v>0.20399999999999999</v>
      </c>
      <c r="F377" s="133">
        <v>0.19800000000000001</v>
      </c>
    </row>
    <row r="378" spans="3:6">
      <c r="C378" s="134">
        <v>373</v>
      </c>
      <c r="D378" s="132">
        <v>10516.5</v>
      </c>
      <c r="E378" s="133">
        <v>0.19800000000000001</v>
      </c>
    </row>
    <row r="379" spans="3:6">
      <c r="C379" s="134">
        <v>374</v>
      </c>
      <c r="D379" s="132">
        <v>10517</v>
      </c>
      <c r="E379" s="133">
        <v>0.19600000000000001</v>
      </c>
      <c r="F379" s="133">
        <v>0.186</v>
      </c>
    </row>
    <row r="380" spans="3:6">
      <c r="C380" s="134">
        <v>375</v>
      </c>
      <c r="D380" s="132">
        <v>10517.5</v>
      </c>
      <c r="E380" s="133">
        <v>0.184</v>
      </c>
      <c r="F380" s="133">
        <v>0.153</v>
      </c>
    </row>
    <row r="381" spans="3:6">
      <c r="C381" s="134">
        <v>376</v>
      </c>
      <c r="D381" s="132">
        <v>10518</v>
      </c>
      <c r="E381" s="133">
        <v>0.17599999999999999</v>
      </c>
    </row>
    <row r="382" spans="3:6">
      <c r="C382" s="134">
        <v>377</v>
      </c>
      <c r="D382" s="132">
        <v>10518.5</v>
      </c>
      <c r="E382" s="133">
        <v>0.17100000000000001</v>
      </c>
      <c r="F382" s="133">
        <v>0.15</v>
      </c>
    </row>
    <row r="383" spans="3:6">
      <c r="C383" s="134">
        <v>378</v>
      </c>
      <c r="D383" s="132">
        <v>10519</v>
      </c>
      <c r="E383" s="133">
        <v>0.16900000000000001</v>
      </c>
    </row>
    <row r="384" spans="3:6">
      <c r="C384" s="134">
        <v>379</v>
      </c>
      <c r="D384" s="132">
        <v>10519.5</v>
      </c>
      <c r="E384" s="133">
        <v>0.17499999999999999</v>
      </c>
      <c r="F384" s="133">
        <v>0.16</v>
      </c>
    </row>
    <row r="385" spans="3:6">
      <c r="C385" s="134">
        <v>380</v>
      </c>
      <c r="D385" s="132">
        <v>10520</v>
      </c>
      <c r="E385" s="133">
        <v>0.182</v>
      </c>
      <c r="F385" s="133">
        <v>0.20399999999999999</v>
      </c>
    </row>
    <row r="386" spans="3:6">
      <c r="C386" s="134">
        <v>381</v>
      </c>
      <c r="D386" s="132">
        <v>10520.5</v>
      </c>
      <c r="E386" s="133">
        <v>0.188</v>
      </c>
    </row>
    <row r="387" spans="3:6">
      <c r="C387" s="134">
        <v>382</v>
      </c>
      <c r="D387" s="132">
        <v>10521</v>
      </c>
      <c r="E387" s="133">
        <v>0.193</v>
      </c>
      <c r="F387" s="133">
        <v>0.22600000000000001</v>
      </c>
    </row>
    <row r="388" spans="3:6">
      <c r="C388" s="134">
        <v>383</v>
      </c>
      <c r="D388" s="132">
        <v>10521.5</v>
      </c>
      <c r="E388" s="133">
        <v>0.20300000000000001</v>
      </c>
    </row>
    <row r="389" spans="3:6">
      <c r="C389" s="134">
        <v>384</v>
      </c>
      <c r="D389" s="132">
        <v>10522</v>
      </c>
      <c r="E389" s="133">
        <v>0.21099999999999999</v>
      </c>
      <c r="F389" s="133">
        <v>0.26900000000000002</v>
      </c>
    </row>
    <row r="390" spans="3:6">
      <c r="C390" s="134">
        <v>385</v>
      </c>
      <c r="D390" s="132">
        <v>10522.5</v>
      </c>
      <c r="E390" s="133">
        <v>0.222</v>
      </c>
    </row>
    <row r="391" spans="3:6">
      <c r="C391" s="134">
        <v>386</v>
      </c>
      <c r="D391" s="132">
        <v>10523</v>
      </c>
      <c r="E391" s="133">
        <v>0.22800000000000001</v>
      </c>
      <c r="F391" s="133">
        <v>0.24099999999999999</v>
      </c>
    </row>
    <row r="392" spans="3:6">
      <c r="C392" s="134">
        <v>387</v>
      </c>
      <c r="D392" s="132">
        <v>10523.5</v>
      </c>
      <c r="E392" s="133">
        <v>0.23200000000000001</v>
      </c>
    </row>
    <row r="393" spans="3:6">
      <c r="C393" s="134">
        <v>388</v>
      </c>
      <c r="D393" s="132">
        <v>10524</v>
      </c>
      <c r="E393" s="133">
        <v>0.22800000000000001</v>
      </c>
      <c r="F393" s="133">
        <v>0.20799999999999999</v>
      </c>
    </row>
    <row r="394" spans="3:6">
      <c r="C394" s="134">
        <v>389</v>
      </c>
      <c r="D394" s="132">
        <v>10524.5</v>
      </c>
      <c r="E394" s="133">
        <v>0.22</v>
      </c>
    </row>
    <row r="395" spans="3:6">
      <c r="C395" s="134">
        <v>390</v>
      </c>
      <c r="D395" s="132">
        <v>10525</v>
      </c>
      <c r="E395" s="133">
        <v>0.21299999999999999</v>
      </c>
      <c r="F395" s="133">
        <v>0.18</v>
      </c>
    </row>
    <row r="396" spans="3:6">
      <c r="C396" s="134">
        <v>391</v>
      </c>
      <c r="D396" s="132">
        <v>10525.5</v>
      </c>
      <c r="E396" s="133">
        <v>0.21</v>
      </c>
    </row>
    <row r="397" spans="3:6">
      <c r="C397" s="134">
        <v>392</v>
      </c>
      <c r="D397" s="132">
        <v>10526</v>
      </c>
      <c r="E397" s="133">
        <v>0.21</v>
      </c>
      <c r="F397" s="133">
        <v>0.25600000000000001</v>
      </c>
    </row>
    <row r="398" spans="3:6">
      <c r="C398" s="134">
        <v>393</v>
      </c>
      <c r="D398" s="132">
        <v>10526.5</v>
      </c>
      <c r="E398" s="133">
        <v>0.214</v>
      </c>
      <c r="F398" s="133">
        <v>0.23100000000000001</v>
      </c>
    </row>
    <row r="399" spans="3:6">
      <c r="C399" s="134">
        <v>394</v>
      </c>
      <c r="D399" s="132">
        <v>10527</v>
      </c>
      <c r="E399" s="133">
        <v>0.222</v>
      </c>
    </row>
    <row r="400" spans="3:6">
      <c r="C400" s="134">
        <v>395</v>
      </c>
      <c r="D400" s="132">
        <v>10527.5</v>
      </c>
      <c r="E400" s="133">
        <v>0.23499999999999999</v>
      </c>
      <c r="F400" s="133">
        <v>0.26400000000000001</v>
      </c>
    </row>
    <row r="401" spans="3:6">
      <c r="C401" s="134">
        <v>396</v>
      </c>
      <c r="D401" s="132">
        <v>10528</v>
      </c>
      <c r="E401" s="133">
        <v>0.246</v>
      </c>
    </row>
    <row r="402" spans="3:6">
      <c r="C402" s="134">
        <v>397</v>
      </c>
      <c r="D402" s="132">
        <v>10528.5</v>
      </c>
      <c r="E402" s="133">
        <v>0.248</v>
      </c>
      <c r="F402" s="133">
        <v>0.245</v>
      </c>
    </row>
    <row r="403" spans="3:6">
      <c r="C403" s="134">
        <v>398</v>
      </c>
      <c r="D403" s="132">
        <v>10529</v>
      </c>
      <c r="E403" s="133">
        <v>0.25</v>
      </c>
    </row>
    <row r="404" spans="3:6">
      <c r="C404" s="134">
        <v>399</v>
      </c>
      <c r="D404" s="132">
        <v>10529.5</v>
      </c>
      <c r="E404" s="133">
        <v>0.25</v>
      </c>
    </row>
    <row r="405" spans="3:6">
      <c r="C405" s="134">
        <v>400</v>
      </c>
      <c r="D405" s="132">
        <v>10530</v>
      </c>
      <c r="E405" s="133">
        <v>0.252</v>
      </c>
      <c r="F405" s="133">
        <v>0.25</v>
      </c>
    </row>
    <row r="406" spans="3:6">
      <c r="C406" s="134">
        <v>401</v>
      </c>
      <c r="D406" s="132">
        <v>10530.5</v>
      </c>
      <c r="E406" s="133">
        <v>0.23899999999999999</v>
      </c>
      <c r="F406" s="133">
        <v>0.19800000000000001</v>
      </c>
    </row>
    <row r="407" spans="3:6">
      <c r="C407" s="134">
        <v>402</v>
      </c>
      <c r="D407" s="132">
        <v>10531</v>
      </c>
      <c r="E407" s="133">
        <v>0.223</v>
      </c>
    </row>
    <row r="408" spans="3:6">
      <c r="C408" s="134">
        <v>403</v>
      </c>
      <c r="D408" s="132">
        <v>10531.5</v>
      </c>
      <c r="E408" s="133">
        <v>0.20599999999999999</v>
      </c>
      <c r="F408" s="133">
        <v>0.189</v>
      </c>
    </row>
    <row r="409" spans="3:6">
      <c r="C409" s="134">
        <v>404</v>
      </c>
      <c r="D409" s="132">
        <v>10532</v>
      </c>
      <c r="E409" s="133">
        <v>0.191</v>
      </c>
    </row>
    <row r="410" spans="3:6">
      <c r="C410" s="134">
        <v>405</v>
      </c>
      <c r="D410" s="132">
        <v>10532.5</v>
      </c>
      <c r="E410" s="133">
        <v>0.17499999999999999</v>
      </c>
      <c r="F410" s="133">
        <v>0.16200000000000001</v>
      </c>
    </row>
    <row r="411" spans="3:6">
      <c r="C411" s="134">
        <v>406</v>
      </c>
      <c r="D411" s="132">
        <v>10533</v>
      </c>
      <c r="E411" s="133">
        <v>0.16900000000000001</v>
      </c>
    </row>
    <row r="412" spans="3:6">
      <c r="C412" s="134">
        <v>407</v>
      </c>
      <c r="D412" s="132">
        <v>10533.5</v>
      </c>
      <c r="E412" s="133">
        <v>0.16600000000000001</v>
      </c>
      <c r="F412" s="133">
        <v>0.187</v>
      </c>
    </row>
    <row r="413" spans="3:6">
      <c r="C413" s="134">
        <v>408</v>
      </c>
      <c r="D413" s="132">
        <v>10534</v>
      </c>
      <c r="E413" s="133">
        <v>0.16500000000000001</v>
      </c>
    </row>
    <row r="414" spans="3:6">
      <c r="C414" s="134">
        <v>409</v>
      </c>
      <c r="D414" s="132">
        <v>10534.5</v>
      </c>
      <c r="E414" s="133">
        <v>0.16800000000000001</v>
      </c>
      <c r="F414" s="133">
        <v>0.2</v>
      </c>
    </row>
    <row r="415" spans="3:6">
      <c r="C415" s="134">
        <v>410</v>
      </c>
      <c r="D415" s="132">
        <v>10535</v>
      </c>
      <c r="E415" s="133">
        <v>0.17100000000000001</v>
      </c>
    </row>
    <row r="416" spans="3:6">
      <c r="C416" s="134">
        <v>411</v>
      </c>
      <c r="D416" s="132">
        <v>10535.5</v>
      </c>
      <c r="E416" s="133">
        <v>0.16600000000000001</v>
      </c>
      <c r="F416" s="133">
        <v>0.121</v>
      </c>
    </row>
    <row r="417" spans="3:6">
      <c r="C417" s="134">
        <v>412</v>
      </c>
      <c r="D417" s="132">
        <v>10536</v>
      </c>
      <c r="E417" s="133">
        <v>0.159</v>
      </c>
    </row>
    <row r="418" spans="3:6">
      <c r="C418" s="134">
        <v>413</v>
      </c>
      <c r="D418" s="132">
        <v>10536.5</v>
      </c>
      <c r="E418" s="133">
        <v>0.14599999999999999</v>
      </c>
      <c r="F418" s="133">
        <v>0.13400000000000001</v>
      </c>
    </row>
    <row r="419" spans="3:6">
      <c r="C419" s="134">
        <v>414</v>
      </c>
      <c r="D419" s="132">
        <v>10537</v>
      </c>
      <c r="E419" s="133">
        <v>0.13500000000000001</v>
      </c>
    </row>
    <row r="420" spans="3:6">
      <c r="C420" s="134">
        <v>415</v>
      </c>
      <c r="D420" s="132">
        <v>10537.5</v>
      </c>
      <c r="E420" s="133">
        <v>0.14599999999999999</v>
      </c>
      <c r="F420" s="133">
        <v>0.157</v>
      </c>
    </row>
    <row r="421" spans="3:6">
      <c r="C421" s="134">
        <v>416</v>
      </c>
      <c r="D421" s="132">
        <v>10538</v>
      </c>
      <c r="E421" s="133">
        <v>0.14899999999999999</v>
      </c>
    </row>
    <row r="422" spans="3:6">
      <c r="C422" s="134">
        <v>417</v>
      </c>
      <c r="D422" s="132">
        <v>10538.5</v>
      </c>
      <c r="E422" s="133">
        <v>0.159</v>
      </c>
      <c r="F422" s="133">
        <v>0.17799999999999999</v>
      </c>
    </row>
    <row r="423" spans="3:6">
      <c r="C423" s="134">
        <v>418</v>
      </c>
      <c r="D423" s="132">
        <v>10539</v>
      </c>
      <c r="E423" s="133">
        <v>0.16500000000000001</v>
      </c>
    </row>
    <row r="424" spans="3:6">
      <c r="C424" s="134">
        <v>419</v>
      </c>
      <c r="D424" s="132">
        <v>10539.5</v>
      </c>
      <c r="E424" s="133">
        <v>0.16300000000000001</v>
      </c>
      <c r="F424" s="133">
        <v>0.14299999999999999</v>
      </c>
    </row>
    <row r="425" spans="3:6">
      <c r="C425" s="134">
        <v>420</v>
      </c>
      <c r="D425" s="132">
        <v>10540</v>
      </c>
      <c r="E425" s="133">
        <v>0.158</v>
      </c>
      <c r="F425" s="133">
        <v>0.24399999999999999</v>
      </c>
    </row>
    <row r="426" spans="3:6">
      <c r="C426" s="134">
        <v>421</v>
      </c>
      <c r="D426" s="132">
        <v>10540.5</v>
      </c>
      <c r="E426" s="133">
        <v>0.151</v>
      </c>
    </row>
    <row r="427" spans="3:6">
      <c r="C427" s="134">
        <v>422</v>
      </c>
      <c r="D427" s="132">
        <v>10541</v>
      </c>
      <c r="E427" s="133">
        <v>0.14599999999999999</v>
      </c>
      <c r="F427" s="133">
        <v>0.14899999999999999</v>
      </c>
    </row>
    <row r="428" spans="3:6">
      <c r="C428" s="134">
        <v>423</v>
      </c>
      <c r="D428" s="132">
        <v>10541.5</v>
      </c>
      <c r="E428" s="133">
        <v>0.15</v>
      </c>
    </row>
    <row r="429" spans="3:6">
      <c r="C429" s="134">
        <v>424</v>
      </c>
      <c r="D429" s="132">
        <v>10542</v>
      </c>
      <c r="E429" s="133">
        <v>0.155</v>
      </c>
      <c r="F429" s="133">
        <v>0.151</v>
      </c>
    </row>
    <row r="430" spans="3:6">
      <c r="C430" s="134">
        <v>425</v>
      </c>
      <c r="D430" s="132">
        <v>10542.5</v>
      </c>
      <c r="E430" s="133">
        <v>0.155</v>
      </c>
      <c r="F430" s="133">
        <v>0.127</v>
      </c>
    </row>
    <row r="431" spans="3:6">
      <c r="C431" s="134">
        <v>426</v>
      </c>
      <c r="D431" s="132">
        <v>10543</v>
      </c>
      <c r="E431" s="133">
        <v>0.155</v>
      </c>
    </row>
    <row r="432" spans="3:6">
      <c r="C432" s="134">
        <v>427</v>
      </c>
      <c r="D432" s="132">
        <v>10543.5</v>
      </c>
      <c r="E432" s="133">
        <v>0.155</v>
      </c>
      <c r="F432" s="133">
        <v>0.15</v>
      </c>
    </row>
    <row r="433" spans="3:6">
      <c r="C433" s="134">
        <v>428</v>
      </c>
      <c r="D433" s="132">
        <v>10544</v>
      </c>
      <c r="E433" s="133">
        <v>0.153</v>
      </c>
    </row>
    <row r="434" spans="3:6">
      <c r="C434" s="134">
        <v>429</v>
      </c>
      <c r="D434" s="132">
        <v>10544.5</v>
      </c>
      <c r="E434" s="133">
        <v>0.14799999999999999</v>
      </c>
      <c r="F434" s="133">
        <v>0.17599999999999999</v>
      </c>
    </row>
    <row r="435" spans="3:6">
      <c r="C435" s="134">
        <v>430</v>
      </c>
      <c r="D435" s="132">
        <v>10545</v>
      </c>
      <c r="E435" s="133">
        <v>0.14199999999999999</v>
      </c>
    </row>
    <row r="436" spans="3:6">
      <c r="C436" s="134">
        <v>431</v>
      </c>
      <c r="D436" s="132">
        <v>10545.5</v>
      </c>
      <c r="E436" s="133">
        <v>0.13700000000000001</v>
      </c>
      <c r="F436" s="133">
        <v>0.15</v>
      </c>
    </row>
    <row r="437" spans="3:6">
      <c r="C437" s="134">
        <v>432</v>
      </c>
      <c r="D437" s="132">
        <v>10546</v>
      </c>
      <c r="E437" s="133">
        <v>0.14399999999999999</v>
      </c>
      <c r="F437" s="133">
        <v>0.13600000000000001</v>
      </c>
    </row>
    <row r="438" spans="3:6">
      <c r="C438" s="134">
        <v>433</v>
      </c>
      <c r="D438" s="132">
        <v>10546.5</v>
      </c>
      <c r="E438" s="133">
        <v>0.153</v>
      </c>
    </row>
    <row r="439" spans="3:6">
      <c r="C439" s="134">
        <v>434</v>
      </c>
      <c r="D439" s="132">
        <v>10547</v>
      </c>
      <c r="E439" s="133">
        <v>0.161</v>
      </c>
      <c r="F439" s="133">
        <v>8.2000000000000003E-2</v>
      </c>
    </row>
    <row r="440" spans="3:6">
      <c r="C440" s="134">
        <v>435</v>
      </c>
      <c r="D440" s="132">
        <v>10547.5</v>
      </c>
      <c r="E440" s="133">
        <v>0.16600000000000001</v>
      </c>
    </row>
    <row r="441" spans="3:6">
      <c r="C441" s="134">
        <v>436</v>
      </c>
      <c r="D441" s="132">
        <v>10548</v>
      </c>
      <c r="E441" s="133">
        <v>0.17100000000000001</v>
      </c>
    </row>
    <row r="442" spans="3:6">
      <c r="C442" s="134">
        <v>437</v>
      </c>
      <c r="D442" s="132">
        <v>10548.5</v>
      </c>
      <c r="E442" s="133">
        <v>0.17199999999999999</v>
      </c>
      <c r="F442" s="133">
        <v>0.115</v>
      </c>
    </row>
    <row r="443" spans="3:6">
      <c r="C443" s="134">
        <v>438</v>
      </c>
      <c r="D443" s="132">
        <v>10549</v>
      </c>
      <c r="E443" s="133">
        <v>0.17199999999999999</v>
      </c>
    </row>
    <row r="444" spans="3:6">
      <c r="C444" s="134">
        <v>439</v>
      </c>
      <c r="D444" s="132">
        <v>10549.5</v>
      </c>
      <c r="E444" s="133">
        <v>0.17599999999999999</v>
      </c>
      <c r="F444" s="133">
        <v>0.20499999999999999</v>
      </c>
    </row>
    <row r="445" spans="3:6">
      <c r="C445" s="134">
        <v>440</v>
      </c>
      <c r="D445" s="132">
        <v>10550</v>
      </c>
      <c r="E445" s="133">
        <v>0.182</v>
      </c>
    </row>
    <row r="446" spans="3:6">
      <c r="C446" s="134">
        <v>441</v>
      </c>
      <c r="D446" s="132">
        <v>10550.5</v>
      </c>
      <c r="E446" s="133">
        <v>0.182</v>
      </c>
      <c r="F446" s="133">
        <v>0.21199999999999999</v>
      </c>
    </row>
    <row r="447" spans="3:6">
      <c r="C447" s="134">
        <v>442</v>
      </c>
      <c r="D447" s="132">
        <v>10551</v>
      </c>
      <c r="E447" s="133">
        <v>0.187</v>
      </c>
    </row>
    <row r="448" spans="3:6">
      <c r="C448" s="134">
        <v>443</v>
      </c>
      <c r="D448" s="132">
        <v>10551.5</v>
      </c>
      <c r="E448" s="133">
        <v>0.19</v>
      </c>
      <c r="F448" s="133">
        <v>0.154</v>
      </c>
    </row>
    <row r="449" spans="3:6">
      <c r="C449" s="134">
        <v>444</v>
      </c>
      <c r="D449" s="132">
        <v>10552</v>
      </c>
      <c r="E449" s="133">
        <v>0.184</v>
      </c>
    </row>
    <row r="450" spans="3:6">
      <c r="C450" s="134">
        <v>445</v>
      </c>
      <c r="D450" s="132">
        <v>10552.5</v>
      </c>
      <c r="E450" s="133">
        <v>0.17599999999999999</v>
      </c>
      <c r="F450" s="133">
        <v>0.17199999999999999</v>
      </c>
    </row>
    <row r="451" spans="3:6">
      <c r="C451" s="134">
        <v>446</v>
      </c>
      <c r="D451" s="132">
        <v>10553</v>
      </c>
      <c r="E451" s="133">
        <v>0.16500000000000001</v>
      </c>
    </row>
    <row r="452" spans="3:6">
      <c r="C452" s="134">
        <v>447</v>
      </c>
      <c r="D452" s="132">
        <v>10553.5</v>
      </c>
      <c r="E452" s="133">
        <v>0.16500000000000001</v>
      </c>
      <c r="F452" s="133">
        <v>0.14099999999999999</v>
      </c>
    </row>
    <row r="453" spans="3:6">
      <c r="C453" s="134">
        <v>448</v>
      </c>
      <c r="D453" s="132">
        <v>10554</v>
      </c>
      <c r="E453" s="133">
        <v>0.16500000000000001</v>
      </c>
      <c r="F453" s="133">
        <v>0.189</v>
      </c>
    </row>
    <row r="454" spans="3:6">
      <c r="C454" s="134">
        <v>449</v>
      </c>
      <c r="D454" s="132">
        <v>10554.5</v>
      </c>
      <c r="E454" s="133">
        <v>0.17599999999999999</v>
      </c>
    </row>
    <row r="455" spans="3:6">
      <c r="C455" s="134">
        <v>450</v>
      </c>
      <c r="D455" s="132">
        <v>10555</v>
      </c>
      <c r="E455" s="133">
        <v>0.184</v>
      </c>
      <c r="F455" s="133">
        <v>0.21099999999999999</v>
      </c>
    </row>
    <row r="456" spans="3:6">
      <c r="C456" s="134">
        <v>451</v>
      </c>
      <c r="D456" s="132">
        <v>10555.5</v>
      </c>
      <c r="E456" s="133">
        <v>0.186</v>
      </c>
    </row>
    <row r="457" spans="3:6">
      <c r="C457" s="134">
        <v>452</v>
      </c>
      <c r="D457" s="132">
        <v>10556</v>
      </c>
      <c r="E457" s="133">
        <v>0.185</v>
      </c>
      <c r="F457" s="133">
        <v>0.129</v>
      </c>
    </row>
    <row r="458" spans="3:6">
      <c r="C458" s="134">
        <v>453</v>
      </c>
      <c r="D458" s="132">
        <v>10556.5</v>
      </c>
      <c r="E458" s="133">
        <v>0.187</v>
      </c>
    </row>
    <row r="459" spans="3:6">
      <c r="C459" s="134">
        <v>454</v>
      </c>
      <c r="D459" s="132">
        <v>10557</v>
      </c>
      <c r="E459" s="133">
        <v>0.189</v>
      </c>
      <c r="F459" s="133">
        <v>0.16400000000000001</v>
      </c>
    </row>
    <row r="460" spans="3:6">
      <c r="C460" s="134">
        <v>455</v>
      </c>
      <c r="D460" s="132">
        <v>10557.5</v>
      </c>
      <c r="E460" s="133">
        <v>0.185</v>
      </c>
    </row>
    <row r="461" spans="3:6">
      <c r="C461" s="134">
        <v>456</v>
      </c>
      <c r="D461" s="132">
        <v>10558</v>
      </c>
      <c r="E461" s="133">
        <v>0.18099999999999999</v>
      </c>
      <c r="F461" s="133">
        <v>0.17899999999999999</v>
      </c>
    </row>
    <row r="462" spans="3:6">
      <c r="C462" s="134">
        <v>457</v>
      </c>
      <c r="D462" s="132">
        <v>10558.5</v>
      </c>
      <c r="E462" s="133">
        <v>0.17699999999999999</v>
      </c>
    </row>
    <row r="463" spans="3:6">
      <c r="C463" s="134">
        <v>458</v>
      </c>
      <c r="D463" s="132">
        <v>10559</v>
      </c>
      <c r="E463" s="133">
        <v>0.17100000000000001</v>
      </c>
      <c r="F463" s="133">
        <v>0.161</v>
      </c>
    </row>
    <row r="464" spans="3:6">
      <c r="C464" s="134">
        <v>459</v>
      </c>
      <c r="D464" s="132">
        <v>10559.5</v>
      </c>
      <c r="E464" s="133">
        <v>0.17100000000000001</v>
      </c>
      <c r="F464" s="133">
        <v>0.18</v>
      </c>
    </row>
    <row r="465" spans="3:6">
      <c r="C465" s="134">
        <v>460</v>
      </c>
      <c r="D465" s="132">
        <v>10560</v>
      </c>
      <c r="E465" s="133">
        <v>0.17499999999999999</v>
      </c>
    </row>
    <row r="466" spans="3:6">
      <c r="C466" s="134">
        <v>461</v>
      </c>
      <c r="D466" s="132">
        <v>10560.5</v>
      </c>
      <c r="E466" s="133">
        <v>0.17699999999999999</v>
      </c>
      <c r="F466" s="133">
        <v>0.19400000000000001</v>
      </c>
    </row>
    <row r="467" spans="3:6">
      <c r="C467" s="134">
        <v>462</v>
      </c>
      <c r="D467" s="132">
        <v>10561</v>
      </c>
      <c r="E467" s="133">
        <v>0.17599999999999999</v>
      </c>
    </row>
    <row r="468" spans="3:6">
      <c r="C468" s="134">
        <v>463</v>
      </c>
      <c r="D468" s="132">
        <v>10561.5</v>
      </c>
      <c r="E468" s="133">
        <v>0.17399999999999999</v>
      </c>
      <c r="F468" s="133">
        <v>0.15</v>
      </c>
    </row>
    <row r="469" spans="3:6">
      <c r="C469" s="134">
        <v>464</v>
      </c>
      <c r="D469" s="132">
        <v>10562</v>
      </c>
      <c r="E469" s="133">
        <v>0.17100000000000001</v>
      </c>
    </row>
    <row r="470" spans="3:6">
      <c r="C470" s="134">
        <v>465</v>
      </c>
      <c r="D470" s="132">
        <v>10562.5</v>
      </c>
      <c r="E470" s="133">
        <v>0.16800000000000001</v>
      </c>
    </row>
    <row r="471" spans="3:6">
      <c r="C471" s="134">
        <v>466</v>
      </c>
      <c r="D471" s="132">
        <v>10563</v>
      </c>
      <c r="E471" s="133">
        <v>0.16500000000000001</v>
      </c>
      <c r="F471" s="133">
        <v>0.17599999999999999</v>
      </c>
    </row>
    <row r="472" spans="3:6">
      <c r="C472" s="134">
        <v>467</v>
      </c>
      <c r="D472" s="132">
        <v>10563.5</v>
      </c>
      <c r="E472" s="133">
        <v>0.16</v>
      </c>
    </row>
    <row r="473" spans="3:6">
      <c r="C473" s="134">
        <v>468</v>
      </c>
      <c r="D473" s="132">
        <v>10564</v>
      </c>
      <c r="E473" s="133">
        <v>0.16400000000000001</v>
      </c>
      <c r="F473" s="133">
        <v>0.17899999999999999</v>
      </c>
    </row>
    <row r="474" spans="3:6">
      <c r="C474" s="134">
        <v>469</v>
      </c>
      <c r="D474" s="132">
        <v>10564.5</v>
      </c>
      <c r="E474" s="133">
        <v>0.16900000000000001</v>
      </c>
      <c r="F474" s="133">
        <v>0.17499999999999999</v>
      </c>
    </row>
    <row r="475" spans="3:6">
      <c r="C475" s="134">
        <v>470</v>
      </c>
      <c r="D475" s="132">
        <v>10565</v>
      </c>
      <c r="E475" s="133">
        <v>0.17899999999999999</v>
      </c>
    </row>
    <row r="476" spans="3:6">
      <c r="C476" s="134">
        <v>471</v>
      </c>
      <c r="D476" s="132">
        <v>10565.5</v>
      </c>
      <c r="E476" s="133">
        <v>0.183</v>
      </c>
      <c r="F476" s="133">
        <v>0.16300000000000001</v>
      </c>
    </row>
    <row r="477" spans="3:6">
      <c r="C477" s="134">
        <v>472</v>
      </c>
      <c r="D477" s="132">
        <v>10566</v>
      </c>
      <c r="E477" s="133">
        <v>0.184</v>
      </c>
    </row>
    <row r="478" spans="3:6">
      <c r="C478" s="134">
        <v>473</v>
      </c>
      <c r="D478" s="132">
        <v>10566.5</v>
      </c>
      <c r="E478" s="133">
        <v>0.186</v>
      </c>
    </row>
    <row r="479" spans="3:6">
      <c r="C479" s="134">
        <v>474</v>
      </c>
      <c r="D479" s="132">
        <v>10567</v>
      </c>
      <c r="E479" s="133">
        <v>0.186</v>
      </c>
    </row>
    <row r="480" spans="3:6">
      <c r="C480" s="134">
        <v>475</v>
      </c>
      <c r="D480" s="132">
        <v>10567.5</v>
      </c>
      <c r="E480" s="133">
        <v>0.185</v>
      </c>
      <c r="F480" s="133">
        <v>0.24199999999999999</v>
      </c>
    </row>
    <row r="481" spans="3:6">
      <c r="C481" s="134">
        <v>476</v>
      </c>
      <c r="D481" s="132">
        <v>10568</v>
      </c>
      <c r="E481" s="133">
        <v>0.186</v>
      </c>
    </row>
    <row r="482" spans="3:6">
      <c r="C482" s="134">
        <v>477</v>
      </c>
      <c r="D482" s="132">
        <v>10568.5</v>
      </c>
      <c r="E482" s="133">
        <v>0.19600000000000001</v>
      </c>
      <c r="F482" s="133">
        <v>0.216</v>
      </c>
    </row>
    <row r="483" spans="3:6">
      <c r="C483" s="134">
        <v>478</v>
      </c>
      <c r="D483" s="132">
        <v>10569</v>
      </c>
      <c r="E483" s="133">
        <v>0.20899999999999999</v>
      </c>
    </row>
    <row r="484" spans="3:6">
      <c r="C484" s="134">
        <v>479</v>
      </c>
      <c r="D484" s="132">
        <v>10569.5</v>
      </c>
      <c r="E484" s="133">
        <v>0.20799999999999999</v>
      </c>
      <c r="F484" s="133">
        <v>0.17399999999999999</v>
      </c>
    </row>
    <row r="485" spans="3:6">
      <c r="C485" s="134">
        <v>480</v>
      </c>
      <c r="D485" s="132">
        <v>10570</v>
      </c>
      <c r="E485" s="133">
        <v>0.20699999999999999</v>
      </c>
    </row>
    <row r="486" spans="3:6">
      <c r="C486" s="134">
        <v>481</v>
      </c>
      <c r="D486" s="132">
        <v>10570.5</v>
      </c>
      <c r="E486" s="133">
        <v>0.20599999999999999</v>
      </c>
    </row>
    <row r="487" spans="3:6">
      <c r="C487" s="134">
        <v>482</v>
      </c>
      <c r="D487" s="132">
        <v>10571</v>
      </c>
      <c r="E487" s="133">
        <v>0.20599999999999999</v>
      </c>
      <c r="F487" s="133">
        <v>0.24299999999999999</v>
      </c>
    </row>
    <row r="488" spans="3:6">
      <c r="C488" s="134">
        <v>483</v>
      </c>
      <c r="D488" s="132">
        <v>10571.5</v>
      </c>
      <c r="E488" s="133">
        <v>0.20599999999999999</v>
      </c>
    </row>
    <row r="489" spans="3:6">
      <c r="C489" s="134">
        <v>484</v>
      </c>
      <c r="D489" s="132">
        <v>10572</v>
      </c>
      <c r="E489" s="133">
        <v>0.21</v>
      </c>
    </row>
    <row r="490" spans="3:6">
      <c r="C490" s="134">
        <v>485</v>
      </c>
      <c r="D490" s="132">
        <v>10572.5</v>
      </c>
      <c r="E490" s="133">
        <v>0.216</v>
      </c>
    </row>
    <row r="491" spans="3:6">
      <c r="C491" s="134">
        <v>486</v>
      </c>
      <c r="D491" s="132">
        <v>10573</v>
      </c>
      <c r="E491" s="133">
        <v>0.218</v>
      </c>
    </row>
    <row r="492" spans="3:6">
      <c r="C492" s="134">
        <v>487</v>
      </c>
      <c r="D492" s="132">
        <v>10573.5</v>
      </c>
      <c r="E492" s="133">
        <v>0.219</v>
      </c>
      <c r="F492" s="133">
        <v>0.19800000000000001</v>
      </c>
    </row>
    <row r="493" spans="3:6">
      <c r="C493" s="134">
        <v>488</v>
      </c>
      <c r="D493" s="132">
        <v>10574</v>
      </c>
      <c r="E493" s="133">
        <v>0.218</v>
      </c>
    </row>
    <row r="494" spans="3:6">
      <c r="C494" s="134">
        <v>489</v>
      </c>
      <c r="D494" s="132">
        <v>10574.5</v>
      </c>
      <c r="E494" s="133">
        <v>0.21099999999999999</v>
      </c>
      <c r="F494" s="133">
        <v>0.19600000000000001</v>
      </c>
    </row>
    <row r="495" spans="3:6">
      <c r="C495" s="134">
        <v>490</v>
      </c>
      <c r="D495" s="132">
        <v>10575</v>
      </c>
      <c r="E495" s="133">
        <v>0.20799999999999999</v>
      </c>
      <c r="F495" s="133">
        <v>0.20599999999999999</v>
      </c>
    </row>
    <row r="496" spans="3:6">
      <c r="C496" s="134">
        <v>491</v>
      </c>
      <c r="D496" s="132">
        <v>10575.5</v>
      </c>
      <c r="E496" s="133">
        <v>0.20499999999999999</v>
      </c>
    </row>
    <row r="497" spans="3:6">
      <c r="C497" s="134">
        <v>492</v>
      </c>
      <c r="D497" s="132">
        <v>10576</v>
      </c>
      <c r="E497" s="133">
        <v>0.20200000000000001</v>
      </c>
      <c r="F497" s="133">
        <v>0.14199999999999999</v>
      </c>
    </row>
    <row r="498" spans="3:6">
      <c r="C498" s="134">
        <v>493</v>
      </c>
      <c r="D498" s="132">
        <v>10576.5</v>
      </c>
      <c r="E498" s="133">
        <v>0.19800000000000001</v>
      </c>
    </row>
    <row r="499" spans="3:6">
      <c r="C499" s="134">
        <v>494</v>
      </c>
      <c r="D499" s="132">
        <v>10577</v>
      </c>
      <c r="E499" s="133">
        <v>0.19500000000000001</v>
      </c>
      <c r="F499" s="133">
        <v>0.18099999999999999</v>
      </c>
    </row>
    <row r="500" spans="3:6">
      <c r="C500" s="134">
        <v>495</v>
      </c>
      <c r="D500" s="132">
        <v>10577.5</v>
      </c>
      <c r="E500" s="133">
        <v>0.193</v>
      </c>
      <c r="F500" s="133">
        <v>0.22900000000000001</v>
      </c>
    </row>
    <row r="501" spans="3:6">
      <c r="C501" s="134">
        <v>496</v>
      </c>
      <c r="D501" s="132">
        <v>10578</v>
      </c>
      <c r="E501" s="133">
        <v>0.192</v>
      </c>
    </row>
    <row r="502" spans="3:6">
      <c r="C502" s="134">
        <v>497</v>
      </c>
      <c r="D502" s="132">
        <v>10578.5</v>
      </c>
      <c r="E502" s="133">
        <v>0.188</v>
      </c>
    </row>
    <row r="503" spans="3:6">
      <c r="C503" s="134">
        <v>498</v>
      </c>
      <c r="D503" s="132">
        <v>10579</v>
      </c>
      <c r="E503" s="133">
        <v>0.188</v>
      </c>
      <c r="F503" s="133">
        <v>0.17599999999999999</v>
      </c>
    </row>
    <row r="504" spans="3:6">
      <c r="C504" s="134">
        <v>499</v>
      </c>
      <c r="D504" s="132">
        <v>10579.5</v>
      </c>
      <c r="E504" s="133">
        <v>0.191</v>
      </c>
      <c r="F504" s="133">
        <v>0.22500000000000001</v>
      </c>
    </row>
    <row r="505" spans="3:6">
      <c r="C505" s="134">
        <v>500</v>
      </c>
      <c r="D505" s="132">
        <v>10580</v>
      </c>
      <c r="E505" s="133">
        <v>0.19700000000000001</v>
      </c>
      <c r="F505" s="133">
        <v>0.16200000000000001</v>
      </c>
    </row>
    <row r="506" spans="3:6">
      <c r="C506" s="134">
        <v>501</v>
      </c>
      <c r="D506" s="132">
        <v>10580.5</v>
      </c>
      <c r="E506" s="133">
        <v>0.20399999999999999</v>
      </c>
      <c r="F506" s="133">
        <v>0.20399999999999999</v>
      </c>
    </row>
    <row r="507" spans="3:6">
      <c r="C507" s="134">
        <v>502</v>
      </c>
      <c r="D507" s="132">
        <v>10581</v>
      </c>
      <c r="E507" s="133">
        <v>0.21099999999999999</v>
      </c>
    </row>
    <row r="508" spans="3:6">
      <c r="C508" s="134">
        <v>503</v>
      </c>
      <c r="D508" s="132">
        <v>10581.5</v>
      </c>
      <c r="E508" s="133">
        <v>0.21</v>
      </c>
      <c r="F508" s="133">
        <v>0.19600000000000001</v>
      </c>
    </row>
    <row r="509" spans="3:6">
      <c r="C509" s="134">
        <v>504</v>
      </c>
      <c r="D509" s="132">
        <v>10582</v>
      </c>
      <c r="E509" s="133">
        <v>0.20200000000000001</v>
      </c>
    </row>
    <row r="510" spans="3:6">
      <c r="C510" s="134">
        <v>505</v>
      </c>
      <c r="D510" s="132">
        <v>10582.5</v>
      </c>
      <c r="E510" s="133">
        <v>0.19900000000000001</v>
      </c>
      <c r="F510" s="133">
        <v>0.24199999999999999</v>
      </c>
    </row>
    <row r="511" spans="3:6">
      <c r="C511" s="134">
        <v>506</v>
      </c>
      <c r="D511" s="132">
        <v>10583</v>
      </c>
      <c r="E511" s="133">
        <v>0.19800000000000001</v>
      </c>
    </row>
    <row r="512" spans="3:6">
      <c r="C512" s="134">
        <v>507</v>
      </c>
      <c r="D512" s="132">
        <v>10583.5</v>
      </c>
      <c r="E512" s="133">
        <v>0.19900000000000001</v>
      </c>
      <c r="F512" s="133">
        <v>0.26300000000000001</v>
      </c>
    </row>
    <row r="513" spans="3:6">
      <c r="C513" s="134">
        <v>508</v>
      </c>
      <c r="D513" s="132">
        <v>10584</v>
      </c>
      <c r="E513" s="133">
        <v>0.20200000000000001</v>
      </c>
      <c r="F513" s="133">
        <v>0.22</v>
      </c>
    </row>
    <row r="514" spans="3:6">
      <c r="C514" s="134">
        <v>509</v>
      </c>
      <c r="D514" s="132">
        <v>10584.5</v>
      </c>
      <c r="E514" s="133">
        <v>0.20599999999999999</v>
      </c>
    </row>
    <row r="515" spans="3:6">
      <c r="C515" s="134">
        <v>510</v>
      </c>
      <c r="D515" s="132">
        <v>10585</v>
      </c>
      <c r="E515" s="133">
        <v>0.20599999999999999</v>
      </c>
      <c r="F515" s="133">
        <v>0.23699999999999999</v>
      </c>
    </row>
    <row r="516" spans="3:6">
      <c r="C516" s="134">
        <v>511</v>
      </c>
      <c r="D516" s="132">
        <v>10585.5</v>
      </c>
      <c r="E516" s="133">
        <v>0.21299999999999999</v>
      </c>
    </row>
    <row r="517" spans="3:6">
      <c r="C517" s="134">
        <v>512</v>
      </c>
      <c r="D517" s="132">
        <v>10586</v>
      </c>
      <c r="E517" s="133">
        <v>0.221</v>
      </c>
      <c r="F517" s="133">
        <v>0.23100000000000001</v>
      </c>
    </row>
    <row r="518" spans="3:6">
      <c r="C518" s="134">
        <v>513</v>
      </c>
      <c r="D518" s="132">
        <v>10586.5</v>
      </c>
      <c r="E518" s="133">
        <v>0.22900000000000001</v>
      </c>
      <c r="F518" s="133">
        <v>0.20499999999999999</v>
      </c>
    </row>
    <row r="519" spans="3:6">
      <c r="C519" s="134">
        <v>514</v>
      </c>
      <c r="D519" s="132">
        <v>10587</v>
      </c>
      <c r="E519" s="133">
        <v>0.23599999999999999</v>
      </c>
      <c r="F519" s="133">
        <v>0.26500000000000001</v>
      </c>
    </row>
    <row r="520" spans="3:6">
      <c r="C520" s="134">
        <v>515</v>
      </c>
      <c r="D520" s="132">
        <v>10587.5</v>
      </c>
      <c r="E520" s="133">
        <v>0.24</v>
      </c>
    </row>
    <row r="521" spans="3:6">
      <c r="C521" s="134">
        <v>516</v>
      </c>
      <c r="D521" s="132">
        <v>10588</v>
      </c>
      <c r="E521" s="133">
        <v>0.24299999999999999</v>
      </c>
      <c r="F521" s="133">
        <v>0.26</v>
      </c>
    </row>
    <row r="522" spans="3:6">
      <c r="C522" s="134">
        <v>517</v>
      </c>
      <c r="D522" s="132">
        <v>10588.5</v>
      </c>
      <c r="E522" s="133">
        <v>0.249</v>
      </c>
    </row>
    <row r="523" spans="3:6">
      <c r="C523" s="134">
        <v>518</v>
      </c>
      <c r="D523" s="132">
        <v>10589</v>
      </c>
      <c r="E523" s="133">
        <v>0.252</v>
      </c>
      <c r="F523" s="133">
        <v>0.24299999999999999</v>
      </c>
    </row>
    <row r="524" spans="3:6">
      <c r="C524" s="134">
        <v>519</v>
      </c>
      <c r="D524" s="132">
        <v>10589.5</v>
      </c>
      <c r="E524" s="133">
        <v>0.253</v>
      </c>
    </row>
    <row r="525" spans="3:6">
      <c r="C525" s="134">
        <v>520</v>
      </c>
      <c r="D525" s="132">
        <v>10590</v>
      </c>
      <c r="E525" s="133">
        <v>0.249</v>
      </c>
    </row>
    <row r="526" spans="3:6">
      <c r="C526" s="134">
        <v>521</v>
      </c>
      <c r="D526" s="132">
        <v>10590.5</v>
      </c>
      <c r="E526" s="133">
        <v>0.245</v>
      </c>
      <c r="F526" s="133">
        <v>0.23699999999999999</v>
      </c>
    </row>
    <row r="527" spans="3:6">
      <c r="C527" s="134">
        <v>522</v>
      </c>
      <c r="D527" s="132">
        <v>10591</v>
      </c>
      <c r="E527" s="133">
        <v>0.24099999999999999</v>
      </c>
      <c r="F527" s="133">
        <v>0.26600000000000001</v>
      </c>
    </row>
    <row r="528" spans="3:6">
      <c r="C528" s="134">
        <v>523</v>
      </c>
      <c r="D528" s="132">
        <v>10591.5</v>
      </c>
      <c r="E528" s="133">
        <v>0.24399999999999999</v>
      </c>
    </row>
    <row r="529" spans="3:6">
      <c r="C529" s="134">
        <v>524</v>
      </c>
      <c r="D529" s="132">
        <v>10592</v>
      </c>
      <c r="E529" s="133">
        <v>0.249</v>
      </c>
      <c r="F529" s="133">
        <v>0.26400000000000001</v>
      </c>
    </row>
    <row r="530" spans="3:6">
      <c r="C530" s="134">
        <v>525</v>
      </c>
      <c r="D530" s="132">
        <v>10592.5</v>
      </c>
      <c r="E530" s="133">
        <v>0.25</v>
      </c>
    </row>
    <row r="531" spans="3:6">
      <c r="C531" s="134">
        <v>526</v>
      </c>
      <c r="D531" s="132">
        <v>10593</v>
      </c>
      <c r="E531" s="133">
        <v>0.249</v>
      </c>
      <c r="F531" s="133">
        <v>0.26300000000000001</v>
      </c>
    </row>
    <row r="532" spans="3:6">
      <c r="C532" s="134">
        <v>527</v>
      </c>
      <c r="D532" s="132">
        <v>10593.5</v>
      </c>
      <c r="E532" s="133">
        <v>0.25</v>
      </c>
      <c r="F532" s="133">
        <v>0.254</v>
      </c>
    </row>
    <row r="533" spans="3:6">
      <c r="C533" s="134">
        <v>528</v>
      </c>
      <c r="D533" s="132">
        <v>10594</v>
      </c>
      <c r="E533" s="133">
        <v>0.25600000000000001</v>
      </c>
      <c r="F533" s="133">
        <v>0.28399999999999997</v>
      </c>
    </row>
    <row r="534" spans="3:6">
      <c r="C534" s="134">
        <v>529</v>
      </c>
      <c r="D534" s="132">
        <v>10594.5</v>
      </c>
      <c r="E534" s="133">
        <v>0.254</v>
      </c>
    </row>
    <row r="535" spans="3:6">
      <c r="C535" s="134">
        <v>530</v>
      </c>
      <c r="D535" s="132">
        <v>10595</v>
      </c>
      <c r="E535" s="133">
        <v>0.252</v>
      </c>
      <c r="F535" s="133">
        <v>0.26500000000000001</v>
      </c>
    </row>
    <row r="536" spans="3:6">
      <c r="C536" s="134">
        <v>531</v>
      </c>
      <c r="D536" s="132">
        <v>10595.5</v>
      </c>
      <c r="E536" s="133">
        <v>0.248</v>
      </c>
    </row>
    <row r="537" spans="3:6">
      <c r="C537" s="134">
        <v>532</v>
      </c>
      <c r="D537" s="132">
        <v>10596</v>
      </c>
      <c r="E537" s="133">
        <v>0.246</v>
      </c>
      <c r="F537" s="133">
        <v>0.23400000000000001</v>
      </c>
    </row>
    <row r="538" spans="3:6">
      <c r="C538" s="134">
        <v>533</v>
      </c>
      <c r="D538" s="132">
        <v>10596.5</v>
      </c>
      <c r="E538" s="133">
        <v>0.24399999999999999</v>
      </c>
    </row>
    <row r="539" spans="3:6">
      <c r="C539" s="134">
        <v>534</v>
      </c>
      <c r="D539" s="132">
        <v>10597</v>
      </c>
      <c r="E539" s="133">
        <v>0.249</v>
      </c>
      <c r="F539" s="133">
        <v>0.26700000000000002</v>
      </c>
    </row>
    <row r="540" spans="3:6">
      <c r="C540" s="134">
        <v>535</v>
      </c>
      <c r="D540" s="132">
        <v>10597.5</v>
      </c>
      <c r="E540" s="133">
        <v>0.251</v>
      </c>
    </row>
    <row r="541" spans="3:6">
      <c r="C541" s="134">
        <v>536</v>
      </c>
      <c r="D541" s="132">
        <v>10598</v>
      </c>
      <c r="E541" s="133">
        <v>0.25</v>
      </c>
      <c r="F541" s="133">
        <v>0.26900000000000002</v>
      </c>
    </row>
    <row r="542" spans="3:6">
      <c r="C542" s="134">
        <v>537</v>
      </c>
      <c r="D542" s="132">
        <v>10598.5</v>
      </c>
      <c r="E542" s="133">
        <v>0.25</v>
      </c>
    </row>
    <row r="543" spans="3:6">
      <c r="C543" s="134">
        <v>538</v>
      </c>
      <c r="D543" s="132">
        <v>10599</v>
      </c>
      <c r="E543" s="133">
        <v>0.247</v>
      </c>
      <c r="F543" s="133">
        <v>0.27100000000000002</v>
      </c>
    </row>
    <row r="544" spans="3:6">
      <c r="C544" s="134">
        <v>539</v>
      </c>
      <c r="D544" s="132">
        <v>10599.5</v>
      </c>
      <c r="E544" s="133">
        <v>0.24399999999999999</v>
      </c>
    </row>
    <row r="545" spans="3:6">
      <c r="C545" s="134">
        <v>540</v>
      </c>
      <c r="D545" s="132">
        <v>10600</v>
      </c>
      <c r="E545" s="133">
        <v>0.246</v>
      </c>
      <c r="F545" s="133">
        <v>0.27100000000000002</v>
      </c>
    </row>
    <row r="546" spans="3:6">
      <c r="C546" s="134">
        <v>541</v>
      </c>
      <c r="D546" s="132">
        <v>10600.5</v>
      </c>
      <c r="E546" s="133">
        <v>0.252</v>
      </c>
    </row>
    <row r="547" spans="3:6">
      <c r="C547" s="134">
        <v>542</v>
      </c>
      <c r="D547" s="132">
        <v>10601</v>
      </c>
      <c r="E547" s="133">
        <v>0.25700000000000001</v>
      </c>
      <c r="F547" s="133">
        <v>0.26800000000000002</v>
      </c>
    </row>
    <row r="548" spans="3:6">
      <c r="C548" s="134">
        <v>543</v>
      </c>
      <c r="D548" s="132">
        <v>10601.5</v>
      </c>
      <c r="E548" s="133">
        <v>0.25700000000000001</v>
      </c>
    </row>
    <row r="549" spans="3:6">
      <c r="C549" s="134">
        <v>544</v>
      </c>
      <c r="D549" s="132">
        <v>10602</v>
      </c>
      <c r="E549" s="133">
        <v>0.25900000000000001</v>
      </c>
      <c r="F549" s="133">
        <v>0.27400000000000002</v>
      </c>
    </row>
    <row r="550" spans="3:6">
      <c r="C550" s="134">
        <v>545</v>
      </c>
      <c r="D550" s="132">
        <v>10602.5</v>
      </c>
      <c r="E550" s="133">
        <v>0.26</v>
      </c>
    </row>
    <row r="551" spans="3:6">
      <c r="C551" s="134">
        <v>546</v>
      </c>
      <c r="D551" s="132">
        <v>10603</v>
      </c>
      <c r="E551" s="133">
        <v>0.26200000000000001</v>
      </c>
    </row>
    <row r="552" spans="3:6">
      <c r="C552" s="134">
        <v>547</v>
      </c>
      <c r="D552" s="132">
        <v>10603.5</v>
      </c>
      <c r="E552" s="133">
        <v>0.26</v>
      </c>
      <c r="F552" s="133">
        <v>0.26700000000000002</v>
      </c>
    </row>
    <row r="553" spans="3:6">
      <c r="C553" s="134">
        <v>548</v>
      </c>
      <c r="D553" s="132">
        <v>10604</v>
      </c>
      <c r="E553" s="133">
        <v>0.25800000000000001</v>
      </c>
      <c r="F553" s="133">
        <v>0.28299999999999997</v>
      </c>
    </row>
    <row r="554" spans="3:6">
      <c r="C554" s="134">
        <v>549</v>
      </c>
      <c r="D554" s="132">
        <v>10604.5</v>
      </c>
      <c r="E554" s="133">
        <v>0.251</v>
      </c>
    </row>
    <row r="555" spans="3:6">
      <c r="C555" s="134">
        <v>550</v>
      </c>
      <c r="D555" s="132">
        <v>10605</v>
      </c>
      <c r="E555" s="133">
        <v>0.25</v>
      </c>
      <c r="F555" s="133">
        <v>0.27400000000000002</v>
      </c>
    </row>
    <row r="556" spans="3:6">
      <c r="C556" s="134">
        <v>551</v>
      </c>
      <c r="D556" s="132">
        <v>10605.5</v>
      </c>
      <c r="E556" s="133">
        <v>0.254</v>
      </c>
    </row>
    <row r="557" spans="3:6">
      <c r="C557" s="134">
        <v>552</v>
      </c>
      <c r="D557" s="132">
        <v>10606</v>
      </c>
      <c r="E557" s="133">
        <v>0.26</v>
      </c>
      <c r="F557" s="133">
        <v>0.27200000000000002</v>
      </c>
    </row>
    <row r="558" spans="3:6">
      <c r="C558" s="134">
        <v>553</v>
      </c>
      <c r="D558" s="132">
        <v>10606.5</v>
      </c>
      <c r="E558" s="133">
        <v>0.26800000000000002</v>
      </c>
    </row>
    <row r="559" spans="3:6">
      <c r="C559" s="134">
        <v>554</v>
      </c>
      <c r="D559" s="132">
        <v>10607</v>
      </c>
      <c r="E559" s="133">
        <v>0.26600000000000001</v>
      </c>
      <c r="F559" s="133">
        <v>0.254</v>
      </c>
    </row>
    <row r="560" spans="3:6">
      <c r="C560" s="134">
        <v>555</v>
      </c>
      <c r="D560" s="132">
        <v>10607.5</v>
      </c>
      <c r="E560" s="133">
        <v>0.26</v>
      </c>
    </row>
    <row r="561" spans="3:6">
      <c r="C561" s="134">
        <v>556</v>
      </c>
      <c r="D561" s="132">
        <v>10608</v>
      </c>
      <c r="E561" s="133">
        <v>0.25700000000000001</v>
      </c>
      <c r="F561" s="133">
        <v>0.249</v>
      </c>
    </row>
    <row r="562" spans="3:6">
      <c r="C562" s="134">
        <v>557</v>
      </c>
      <c r="D562" s="132">
        <v>10608.5</v>
      </c>
      <c r="E562" s="133">
        <v>0.249</v>
      </c>
    </row>
    <row r="563" spans="3:6">
      <c r="C563" s="134">
        <v>558</v>
      </c>
      <c r="D563" s="132">
        <v>10609</v>
      </c>
      <c r="E563" s="133">
        <v>0.24199999999999999</v>
      </c>
      <c r="F563" s="133">
        <v>0.216</v>
      </c>
    </row>
    <row r="564" spans="3:6">
      <c r="C564" s="134">
        <v>559</v>
      </c>
      <c r="D564" s="132">
        <v>10609.5</v>
      </c>
      <c r="E564" s="133">
        <v>0.23699999999999999</v>
      </c>
    </row>
    <row r="565" spans="3:6">
      <c r="C565" s="134">
        <v>560</v>
      </c>
      <c r="D565" s="132">
        <v>10610</v>
      </c>
      <c r="E565" s="133">
        <v>0.22900000000000001</v>
      </c>
      <c r="F565" s="133">
        <v>0.23499999999999999</v>
      </c>
    </row>
    <row r="566" spans="3:6">
      <c r="C566" s="134">
        <v>561</v>
      </c>
      <c r="D566" s="132">
        <v>10610.5</v>
      </c>
      <c r="E566" s="133">
        <v>0.224</v>
      </c>
    </row>
    <row r="567" spans="3:6">
      <c r="C567" s="134">
        <v>562</v>
      </c>
      <c r="D567" s="132">
        <v>10611</v>
      </c>
      <c r="E567" s="133">
        <v>0.221</v>
      </c>
      <c r="F567" s="133">
        <v>0.248</v>
      </c>
    </row>
    <row r="568" spans="3:6">
      <c r="C568" s="134">
        <v>563</v>
      </c>
      <c r="D568" s="132">
        <v>10611.5</v>
      </c>
      <c r="E568" s="133">
        <v>0.22600000000000001</v>
      </c>
    </row>
    <row r="569" spans="3:6">
      <c r="C569" s="134">
        <v>564</v>
      </c>
      <c r="D569" s="132">
        <v>10612</v>
      </c>
      <c r="E569" s="133">
        <v>0.23499999999999999</v>
      </c>
      <c r="F569" s="133">
        <v>0.26100000000000001</v>
      </c>
    </row>
    <row r="570" spans="3:6">
      <c r="C570" s="134">
        <v>565</v>
      </c>
      <c r="D570" s="132">
        <v>10612.5</v>
      </c>
      <c r="E570" s="133">
        <v>0.24399999999999999</v>
      </c>
    </row>
    <row r="571" spans="3:6">
      <c r="C571" s="134">
        <v>566</v>
      </c>
      <c r="D571" s="132">
        <v>10613</v>
      </c>
      <c r="E571" s="133">
        <v>0.247</v>
      </c>
      <c r="F571" s="133">
        <v>0.27600000000000002</v>
      </c>
    </row>
    <row r="572" spans="3:6">
      <c r="C572" s="134">
        <v>567</v>
      </c>
      <c r="D572" s="132">
        <v>10613.5</v>
      </c>
      <c r="E572" s="133">
        <v>0.246</v>
      </c>
      <c r="F572" s="133">
        <v>0.26100000000000001</v>
      </c>
    </row>
    <row r="573" spans="3:6">
      <c r="C573" s="134">
        <v>568</v>
      </c>
      <c r="D573" s="132">
        <v>10614</v>
      </c>
      <c r="E573" s="133">
        <v>0.24399999999999999</v>
      </c>
    </row>
    <row r="574" spans="3:6">
      <c r="C574" s="134">
        <v>569</v>
      </c>
      <c r="D574" s="132">
        <v>10614.5</v>
      </c>
      <c r="E574" s="133">
        <v>0.246</v>
      </c>
      <c r="F574" s="133">
        <v>0.251</v>
      </c>
    </row>
    <row r="575" spans="3:6">
      <c r="C575" s="134">
        <v>570</v>
      </c>
      <c r="D575" s="132">
        <v>10615</v>
      </c>
      <c r="E575" s="133">
        <v>0.246</v>
      </c>
    </row>
    <row r="576" spans="3:6">
      <c r="C576" s="134">
        <v>571</v>
      </c>
      <c r="D576" s="132">
        <v>10615.5</v>
      </c>
      <c r="E576" s="133">
        <v>0.24299999999999999</v>
      </c>
      <c r="F576" s="133">
        <v>0.26200000000000001</v>
      </c>
    </row>
    <row r="577" spans="3:6">
      <c r="C577" s="134">
        <v>572</v>
      </c>
      <c r="D577" s="132">
        <v>10616</v>
      </c>
      <c r="E577" s="133">
        <v>0.24299999999999999</v>
      </c>
    </row>
    <row r="578" spans="3:6">
      <c r="C578" s="134">
        <v>573</v>
      </c>
      <c r="D578" s="132">
        <v>10616.5</v>
      </c>
      <c r="E578" s="133">
        <v>0.24</v>
      </c>
      <c r="F578" s="133">
        <v>0.16900000000000001</v>
      </c>
    </row>
    <row r="579" spans="3:6">
      <c r="C579" s="134">
        <v>574</v>
      </c>
      <c r="D579" s="132">
        <v>10617</v>
      </c>
      <c r="E579" s="133">
        <v>0.23400000000000001</v>
      </c>
    </row>
    <row r="580" spans="3:6">
      <c r="C580" s="134">
        <v>575</v>
      </c>
      <c r="D580" s="132">
        <v>10617.5</v>
      </c>
      <c r="E580" s="133">
        <v>0.23699999999999999</v>
      </c>
      <c r="F580" s="133">
        <v>0.26300000000000001</v>
      </c>
    </row>
    <row r="581" spans="3:6">
      <c r="C581" s="134">
        <v>576</v>
      </c>
      <c r="D581" s="132">
        <v>10618</v>
      </c>
      <c r="E581" s="133">
        <v>0.24399999999999999</v>
      </c>
      <c r="F581" s="133">
        <v>0.27600000000000002</v>
      </c>
    </row>
    <row r="582" spans="3:6">
      <c r="C582" s="134">
        <v>577</v>
      </c>
      <c r="D582" s="132">
        <v>10618.5</v>
      </c>
      <c r="E582" s="133">
        <v>0.252</v>
      </c>
    </row>
    <row r="583" spans="3:6">
      <c r="C583" s="134">
        <v>578</v>
      </c>
      <c r="D583" s="132">
        <v>10619</v>
      </c>
      <c r="E583" s="133">
        <v>0.252</v>
      </c>
      <c r="F583" s="133">
        <v>0.26900000000000002</v>
      </c>
    </row>
    <row r="584" spans="3:6">
      <c r="C584" s="134">
        <v>579</v>
      </c>
      <c r="D584" s="132">
        <v>10619.5</v>
      </c>
      <c r="E584" s="133">
        <v>0.25900000000000001</v>
      </c>
    </row>
    <row r="585" spans="3:6">
      <c r="C585" s="134">
        <v>580</v>
      </c>
      <c r="D585" s="132">
        <v>10620</v>
      </c>
      <c r="E585" s="133">
        <v>0.26300000000000001</v>
      </c>
      <c r="F585" s="133">
        <v>0.27</v>
      </c>
    </row>
    <row r="586" spans="3:6">
      <c r="C586" s="134">
        <v>581</v>
      </c>
      <c r="D586" s="132">
        <v>10620.5</v>
      </c>
      <c r="E586" s="133">
        <v>0.26100000000000001</v>
      </c>
    </row>
    <row r="587" spans="3:6">
      <c r="C587" s="134">
        <v>582</v>
      </c>
      <c r="D587" s="132">
        <v>10621</v>
      </c>
      <c r="E587" s="133">
        <v>0.25900000000000001</v>
      </c>
      <c r="F587" s="133">
        <v>0.246</v>
      </c>
    </row>
    <row r="588" spans="3:6">
      <c r="C588" s="134">
        <v>583</v>
      </c>
      <c r="D588" s="132">
        <v>10621.5</v>
      </c>
      <c r="E588" s="133">
        <v>0.25800000000000001</v>
      </c>
    </row>
    <row r="589" spans="3:6">
      <c r="C589" s="134">
        <v>584</v>
      </c>
      <c r="D589" s="132">
        <v>10622</v>
      </c>
      <c r="E589" s="133">
        <v>0.25800000000000001</v>
      </c>
      <c r="F589" s="133">
        <v>0.25900000000000001</v>
      </c>
    </row>
    <row r="590" spans="3:6">
      <c r="C590" s="134">
        <v>585</v>
      </c>
      <c r="D590" s="132">
        <v>10622.5</v>
      </c>
      <c r="E590" s="133">
        <v>0.25700000000000001</v>
      </c>
    </row>
    <row r="591" spans="3:6">
      <c r="C591" s="134">
        <v>586</v>
      </c>
      <c r="D591" s="132">
        <v>10623</v>
      </c>
      <c r="E591" s="133">
        <v>0.26200000000000001</v>
      </c>
      <c r="F591" s="133">
        <v>0.27200000000000002</v>
      </c>
    </row>
    <row r="592" spans="3:6">
      <c r="C592" s="134">
        <v>587</v>
      </c>
      <c r="D592" s="132">
        <v>10623.5</v>
      </c>
      <c r="E592" s="133">
        <v>0.26500000000000001</v>
      </c>
    </row>
    <row r="593" spans="3:6">
      <c r="C593" s="134">
        <v>588</v>
      </c>
      <c r="D593" s="132">
        <v>10624</v>
      </c>
      <c r="E593" s="133">
        <v>0.26400000000000001</v>
      </c>
      <c r="F593" s="133">
        <v>0.26900000000000002</v>
      </c>
    </row>
    <row r="594" spans="3:6">
      <c r="C594" s="134">
        <v>589</v>
      </c>
      <c r="D594" s="132">
        <v>10624.5</v>
      </c>
      <c r="E594" s="133">
        <v>0.26100000000000001</v>
      </c>
    </row>
    <row r="595" spans="3:6">
      <c r="C595" s="134">
        <v>590</v>
      </c>
      <c r="D595" s="132">
        <v>10625</v>
      </c>
      <c r="E595" s="133">
        <v>0.26</v>
      </c>
      <c r="F595" s="133">
        <v>0.27500000000000002</v>
      </c>
    </row>
    <row r="596" spans="3:6">
      <c r="C596" s="134">
        <v>591</v>
      </c>
      <c r="D596" s="132">
        <v>10625.5</v>
      </c>
      <c r="E596" s="133">
        <v>0.25600000000000001</v>
      </c>
    </row>
    <row r="597" spans="3:6">
      <c r="C597" s="134">
        <v>592</v>
      </c>
      <c r="D597" s="132">
        <v>10626</v>
      </c>
      <c r="E597" s="133">
        <v>0.253</v>
      </c>
      <c r="F597" s="133">
        <v>0.26700000000000002</v>
      </c>
    </row>
    <row r="598" spans="3:6">
      <c r="C598" s="134">
        <v>593</v>
      </c>
      <c r="D598" s="132">
        <v>10626.5</v>
      </c>
      <c r="E598" s="133">
        <v>0.25</v>
      </c>
      <c r="F598" s="133">
        <v>0.23</v>
      </c>
    </row>
    <row r="599" spans="3:6">
      <c r="C599" s="134">
        <v>594</v>
      </c>
      <c r="D599" s="132">
        <v>10627</v>
      </c>
      <c r="E599" s="133">
        <v>0.245</v>
      </c>
    </row>
    <row r="600" spans="3:6">
      <c r="C600" s="134">
        <v>595</v>
      </c>
      <c r="D600" s="132">
        <v>10627.5</v>
      </c>
      <c r="E600" s="133">
        <v>0.24199999999999999</v>
      </c>
      <c r="F600" s="133">
        <v>0.20799999999999999</v>
      </c>
    </row>
    <row r="601" spans="3:6">
      <c r="C601" s="134">
        <v>596</v>
      </c>
      <c r="D601" s="132">
        <v>10628</v>
      </c>
      <c r="E601" s="133">
        <v>0.24299999999999999</v>
      </c>
    </row>
    <row r="602" spans="3:6">
      <c r="C602" s="134">
        <v>597</v>
      </c>
      <c r="D602" s="132">
        <v>10628.5</v>
      </c>
      <c r="E602" s="133">
        <v>0.246</v>
      </c>
      <c r="F602" s="133">
        <v>0.26500000000000001</v>
      </c>
    </row>
    <row r="603" spans="3:6">
      <c r="C603" s="134">
        <v>598</v>
      </c>
      <c r="D603" s="132">
        <v>10629</v>
      </c>
      <c r="E603" s="133">
        <v>0.25</v>
      </c>
      <c r="F603" s="133">
        <v>0.27200000000000002</v>
      </c>
    </row>
    <row r="604" spans="3:6">
      <c r="C604" s="134">
        <v>599</v>
      </c>
      <c r="D604" s="132">
        <v>10629.5</v>
      </c>
      <c r="E604" s="133">
        <v>0.249</v>
      </c>
    </row>
    <row r="605" spans="3:6">
      <c r="C605" s="134">
        <v>600</v>
      </c>
      <c r="D605" s="132">
        <v>10630</v>
      </c>
      <c r="E605" s="133">
        <v>0.25</v>
      </c>
    </row>
    <row r="606" spans="3:6">
      <c r="C606" s="134">
        <v>601</v>
      </c>
      <c r="D606" s="132">
        <v>10630.5</v>
      </c>
      <c r="E606" s="133">
        <v>0.25</v>
      </c>
      <c r="F606" s="133">
        <v>0.27400000000000002</v>
      </c>
    </row>
    <row r="607" spans="3:6">
      <c r="C607" s="134">
        <v>602</v>
      </c>
      <c r="D607" s="132">
        <v>10631</v>
      </c>
      <c r="E607" s="133">
        <v>0.252</v>
      </c>
      <c r="F607" s="133">
        <v>0.26700000000000002</v>
      </c>
    </row>
    <row r="608" spans="3:6">
      <c r="C608" s="134">
        <v>603</v>
      </c>
      <c r="D608" s="132">
        <v>10631.5</v>
      </c>
      <c r="E608" s="133">
        <v>0.252</v>
      </c>
    </row>
    <row r="609" spans="3:6">
      <c r="C609" s="134">
        <v>604</v>
      </c>
      <c r="D609" s="132">
        <v>10632</v>
      </c>
      <c r="E609" s="133">
        <v>0.247</v>
      </c>
      <c r="F609" s="133">
        <v>0.23</v>
      </c>
    </row>
    <row r="610" spans="3:6">
      <c r="C610" s="134">
        <v>605</v>
      </c>
      <c r="D610" s="132">
        <v>10632.5</v>
      </c>
      <c r="E610" s="133">
        <v>0.23799999999999999</v>
      </c>
    </row>
    <row r="611" spans="3:6">
      <c r="C611" s="134">
        <v>606</v>
      </c>
      <c r="D611" s="132">
        <v>10633</v>
      </c>
      <c r="E611" s="133">
        <v>0.23100000000000001</v>
      </c>
      <c r="F611" s="133">
        <v>0.25600000000000001</v>
      </c>
    </row>
    <row r="612" spans="3:6">
      <c r="C612" s="134">
        <v>607</v>
      </c>
      <c r="D612" s="132">
        <v>10633.5</v>
      </c>
      <c r="E612" s="133">
        <v>0.23</v>
      </c>
    </row>
    <row r="613" spans="3:6">
      <c r="C613" s="134">
        <v>608</v>
      </c>
      <c r="D613" s="132">
        <v>10634</v>
      </c>
      <c r="E613" s="133">
        <v>0.22900000000000001</v>
      </c>
      <c r="F613" s="133">
        <v>0.216</v>
      </c>
    </row>
    <row r="614" spans="3:6">
      <c r="C614" s="134">
        <v>609</v>
      </c>
      <c r="D614" s="132">
        <v>10634.5</v>
      </c>
      <c r="E614" s="133">
        <v>0.22900000000000001</v>
      </c>
    </row>
    <row r="615" spans="3:6">
      <c r="C615" s="134">
        <v>610</v>
      </c>
      <c r="D615" s="132">
        <v>10635</v>
      </c>
      <c r="E615" s="133">
        <v>0.23</v>
      </c>
      <c r="F615" s="133">
        <v>0.247</v>
      </c>
    </row>
    <row r="616" spans="3:6">
      <c r="C616" s="134">
        <v>611</v>
      </c>
      <c r="D616" s="132">
        <v>10635.5</v>
      </c>
      <c r="E616" s="133">
        <v>0.23</v>
      </c>
    </row>
    <row r="617" spans="3:6">
      <c r="C617" s="134">
        <v>612</v>
      </c>
      <c r="D617" s="132">
        <v>10636</v>
      </c>
      <c r="E617" s="133">
        <v>0.22500000000000001</v>
      </c>
      <c r="F617" s="133">
        <v>0.23499999999999999</v>
      </c>
    </row>
    <row r="618" spans="3:6">
      <c r="C618" s="134">
        <v>613</v>
      </c>
      <c r="D618" s="132">
        <v>10636.5</v>
      </c>
      <c r="E618" s="133">
        <v>0.222</v>
      </c>
    </row>
    <row r="619" spans="3:6">
      <c r="C619" s="134">
        <v>614</v>
      </c>
      <c r="D619" s="132">
        <v>10637</v>
      </c>
      <c r="E619" s="133">
        <v>0.219</v>
      </c>
      <c r="F619" s="133">
        <v>0.23499999999999999</v>
      </c>
    </row>
    <row r="620" spans="3:6">
      <c r="C620" s="134">
        <v>615</v>
      </c>
      <c r="D620" s="132">
        <v>10637.5</v>
      </c>
      <c r="E620" s="133">
        <v>0.219</v>
      </c>
    </row>
    <row r="621" spans="3:6">
      <c r="C621" s="134">
        <v>616</v>
      </c>
      <c r="D621" s="132">
        <v>10638</v>
      </c>
      <c r="E621" s="133">
        <v>0.216</v>
      </c>
      <c r="F621" s="133">
        <v>0.22800000000000001</v>
      </c>
    </row>
    <row r="622" spans="3:6">
      <c r="C622" s="134">
        <v>617</v>
      </c>
      <c r="D622" s="132">
        <v>10638.5</v>
      </c>
      <c r="E622" s="133">
        <v>0.217</v>
      </c>
    </row>
    <row r="623" spans="3:6">
      <c r="C623" s="134">
        <v>618</v>
      </c>
      <c r="D623" s="132">
        <v>10639</v>
      </c>
      <c r="E623" s="133">
        <v>0.219</v>
      </c>
      <c r="F623" s="133">
        <v>0.23699999999999999</v>
      </c>
    </row>
    <row r="624" spans="3:6">
      <c r="C624" s="134">
        <v>619</v>
      </c>
      <c r="D624" s="132">
        <v>10639.5</v>
      </c>
      <c r="E624" s="133">
        <v>0.214</v>
      </c>
    </row>
    <row r="625" spans="3:6">
      <c r="C625" s="134">
        <v>620</v>
      </c>
      <c r="D625" s="132">
        <v>10640</v>
      </c>
      <c r="E625" s="133">
        <v>0.20799999999999999</v>
      </c>
      <c r="F625" s="133">
        <v>0.23</v>
      </c>
    </row>
    <row r="626" spans="3:6">
      <c r="C626" s="134">
        <v>621</v>
      </c>
      <c r="D626" s="132">
        <v>10640.5</v>
      </c>
      <c r="E626" s="133">
        <v>0.20699999999999999</v>
      </c>
    </row>
    <row r="627" spans="3:6">
      <c r="C627" s="134">
        <v>622</v>
      </c>
      <c r="D627" s="132">
        <v>10641</v>
      </c>
      <c r="E627" s="133">
        <v>0.20499999999999999</v>
      </c>
      <c r="F627" s="133">
        <v>0.20699999999999999</v>
      </c>
    </row>
    <row r="628" spans="3:6">
      <c r="C628" s="134">
        <v>623</v>
      </c>
      <c r="D628" s="132">
        <v>10641.5</v>
      </c>
      <c r="E628" s="133">
        <v>0.20100000000000001</v>
      </c>
    </row>
    <row r="629" spans="3:6">
      <c r="C629" s="134">
        <v>624</v>
      </c>
      <c r="D629" s="132">
        <v>10642</v>
      </c>
      <c r="E629" s="133">
        <v>0.19</v>
      </c>
    </row>
    <row r="630" spans="3:6">
      <c r="C630" s="134">
        <v>625</v>
      </c>
      <c r="D630" s="132">
        <v>10642.5</v>
      </c>
      <c r="E630" s="133">
        <v>0.184</v>
      </c>
      <c r="F630" s="133">
        <v>0.192</v>
      </c>
    </row>
    <row r="631" spans="3:6">
      <c r="C631" s="134">
        <v>626</v>
      </c>
      <c r="D631" s="132">
        <v>10643</v>
      </c>
      <c r="E631" s="133">
        <v>0.18099999999999999</v>
      </c>
      <c r="F631" s="133">
        <v>0.16500000000000001</v>
      </c>
    </row>
    <row r="632" spans="3:6">
      <c r="C632" s="134">
        <v>627</v>
      </c>
      <c r="D632" s="132">
        <v>10643.5</v>
      </c>
      <c r="E632" s="133">
        <v>0.17499999999999999</v>
      </c>
      <c r="F632" s="133">
        <v>0.27100000000000002</v>
      </c>
    </row>
    <row r="633" spans="3:6">
      <c r="C633" s="134">
        <v>628</v>
      </c>
      <c r="D633" s="132">
        <v>10644</v>
      </c>
      <c r="E633" s="133">
        <v>0.16900000000000001</v>
      </c>
    </row>
    <row r="634" spans="3:6">
      <c r="C634" s="134">
        <v>629</v>
      </c>
      <c r="D634" s="132">
        <v>10644.5</v>
      </c>
      <c r="E634" s="133">
        <v>0.17199999999999999</v>
      </c>
      <c r="F634" s="133">
        <v>0.20499999999999999</v>
      </c>
    </row>
    <row r="635" spans="3:6">
      <c r="C635" s="134">
        <v>630</v>
      </c>
      <c r="D635" s="132">
        <v>10645</v>
      </c>
      <c r="E635" s="133">
        <v>0.17899999999999999</v>
      </c>
    </row>
    <row r="636" spans="3:6">
      <c r="C636" s="134">
        <v>631</v>
      </c>
      <c r="D636" s="132">
        <v>10645.5</v>
      </c>
      <c r="E636" s="133">
        <v>0.185</v>
      </c>
      <c r="F636" s="133">
        <v>0.25700000000000001</v>
      </c>
    </row>
    <row r="637" spans="3:6">
      <c r="C637" s="134">
        <v>632</v>
      </c>
      <c r="D637" s="132">
        <v>10646</v>
      </c>
      <c r="E637" s="133">
        <v>0.19600000000000001</v>
      </c>
    </row>
    <row r="638" spans="3:6">
      <c r="C638" s="134">
        <v>633</v>
      </c>
      <c r="D638" s="132">
        <v>10646.5</v>
      </c>
      <c r="E638" s="133">
        <v>0.21</v>
      </c>
      <c r="F638" s="133">
        <v>0.184</v>
      </c>
    </row>
    <row r="639" spans="3:6">
      <c r="C639" s="134">
        <v>634</v>
      </c>
      <c r="D639" s="132">
        <v>10647</v>
      </c>
      <c r="E639" s="133">
        <v>0.22900000000000001</v>
      </c>
    </row>
    <row r="640" spans="3:6">
      <c r="C640" s="134">
        <v>635</v>
      </c>
      <c r="D640" s="132">
        <v>10647.5</v>
      </c>
      <c r="E640" s="133">
        <v>0.23300000000000001</v>
      </c>
      <c r="F640" s="133">
        <v>0.27900000000000003</v>
      </c>
    </row>
    <row r="641" spans="3:6">
      <c r="C641" s="134">
        <v>636</v>
      </c>
      <c r="D641" s="132">
        <v>10648</v>
      </c>
      <c r="E641" s="133">
        <v>0.23300000000000001</v>
      </c>
    </row>
    <row r="642" spans="3:6">
      <c r="C642" s="134">
        <v>637</v>
      </c>
      <c r="D642" s="132">
        <v>10648.5</v>
      </c>
      <c r="E642" s="133">
        <v>0.23599999999999999</v>
      </c>
      <c r="F642" s="133">
        <v>0.25700000000000001</v>
      </c>
    </row>
    <row r="643" spans="3:6">
      <c r="C643" s="134">
        <v>638</v>
      </c>
      <c r="D643" s="132">
        <v>10649</v>
      </c>
      <c r="E643" s="133">
        <v>0.23699999999999999</v>
      </c>
    </row>
    <row r="644" spans="3:6">
      <c r="C644" s="134">
        <v>639</v>
      </c>
      <c r="D644" s="132">
        <v>10649.5</v>
      </c>
      <c r="E644" s="133">
        <v>0.24099999999999999</v>
      </c>
      <c r="F644" s="133">
        <v>0.23599999999999999</v>
      </c>
    </row>
    <row r="645" spans="3:6">
      <c r="C645" s="134">
        <v>640</v>
      </c>
      <c r="D645" s="132">
        <v>10650</v>
      </c>
      <c r="E645" s="133">
        <v>0.24099999999999999</v>
      </c>
    </row>
    <row r="646" spans="3:6">
      <c r="C646" s="134">
        <v>641</v>
      </c>
      <c r="D646" s="132">
        <v>10650.5</v>
      </c>
      <c r="E646" s="133">
        <v>0.23499999999999999</v>
      </c>
      <c r="F646" s="133">
        <v>0.22</v>
      </c>
    </row>
    <row r="647" spans="3:6">
      <c r="C647" s="134">
        <v>642</v>
      </c>
      <c r="D647" s="132">
        <v>10651</v>
      </c>
      <c r="E647" s="133">
        <v>0.223</v>
      </c>
    </row>
    <row r="648" spans="3:6">
      <c r="C648" s="134">
        <v>643</v>
      </c>
      <c r="D648" s="132">
        <v>10651.5</v>
      </c>
      <c r="E648" s="133">
        <v>0.22900000000000001</v>
      </c>
      <c r="F648" s="133">
        <v>0.21299999999999999</v>
      </c>
    </row>
    <row r="649" spans="3:6">
      <c r="C649" s="134">
        <v>644</v>
      </c>
      <c r="D649" s="132">
        <v>10652</v>
      </c>
      <c r="E649" s="133">
        <v>0.23599999999999999</v>
      </c>
    </row>
    <row r="650" spans="3:6">
      <c r="C650" s="134">
        <v>645</v>
      </c>
      <c r="D650" s="132">
        <v>10652.5</v>
      </c>
      <c r="E650" s="133">
        <v>0.248</v>
      </c>
      <c r="F650" s="133">
        <v>0.24299999999999999</v>
      </c>
    </row>
    <row r="651" spans="3:6">
      <c r="C651" s="134">
        <v>646</v>
      </c>
      <c r="D651" s="132">
        <v>10653</v>
      </c>
      <c r="E651" s="133">
        <v>0.255</v>
      </c>
    </row>
    <row r="652" spans="3:6">
      <c r="C652" s="134">
        <v>647</v>
      </c>
      <c r="D652" s="132">
        <v>10653.5</v>
      </c>
      <c r="E652" s="133">
        <v>0.25600000000000001</v>
      </c>
      <c r="F652" s="133">
        <v>0.26</v>
      </c>
    </row>
    <row r="653" spans="3:6">
      <c r="C653" s="134">
        <v>648</v>
      </c>
      <c r="D653" s="132">
        <v>10654</v>
      </c>
      <c r="E653" s="133">
        <v>0.25900000000000001</v>
      </c>
    </row>
    <row r="654" spans="3:6">
      <c r="C654" s="134">
        <v>649</v>
      </c>
      <c r="D654" s="132">
        <v>10654.5</v>
      </c>
      <c r="E654" s="133">
        <v>0.255</v>
      </c>
      <c r="F654" s="133">
        <v>0.26900000000000002</v>
      </c>
    </row>
    <row r="655" spans="3:6">
      <c r="C655" s="134">
        <v>650</v>
      </c>
      <c r="D655" s="132">
        <v>10655</v>
      </c>
      <c r="E655" s="133">
        <v>0.249</v>
      </c>
    </row>
    <row r="656" spans="3:6">
      <c r="C656" s="134">
        <v>651</v>
      </c>
      <c r="D656" s="132">
        <v>10655.5</v>
      </c>
      <c r="E656" s="133">
        <v>0.249</v>
      </c>
      <c r="F656" s="133">
        <v>0.25</v>
      </c>
    </row>
    <row r="657" spans="3:6">
      <c r="C657" s="134">
        <v>652</v>
      </c>
      <c r="D657" s="132">
        <v>10656</v>
      </c>
      <c r="E657" s="133">
        <v>0.252</v>
      </c>
    </row>
    <row r="658" spans="3:6">
      <c r="C658" s="134">
        <v>653</v>
      </c>
      <c r="D658" s="132">
        <v>10656.5</v>
      </c>
      <c r="E658" s="133">
        <v>0.25</v>
      </c>
      <c r="F658" s="133">
        <v>0.252</v>
      </c>
    </row>
    <row r="659" spans="3:6">
      <c r="C659" s="134">
        <v>654</v>
      </c>
      <c r="D659" s="132">
        <v>10657</v>
      </c>
      <c r="E659" s="133">
        <v>0.248</v>
      </c>
    </row>
    <row r="660" spans="3:6">
      <c r="C660" s="134">
        <v>655</v>
      </c>
      <c r="D660" s="132">
        <v>10657.5</v>
      </c>
      <c r="E660" s="133">
        <v>0.251</v>
      </c>
      <c r="F660" s="133">
        <v>0.255</v>
      </c>
    </row>
    <row r="661" spans="3:6">
      <c r="C661" s="134">
        <v>656</v>
      </c>
      <c r="D661" s="132">
        <v>10658</v>
      </c>
      <c r="E661" s="133">
        <v>0.255</v>
      </c>
      <c r="F661" s="133">
        <v>0.27100000000000002</v>
      </c>
    </row>
    <row r="662" spans="3:6">
      <c r="C662" s="134">
        <v>657</v>
      </c>
      <c r="D662" s="132">
        <v>10658.5</v>
      </c>
      <c r="E662" s="133">
        <v>0.26</v>
      </c>
    </row>
    <row r="663" spans="3:6">
      <c r="C663" s="134">
        <v>658</v>
      </c>
      <c r="D663" s="132">
        <v>10659</v>
      </c>
      <c r="E663" s="133">
        <v>0.25800000000000001</v>
      </c>
      <c r="F663" s="133">
        <v>0.29599999999999999</v>
      </c>
    </row>
    <row r="664" spans="3:6">
      <c r="C664" s="134">
        <v>659</v>
      </c>
      <c r="D664" s="132">
        <v>10659.5</v>
      </c>
      <c r="E664" s="133">
        <v>0.25800000000000001</v>
      </c>
    </row>
    <row r="665" spans="3:6">
      <c r="C665" s="134">
        <v>660</v>
      </c>
      <c r="D665" s="132">
        <v>10660</v>
      </c>
      <c r="E665" s="133">
        <v>0.25600000000000001</v>
      </c>
      <c r="F665" s="133">
        <v>0.24299999999999999</v>
      </c>
    </row>
    <row r="666" spans="3:6">
      <c r="C666" s="134">
        <v>661</v>
      </c>
      <c r="D666" s="132">
        <v>10660.5</v>
      </c>
      <c r="E666" s="133">
        <v>0.253</v>
      </c>
    </row>
    <row r="667" spans="3:6">
      <c r="C667" s="134">
        <v>662</v>
      </c>
      <c r="D667" s="132">
        <v>10661</v>
      </c>
      <c r="E667" s="133">
        <v>0.246</v>
      </c>
      <c r="F667" s="133">
        <v>0.25</v>
      </c>
    </row>
    <row r="668" spans="3:6">
      <c r="C668" s="134">
        <v>663</v>
      </c>
      <c r="D668" s="132">
        <v>10661.5</v>
      </c>
      <c r="E668" s="133">
        <v>0.24399999999999999</v>
      </c>
    </row>
    <row r="669" spans="3:6">
      <c r="C669" s="134">
        <v>664</v>
      </c>
      <c r="D669" s="132">
        <v>10662</v>
      </c>
      <c r="E669" s="133">
        <v>0.24099999999999999</v>
      </c>
      <c r="F669" s="133">
        <v>0.247</v>
      </c>
    </row>
    <row r="670" spans="3:6">
      <c r="C670" s="134">
        <v>665</v>
      </c>
      <c r="D670" s="132">
        <v>10662.5</v>
      </c>
      <c r="E670" s="133">
        <v>0.23899999999999999</v>
      </c>
      <c r="F670" s="133">
        <v>0.23699999999999999</v>
      </c>
    </row>
    <row r="671" spans="3:6">
      <c r="C671" s="134">
        <v>666</v>
      </c>
      <c r="D671" s="132">
        <v>10663</v>
      </c>
      <c r="E671" s="133">
        <v>0.24</v>
      </c>
    </row>
    <row r="672" spans="3:6">
      <c r="C672" s="134">
        <v>667</v>
      </c>
      <c r="D672" s="132">
        <v>10663.5</v>
      </c>
      <c r="E672" s="133">
        <v>0.24</v>
      </c>
      <c r="F672" s="133">
        <v>0.27500000000000002</v>
      </c>
    </row>
    <row r="673" spans="3:6">
      <c r="C673" s="134">
        <v>668</v>
      </c>
      <c r="D673" s="132">
        <v>10664</v>
      </c>
      <c r="E673" s="133">
        <v>0.23799999999999999</v>
      </c>
    </row>
    <row r="674" spans="3:6">
      <c r="C674" s="134">
        <v>669</v>
      </c>
      <c r="D674" s="132">
        <v>10664.5</v>
      </c>
      <c r="E674" s="133">
        <v>0.23599999999999999</v>
      </c>
      <c r="F674" s="133">
        <v>0.214</v>
      </c>
    </row>
    <row r="675" spans="3:6">
      <c r="C675" s="134">
        <v>670</v>
      </c>
      <c r="D675" s="132">
        <v>10665</v>
      </c>
      <c r="E675" s="133">
        <v>0.23200000000000001</v>
      </c>
    </row>
    <row r="676" spans="3:6">
      <c r="C676" s="134">
        <v>671</v>
      </c>
      <c r="D676" s="132">
        <v>10665.5</v>
      </c>
      <c r="E676" s="133">
        <v>0.22800000000000001</v>
      </c>
    </row>
    <row r="677" spans="3:6">
      <c r="C677" s="134">
        <v>672</v>
      </c>
      <c r="D677" s="132">
        <v>10666</v>
      </c>
      <c r="E677" s="133">
        <v>0.22700000000000001</v>
      </c>
      <c r="F677" s="133">
        <v>0.29499999999999998</v>
      </c>
    </row>
    <row r="678" spans="3:6">
      <c r="C678" s="134">
        <v>673</v>
      </c>
      <c r="D678" s="132">
        <v>10666.5</v>
      </c>
      <c r="E678" s="133">
        <v>0.23499999999999999</v>
      </c>
      <c r="F678" s="133">
        <v>0.26400000000000001</v>
      </c>
    </row>
    <row r="679" spans="3:6">
      <c r="C679" s="134">
        <v>674</v>
      </c>
      <c r="D679" s="132">
        <v>10667</v>
      </c>
      <c r="E679" s="133">
        <v>0.24299999999999999</v>
      </c>
      <c r="F679" s="133">
        <v>0.23699999999999999</v>
      </c>
    </row>
    <row r="680" spans="3:6">
      <c r="C680" s="134">
        <v>675</v>
      </c>
      <c r="D680" s="132">
        <v>10667.5</v>
      </c>
      <c r="E680" s="133">
        <v>0.246</v>
      </c>
    </row>
    <row r="681" spans="3:6">
      <c r="C681" s="134">
        <v>676</v>
      </c>
      <c r="D681" s="132">
        <v>10668</v>
      </c>
      <c r="E681" s="133">
        <v>0.251</v>
      </c>
    </row>
    <row r="682" spans="3:6">
      <c r="C682" s="134">
        <v>677</v>
      </c>
      <c r="D682" s="132">
        <v>10668.5</v>
      </c>
      <c r="E682" s="133">
        <v>0.25600000000000001</v>
      </c>
      <c r="F682" s="133">
        <v>0.24399999999999999</v>
      </c>
    </row>
    <row r="683" spans="3:6">
      <c r="C683" s="134">
        <v>678</v>
      </c>
      <c r="D683" s="132">
        <v>10669</v>
      </c>
      <c r="E683" s="133">
        <v>0.25700000000000001</v>
      </c>
    </row>
    <row r="684" spans="3:6">
      <c r="C684" s="134">
        <v>679</v>
      </c>
      <c r="D684" s="132">
        <v>10669.5</v>
      </c>
      <c r="E684" s="133">
        <v>0.255</v>
      </c>
      <c r="F684" s="133">
        <v>0.245</v>
      </c>
    </row>
    <row r="685" spans="3:6">
      <c r="C685" s="134">
        <v>680</v>
      </c>
      <c r="D685" s="132">
        <v>10670</v>
      </c>
      <c r="E685" s="133">
        <v>0.255</v>
      </c>
      <c r="F685" s="133">
        <v>0.23499999999999999</v>
      </c>
    </row>
    <row r="686" spans="3:6">
      <c r="C686" s="134">
        <v>681</v>
      </c>
      <c r="D686" s="132">
        <v>10670.5</v>
      </c>
      <c r="E686" s="133">
        <v>0.255</v>
      </c>
    </row>
    <row r="687" spans="3:6">
      <c r="C687" s="134">
        <v>682</v>
      </c>
      <c r="D687" s="132">
        <v>10671</v>
      </c>
      <c r="E687" s="133">
        <v>0.25800000000000001</v>
      </c>
    </row>
    <row r="688" spans="3:6">
      <c r="C688" s="134">
        <v>683</v>
      </c>
      <c r="D688" s="132">
        <v>10671.5</v>
      </c>
      <c r="E688" s="133">
        <v>0.25600000000000001</v>
      </c>
      <c r="F688" s="133">
        <v>0.249</v>
      </c>
    </row>
    <row r="689" spans="3:6">
      <c r="C689" s="134">
        <v>684</v>
      </c>
      <c r="D689" s="132">
        <v>10672</v>
      </c>
      <c r="E689" s="133">
        <v>0.252</v>
      </c>
      <c r="F689" s="133">
        <v>0.26500000000000001</v>
      </c>
    </row>
    <row r="690" spans="3:6">
      <c r="C690" s="134">
        <v>685</v>
      </c>
      <c r="D690" s="132">
        <v>10672.5</v>
      </c>
      <c r="E690" s="133">
        <v>0.24299999999999999</v>
      </c>
    </row>
    <row r="691" spans="3:6">
      <c r="C691" s="134">
        <v>686</v>
      </c>
      <c r="D691" s="132">
        <v>10673</v>
      </c>
      <c r="E691" s="133">
        <v>0.23899999999999999</v>
      </c>
      <c r="F691" s="133">
        <v>0.30599999999999999</v>
      </c>
    </row>
    <row r="692" spans="3:6">
      <c r="C692" s="134">
        <v>687</v>
      </c>
      <c r="D692" s="132">
        <v>10673.5</v>
      </c>
      <c r="E692" s="133">
        <v>0.23799999999999999</v>
      </c>
    </row>
    <row r="693" spans="3:6">
      <c r="C693" s="134">
        <v>688</v>
      </c>
      <c r="D693" s="132">
        <v>10674</v>
      </c>
      <c r="E693" s="133">
        <v>0.23400000000000001</v>
      </c>
    </row>
    <row r="694" spans="3:6">
      <c r="C694" s="134">
        <v>689</v>
      </c>
      <c r="D694" s="132">
        <v>10674.5</v>
      </c>
      <c r="E694" s="133">
        <v>0.22900000000000001</v>
      </c>
      <c r="F694" s="133">
        <v>0.24</v>
      </c>
    </row>
    <row r="695" spans="3:6">
      <c r="C695" s="134">
        <v>690</v>
      </c>
      <c r="D695" s="132">
        <v>10675</v>
      </c>
      <c r="E695" s="133">
        <v>0.22600000000000001</v>
      </c>
    </row>
    <row r="696" spans="3:6">
      <c r="C696" s="134">
        <v>691</v>
      </c>
      <c r="D696" s="132">
        <v>10675.5</v>
      </c>
      <c r="E696" s="133">
        <v>0.224</v>
      </c>
      <c r="F696" s="133">
        <v>0.20200000000000001</v>
      </c>
    </row>
    <row r="697" spans="3:6">
      <c r="C697" s="134">
        <v>692</v>
      </c>
      <c r="D697" s="132">
        <v>10676</v>
      </c>
      <c r="E697" s="133">
        <v>0.222</v>
      </c>
    </row>
    <row r="698" spans="3:6">
      <c r="C698" s="134">
        <v>693</v>
      </c>
      <c r="D698" s="132">
        <v>10676.5</v>
      </c>
      <c r="E698" s="133">
        <v>0.221</v>
      </c>
      <c r="F698" s="133">
        <v>0.21</v>
      </c>
    </row>
    <row r="699" spans="3:6">
      <c r="C699" s="134">
        <v>694</v>
      </c>
      <c r="D699" s="132">
        <v>10677</v>
      </c>
      <c r="E699" s="133">
        <v>0.222</v>
      </c>
    </row>
    <row r="700" spans="3:6">
      <c r="C700" s="134">
        <v>695</v>
      </c>
      <c r="D700" s="132">
        <v>10677.5</v>
      </c>
      <c r="E700" s="133">
        <v>0.23100000000000001</v>
      </c>
      <c r="F700" s="133">
        <v>0.216</v>
      </c>
    </row>
    <row r="701" spans="3:6">
      <c r="C701" s="134">
        <v>696</v>
      </c>
      <c r="D701" s="132">
        <v>10678</v>
      </c>
      <c r="E701" s="133">
        <v>0.24099999999999999</v>
      </c>
    </row>
    <row r="702" spans="3:6">
      <c r="C702" s="134">
        <v>697</v>
      </c>
      <c r="D702" s="132">
        <v>10678.5</v>
      </c>
      <c r="E702" s="133">
        <v>0.25</v>
      </c>
      <c r="F702" s="133">
        <v>0.25600000000000001</v>
      </c>
    </row>
    <row r="703" spans="3:6">
      <c r="C703" s="134">
        <v>698</v>
      </c>
      <c r="D703" s="132">
        <v>10679</v>
      </c>
      <c r="E703" s="133">
        <v>0.251</v>
      </c>
    </row>
    <row r="704" spans="3:6">
      <c r="C704" s="134">
        <v>699</v>
      </c>
      <c r="D704" s="132">
        <v>10679.5</v>
      </c>
      <c r="E704" s="133">
        <v>0.251</v>
      </c>
      <c r="F704" s="133">
        <v>0.252</v>
      </c>
    </row>
    <row r="705" spans="3:6">
      <c r="C705" s="134">
        <v>700</v>
      </c>
      <c r="D705" s="132">
        <v>10680</v>
      </c>
      <c r="E705" s="133">
        <v>0.25</v>
      </c>
    </row>
    <row r="706" spans="3:6">
      <c r="C706" s="134">
        <v>701</v>
      </c>
      <c r="D706" s="132">
        <v>10680.5</v>
      </c>
      <c r="E706" s="133">
        <v>0.24299999999999999</v>
      </c>
      <c r="F706" s="133">
        <v>0.21</v>
      </c>
    </row>
    <row r="707" spans="3:6">
      <c r="C707" s="134">
        <v>702</v>
      </c>
      <c r="D707" s="132">
        <v>10681</v>
      </c>
      <c r="E707" s="133">
        <v>0.23699999999999999</v>
      </c>
    </row>
    <row r="708" spans="3:6">
      <c r="C708" s="134">
        <v>703</v>
      </c>
      <c r="D708" s="132">
        <v>10681.5</v>
      </c>
      <c r="E708" s="133">
        <v>0.22800000000000001</v>
      </c>
      <c r="F708" s="133">
        <v>0.27300000000000002</v>
      </c>
    </row>
    <row r="709" spans="3:6">
      <c r="C709" s="134">
        <v>704</v>
      </c>
      <c r="D709" s="132">
        <v>10682</v>
      </c>
      <c r="E709" s="133">
        <v>0.224</v>
      </c>
    </row>
    <row r="710" spans="3:6">
      <c r="C710" s="134">
        <v>705</v>
      </c>
      <c r="D710" s="132">
        <v>10682.5</v>
      </c>
      <c r="E710" s="133">
        <v>0.219</v>
      </c>
      <c r="F710" s="133">
        <v>0.22900000000000001</v>
      </c>
    </row>
    <row r="711" spans="3:6">
      <c r="C711" s="134">
        <v>706</v>
      </c>
      <c r="D711" s="132">
        <v>10683</v>
      </c>
      <c r="E711" s="133">
        <v>0.224</v>
      </c>
    </row>
    <row r="712" spans="3:6">
      <c r="C712" s="134">
        <v>707</v>
      </c>
      <c r="D712" s="132">
        <v>10683.5</v>
      </c>
      <c r="E712" s="133">
        <v>0.22900000000000001</v>
      </c>
      <c r="F712" s="133">
        <v>0.23799999999999999</v>
      </c>
    </row>
    <row r="713" spans="3:6">
      <c r="C713" s="134">
        <v>708</v>
      </c>
      <c r="D713" s="132">
        <v>10684</v>
      </c>
      <c r="E713" s="133">
        <v>0.23499999999999999</v>
      </c>
      <c r="F713" s="133">
        <v>0.27100000000000002</v>
      </c>
    </row>
    <row r="714" spans="3:6">
      <c r="C714" s="134">
        <v>709</v>
      </c>
      <c r="D714" s="132">
        <v>10684.5</v>
      </c>
      <c r="E714" s="133">
        <v>0.23699999999999999</v>
      </c>
    </row>
    <row r="715" spans="3:6">
      <c r="C715" s="134">
        <v>710</v>
      </c>
      <c r="D715" s="132">
        <v>10685</v>
      </c>
      <c r="E715" s="133">
        <v>0.23599999999999999</v>
      </c>
    </row>
    <row r="716" spans="3:6">
      <c r="C716" s="134">
        <v>711</v>
      </c>
      <c r="D716" s="132">
        <v>10685.5</v>
      </c>
      <c r="E716" s="133">
        <v>0.23499999999999999</v>
      </c>
      <c r="F716" s="133">
        <v>0.23499999999999999</v>
      </c>
    </row>
    <row r="717" spans="3:6">
      <c r="C717" s="134">
        <v>712</v>
      </c>
      <c r="D717" s="132">
        <v>10686</v>
      </c>
      <c r="E717" s="133">
        <v>0.247</v>
      </c>
      <c r="F717" s="133">
        <v>0.217</v>
      </c>
    </row>
    <row r="718" spans="3:6">
      <c r="C718" s="134">
        <v>713</v>
      </c>
      <c r="D718" s="132">
        <v>10686.5</v>
      </c>
      <c r="E718" s="133">
        <v>0.25800000000000001</v>
      </c>
    </row>
    <row r="719" spans="3:6">
      <c r="C719" s="134">
        <v>714</v>
      </c>
      <c r="D719" s="132">
        <v>10687</v>
      </c>
      <c r="E719" s="133">
        <v>0.26200000000000001</v>
      </c>
      <c r="F719" s="133">
        <v>0.26700000000000002</v>
      </c>
    </row>
    <row r="720" spans="3:6">
      <c r="C720" s="134">
        <v>715</v>
      </c>
      <c r="D720" s="132">
        <v>10687.5</v>
      </c>
      <c r="E720" s="133">
        <v>0.26100000000000001</v>
      </c>
    </row>
    <row r="721" spans="3:6">
      <c r="C721" s="134">
        <v>716</v>
      </c>
      <c r="D721" s="132">
        <v>10688</v>
      </c>
      <c r="E721" s="133">
        <v>0.255</v>
      </c>
      <c r="F721" s="133">
        <v>0.255</v>
      </c>
    </row>
    <row r="722" spans="3:6">
      <c r="C722" s="134">
        <v>717</v>
      </c>
      <c r="D722" s="132">
        <v>10688.5</v>
      </c>
      <c r="E722" s="133">
        <v>0.254</v>
      </c>
    </row>
    <row r="723" spans="3:6">
      <c r="C723" s="134">
        <v>718</v>
      </c>
      <c r="D723" s="132">
        <v>10689</v>
      </c>
      <c r="E723" s="133">
        <v>0.255</v>
      </c>
      <c r="F723" s="133">
        <v>0.19500000000000001</v>
      </c>
    </row>
    <row r="724" spans="3:6">
      <c r="C724" s="134">
        <v>719</v>
      </c>
      <c r="D724" s="132">
        <v>10689.5</v>
      </c>
      <c r="E724" s="133">
        <v>0.26</v>
      </c>
    </row>
    <row r="725" spans="3:6">
      <c r="C725" s="134">
        <v>720</v>
      </c>
      <c r="D725" s="132">
        <v>10690</v>
      </c>
      <c r="E725" s="133">
        <v>0.26400000000000001</v>
      </c>
      <c r="F725" s="133">
        <v>0.28599999999999998</v>
      </c>
    </row>
    <row r="726" spans="3:6">
      <c r="C726" s="134">
        <v>721</v>
      </c>
      <c r="D726" s="132">
        <v>10690.5</v>
      </c>
      <c r="E726" s="133">
        <v>0.26100000000000001</v>
      </c>
    </row>
    <row r="727" spans="3:6">
      <c r="C727" s="134">
        <v>722</v>
      </c>
      <c r="D727" s="132">
        <v>10691</v>
      </c>
      <c r="E727" s="133">
        <v>0.25900000000000001</v>
      </c>
      <c r="F727" s="133">
        <v>0.22800000000000001</v>
      </c>
    </row>
    <row r="728" spans="3:6">
      <c r="C728" s="134">
        <v>723</v>
      </c>
      <c r="D728" s="132">
        <v>10691.5</v>
      </c>
      <c r="E728" s="133">
        <v>0.252</v>
      </c>
    </row>
    <row r="729" spans="3:6">
      <c r="C729" s="134">
        <v>724</v>
      </c>
      <c r="D729" s="132">
        <v>10692</v>
      </c>
      <c r="E729" s="133">
        <v>0.245</v>
      </c>
      <c r="F729" s="133">
        <v>0.218</v>
      </c>
    </row>
    <row r="730" spans="3:6">
      <c r="C730" s="134">
        <v>725</v>
      </c>
      <c r="D730" s="132">
        <v>10692.5</v>
      </c>
      <c r="E730" s="133">
        <v>0.24299999999999999</v>
      </c>
    </row>
    <row r="731" spans="3:6">
      <c r="C731" s="134">
        <v>726</v>
      </c>
      <c r="D731" s="132">
        <v>10693</v>
      </c>
      <c r="E731" s="133">
        <v>0.24399999999999999</v>
      </c>
      <c r="F731" s="133">
        <v>0.24199999999999999</v>
      </c>
    </row>
    <row r="732" spans="3:6">
      <c r="C732" s="134">
        <v>727</v>
      </c>
      <c r="D732" s="132">
        <v>10693.5</v>
      </c>
      <c r="E732" s="133">
        <v>0.23899999999999999</v>
      </c>
    </row>
    <row r="733" spans="3:6">
      <c r="C733" s="134">
        <v>728</v>
      </c>
      <c r="D733" s="132">
        <v>10694</v>
      </c>
      <c r="E733" s="133">
        <v>0.23300000000000001</v>
      </c>
      <c r="F733" s="133">
        <v>0.24299999999999999</v>
      </c>
    </row>
    <row r="734" spans="3:6">
      <c r="C734" s="134">
        <v>729</v>
      </c>
      <c r="D734" s="132">
        <v>10694.5</v>
      </c>
      <c r="E734" s="133">
        <v>0.22700000000000001</v>
      </c>
    </row>
    <row r="735" spans="3:6">
      <c r="C735" s="134">
        <v>730</v>
      </c>
      <c r="D735" s="132">
        <v>10695</v>
      </c>
      <c r="E735" s="133">
        <v>0.22600000000000001</v>
      </c>
      <c r="F735" s="133">
        <v>0.27400000000000002</v>
      </c>
    </row>
    <row r="736" spans="3:6">
      <c r="C736" s="134">
        <v>731</v>
      </c>
      <c r="D736" s="132">
        <v>10695.5</v>
      </c>
      <c r="E736" s="133">
        <v>0.23300000000000001</v>
      </c>
      <c r="F736" s="133">
        <v>0.27700000000000002</v>
      </c>
    </row>
    <row r="737" spans="3:6">
      <c r="C737" s="134">
        <v>732</v>
      </c>
      <c r="D737" s="132">
        <v>10696</v>
      </c>
      <c r="E737" s="133">
        <v>0.23899999999999999</v>
      </c>
    </row>
    <row r="738" spans="3:6">
      <c r="C738" s="134">
        <v>733</v>
      </c>
      <c r="D738" s="132">
        <v>10696.5</v>
      </c>
      <c r="E738" s="133">
        <v>0.24099999999999999</v>
      </c>
      <c r="F738" s="133">
        <v>0.26200000000000001</v>
      </c>
    </row>
    <row r="739" spans="3:6">
      <c r="C739" s="134">
        <v>734</v>
      </c>
      <c r="D739" s="132">
        <v>10697</v>
      </c>
      <c r="E739" s="133">
        <v>0.24399999999999999</v>
      </c>
    </row>
    <row r="740" spans="3:6">
      <c r="C740" s="134">
        <v>735</v>
      </c>
      <c r="D740" s="132">
        <v>10697.5</v>
      </c>
      <c r="E740" s="133">
        <v>0.248</v>
      </c>
    </row>
    <row r="741" spans="3:6">
      <c r="C741" s="134">
        <v>736</v>
      </c>
      <c r="D741" s="132">
        <v>10698</v>
      </c>
      <c r="E741" s="133">
        <v>0.24399999999999999</v>
      </c>
      <c r="F741" s="133">
        <v>0.161</v>
      </c>
    </row>
    <row r="742" spans="3:6">
      <c r="C742" s="134">
        <v>737</v>
      </c>
      <c r="D742" s="132">
        <v>10698.5</v>
      </c>
      <c r="E742" s="133">
        <v>0.245</v>
      </c>
      <c r="F742" s="133">
        <v>0.248</v>
      </c>
    </row>
    <row r="743" spans="3:6">
      <c r="C743" s="134">
        <v>738</v>
      </c>
      <c r="D743" s="132">
        <v>10699</v>
      </c>
      <c r="E743" s="133">
        <v>0.23599999999999999</v>
      </c>
    </row>
    <row r="744" spans="3:6">
      <c r="C744" s="134">
        <v>739</v>
      </c>
      <c r="D744" s="132">
        <v>10699.5</v>
      </c>
      <c r="E744" s="133">
        <v>0.22800000000000001</v>
      </c>
      <c r="F744" s="133">
        <v>0.25</v>
      </c>
    </row>
    <row r="745" spans="3:6">
      <c r="C745" s="134">
        <v>740</v>
      </c>
      <c r="D745" s="132">
        <v>10700</v>
      </c>
      <c r="E745" s="133">
        <v>0.217</v>
      </c>
    </row>
    <row r="746" spans="3:6">
      <c r="C746" s="134">
        <v>741</v>
      </c>
      <c r="D746" s="132">
        <v>10700.5</v>
      </c>
      <c r="E746" s="133">
        <v>0.21199999999999999</v>
      </c>
    </row>
    <row r="747" spans="3:6">
      <c r="C747" s="134">
        <v>742</v>
      </c>
      <c r="D747" s="132">
        <v>10701</v>
      </c>
      <c r="E747" s="133">
        <v>0.21</v>
      </c>
      <c r="F747" s="133">
        <v>0.19700000000000001</v>
      </c>
    </row>
    <row r="748" spans="3:6">
      <c r="C748" s="134">
        <v>743</v>
      </c>
      <c r="D748" s="132">
        <v>10701.5</v>
      </c>
      <c r="E748" s="133">
        <v>0.21099999999999999</v>
      </c>
      <c r="F748" s="133">
        <v>0.21099999999999999</v>
      </c>
    </row>
    <row r="749" spans="3:6">
      <c r="C749" s="134">
        <v>744</v>
      </c>
      <c r="D749" s="132">
        <v>10702</v>
      </c>
      <c r="E749" s="133">
        <v>0.214</v>
      </c>
      <c r="F749" s="133">
        <v>0.247</v>
      </c>
    </row>
    <row r="750" spans="3:6">
      <c r="C750" s="134">
        <v>745</v>
      </c>
      <c r="D750" s="132">
        <v>10702.5</v>
      </c>
      <c r="E750" s="133">
        <v>0.223</v>
      </c>
    </row>
    <row r="751" spans="3:6">
      <c r="C751" s="134">
        <v>746</v>
      </c>
      <c r="D751" s="132">
        <v>10703</v>
      </c>
      <c r="E751" s="133">
        <v>0.218</v>
      </c>
    </row>
    <row r="752" spans="3:6">
      <c r="C752" s="134">
        <v>747</v>
      </c>
      <c r="D752" s="132">
        <v>10703.5</v>
      </c>
      <c r="E752" s="133">
        <v>0.21199999999999999</v>
      </c>
      <c r="F752" s="133">
        <v>0.24399999999999999</v>
      </c>
    </row>
    <row r="753" spans="3:6">
      <c r="C753" s="134">
        <v>748</v>
      </c>
      <c r="D753" s="132">
        <v>10704</v>
      </c>
      <c r="E753" s="133">
        <v>0.20699999999999999</v>
      </c>
    </row>
    <row r="754" spans="3:6">
      <c r="C754" s="134">
        <v>749</v>
      </c>
      <c r="D754" s="132">
        <v>10704.5</v>
      </c>
      <c r="E754" s="133">
        <v>0.20699999999999999</v>
      </c>
      <c r="F754" s="133">
        <v>0.25600000000000001</v>
      </c>
    </row>
    <row r="755" spans="3:6">
      <c r="C755" s="134">
        <v>750</v>
      </c>
      <c r="D755" s="132">
        <v>10705</v>
      </c>
      <c r="E755" s="133">
        <v>0.216</v>
      </c>
    </row>
    <row r="756" spans="3:6">
      <c r="C756" s="134">
        <v>751</v>
      </c>
      <c r="D756" s="132">
        <v>10705.5</v>
      </c>
      <c r="E756" s="133">
        <v>0.22800000000000001</v>
      </c>
      <c r="F756" s="133">
        <v>0.246</v>
      </c>
    </row>
    <row r="757" spans="3:6">
      <c r="C757" s="134">
        <v>752</v>
      </c>
      <c r="D757" s="132">
        <v>10706</v>
      </c>
      <c r="E757" s="133">
        <v>0.23899999999999999</v>
      </c>
    </row>
    <row r="758" spans="3:6">
      <c r="C758" s="134">
        <v>753</v>
      </c>
      <c r="D758" s="132">
        <v>10706.5</v>
      </c>
      <c r="E758" s="133">
        <v>0.251</v>
      </c>
      <c r="F758" s="133">
        <v>0.26400000000000001</v>
      </c>
    </row>
    <row r="759" spans="3:6">
      <c r="C759" s="134">
        <v>754</v>
      </c>
      <c r="D759" s="132">
        <v>10707</v>
      </c>
      <c r="E759" s="133">
        <v>0.26100000000000001</v>
      </c>
      <c r="F759" s="133">
        <v>0.254</v>
      </c>
    </row>
    <row r="760" spans="3:6">
      <c r="C760" s="134">
        <v>755</v>
      </c>
      <c r="D760" s="132">
        <v>10707.5</v>
      </c>
      <c r="E760" s="133">
        <v>0.26</v>
      </c>
    </row>
    <row r="761" spans="3:6">
      <c r="C761" s="134">
        <v>756</v>
      </c>
      <c r="D761" s="132">
        <v>10708</v>
      </c>
      <c r="E761" s="133">
        <v>0.25600000000000001</v>
      </c>
      <c r="F761" s="133">
        <v>0.25700000000000001</v>
      </c>
    </row>
    <row r="762" spans="3:6">
      <c r="C762" s="134">
        <v>757</v>
      </c>
      <c r="D762" s="132">
        <v>10708.5</v>
      </c>
      <c r="E762" s="133">
        <v>0.255</v>
      </c>
    </row>
    <row r="763" spans="3:6">
      <c r="C763" s="134">
        <v>758</v>
      </c>
      <c r="D763" s="132">
        <v>10709</v>
      </c>
      <c r="E763" s="133">
        <v>0.251</v>
      </c>
      <c r="F763" s="133">
        <v>0.215</v>
      </c>
    </row>
    <row r="764" spans="3:6">
      <c r="C764" s="134">
        <v>759</v>
      </c>
      <c r="D764" s="132">
        <v>10709.5</v>
      </c>
      <c r="E764" s="133">
        <v>0.25</v>
      </c>
    </row>
    <row r="765" spans="3:6">
      <c r="C765" s="134">
        <v>760</v>
      </c>
      <c r="D765" s="132">
        <v>10710</v>
      </c>
      <c r="E765" s="133">
        <v>0.248</v>
      </c>
      <c r="F765" s="133">
        <v>0.255</v>
      </c>
    </row>
    <row r="766" spans="3:6">
      <c r="C766" s="134">
        <v>761</v>
      </c>
      <c r="D766" s="132">
        <v>10710.5</v>
      </c>
      <c r="E766" s="133">
        <v>0.24399999999999999</v>
      </c>
    </row>
    <row r="767" spans="3:6">
      <c r="C767" s="134">
        <v>762</v>
      </c>
      <c r="D767" s="132">
        <v>10711</v>
      </c>
      <c r="E767" s="133">
        <v>0.24099999999999999</v>
      </c>
      <c r="F767" s="133">
        <v>0.252</v>
      </c>
    </row>
    <row r="768" spans="3:6">
      <c r="C768" s="134">
        <v>763</v>
      </c>
      <c r="D768" s="132">
        <v>10711.5</v>
      </c>
      <c r="E768" s="133">
        <v>0.23899999999999999</v>
      </c>
    </row>
    <row r="769" spans="3:6">
      <c r="C769" s="134">
        <v>764</v>
      </c>
      <c r="D769" s="132">
        <v>10712</v>
      </c>
      <c r="E769" s="133">
        <v>0.23300000000000001</v>
      </c>
      <c r="F769" s="133">
        <v>0.25900000000000001</v>
      </c>
    </row>
    <row r="770" spans="3:6">
      <c r="C770" s="134">
        <v>765</v>
      </c>
      <c r="D770" s="132">
        <v>10712.5</v>
      </c>
      <c r="E770" s="133">
        <v>0.22900000000000001</v>
      </c>
      <c r="F770" s="133">
        <v>0.27300000000000002</v>
      </c>
    </row>
    <row r="771" spans="3:6">
      <c r="C771" s="134">
        <v>766</v>
      </c>
      <c r="D771" s="132">
        <v>10713</v>
      </c>
      <c r="E771" s="133">
        <v>0.23100000000000001</v>
      </c>
    </row>
    <row r="772" spans="3:6">
      <c r="C772" s="134">
        <v>767</v>
      </c>
      <c r="D772" s="132">
        <v>10713.5</v>
      </c>
      <c r="E772" s="133">
        <v>0.23699999999999999</v>
      </c>
      <c r="F772" s="133">
        <v>0.28599999999999998</v>
      </c>
    </row>
    <row r="773" spans="3:6">
      <c r="C773" s="134">
        <v>768</v>
      </c>
      <c r="D773" s="132">
        <v>10714</v>
      </c>
      <c r="E773" s="133">
        <v>0.253</v>
      </c>
    </row>
    <row r="774" spans="3:6">
      <c r="C774" s="134">
        <v>769</v>
      </c>
      <c r="D774" s="132">
        <v>10714.5</v>
      </c>
      <c r="E774" s="133">
        <v>0.25700000000000001</v>
      </c>
      <c r="F774" s="133">
        <v>0.28899999999999998</v>
      </c>
    </row>
    <row r="775" spans="3:6">
      <c r="C775" s="134">
        <v>770</v>
      </c>
      <c r="D775" s="132">
        <v>10715</v>
      </c>
      <c r="E775" s="133">
        <v>0.25900000000000001</v>
      </c>
    </row>
    <row r="776" spans="3:6">
      <c r="C776" s="134">
        <v>771</v>
      </c>
      <c r="D776" s="132">
        <v>10715.5</v>
      </c>
      <c r="E776" s="133">
        <v>0.26200000000000001</v>
      </c>
      <c r="F776" s="133">
        <v>0.28599999999999998</v>
      </c>
    </row>
    <row r="777" spans="3:6">
      <c r="C777" s="134">
        <v>772</v>
      </c>
      <c r="D777" s="132">
        <v>10716</v>
      </c>
      <c r="E777" s="133">
        <v>0.26400000000000001</v>
      </c>
      <c r="F777" s="133">
        <v>0.27800000000000002</v>
      </c>
    </row>
    <row r="778" spans="3:6">
      <c r="C778" s="134">
        <v>773</v>
      </c>
      <c r="D778" s="132">
        <v>10716.5</v>
      </c>
      <c r="E778" s="133">
        <v>0.26800000000000002</v>
      </c>
    </row>
    <row r="779" spans="3:6">
      <c r="C779" s="134">
        <v>774</v>
      </c>
      <c r="D779" s="132">
        <v>10717</v>
      </c>
      <c r="E779" s="133">
        <v>0.27500000000000002</v>
      </c>
      <c r="F779" s="133">
        <v>0.27500000000000002</v>
      </c>
    </row>
    <row r="780" spans="3:6">
      <c r="C780" s="134">
        <v>775</v>
      </c>
      <c r="D780" s="132">
        <v>10717.5</v>
      </c>
      <c r="E780" s="133">
        <v>0.28100000000000003</v>
      </c>
    </row>
    <row r="781" spans="3:6">
      <c r="C781" s="134">
        <v>776</v>
      </c>
      <c r="D781" s="132">
        <v>10718</v>
      </c>
      <c r="E781" s="133">
        <v>0.28199999999999997</v>
      </c>
    </row>
    <row r="782" spans="3:6">
      <c r="C782" s="134">
        <v>777</v>
      </c>
      <c r="D782" s="132">
        <v>10718.5</v>
      </c>
      <c r="E782" s="133">
        <v>0.28299999999999997</v>
      </c>
      <c r="F782" s="133">
        <v>0.27500000000000002</v>
      </c>
    </row>
    <row r="783" spans="3:6">
      <c r="C783" s="134">
        <v>778</v>
      </c>
      <c r="D783" s="132">
        <v>10719</v>
      </c>
      <c r="E783" s="133">
        <v>0.28000000000000003</v>
      </c>
    </row>
    <row r="784" spans="3:6">
      <c r="C784" s="134">
        <v>779</v>
      </c>
      <c r="D784" s="132">
        <v>10719.5</v>
      </c>
      <c r="E784" s="133">
        <v>0.27900000000000003</v>
      </c>
      <c r="F784" s="133">
        <v>0.29199999999999998</v>
      </c>
    </row>
    <row r="785" spans="3:6">
      <c r="C785" s="134">
        <v>780</v>
      </c>
      <c r="D785" s="132">
        <v>10720</v>
      </c>
      <c r="E785" s="133">
        <v>0.28000000000000003</v>
      </c>
    </row>
    <row r="786" spans="3:6">
      <c r="C786" s="134">
        <v>781</v>
      </c>
      <c r="D786" s="132">
        <v>10720.5</v>
      </c>
      <c r="E786" s="133">
        <v>0.27700000000000002</v>
      </c>
      <c r="F786" s="133">
        <v>0.255</v>
      </c>
    </row>
    <row r="787" spans="3:6">
      <c r="C787" s="134">
        <v>782</v>
      </c>
      <c r="D787" s="132">
        <v>10721</v>
      </c>
      <c r="E787" s="133">
        <v>0.27300000000000002</v>
      </c>
      <c r="F787" s="133">
        <v>0.27500000000000002</v>
      </c>
    </row>
    <row r="788" spans="3:6">
      <c r="C788" s="134">
        <v>783</v>
      </c>
      <c r="D788" s="132">
        <v>10721.5</v>
      </c>
      <c r="E788" s="133">
        <v>0.27200000000000002</v>
      </c>
    </row>
    <row r="789" spans="3:6">
      <c r="C789" s="134">
        <v>784</v>
      </c>
      <c r="D789" s="132">
        <v>10722</v>
      </c>
      <c r="E789" s="133">
        <v>0.26900000000000002</v>
      </c>
      <c r="F789" s="133">
        <v>0.26500000000000001</v>
      </c>
    </row>
    <row r="790" spans="3:6">
      <c r="C790" s="134">
        <v>785</v>
      </c>
      <c r="D790" s="132">
        <v>10722.5</v>
      </c>
      <c r="E790" s="133">
        <v>0.26500000000000001</v>
      </c>
    </row>
    <row r="791" spans="3:6">
      <c r="C791" s="134">
        <v>786</v>
      </c>
      <c r="D791" s="132">
        <v>10723</v>
      </c>
      <c r="E791" s="133">
        <v>0.25600000000000001</v>
      </c>
      <c r="F791" s="133">
        <v>0.25700000000000001</v>
      </c>
    </row>
    <row r="792" spans="3:6">
      <c r="C792" s="134">
        <v>787</v>
      </c>
      <c r="D792" s="132">
        <v>10723.5</v>
      </c>
      <c r="E792" s="133">
        <v>0.25</v>
      </c>
    </row>
    <row r="793" spans="3:6">
      <c r="C793" s="134">
        <v>788</v>
      </c>
      <c r="D793" s="132">
        <v>10724</v>
      </c>
      <c r="E793" s="133">
        <v>0.247</v>
      </c>
      <c r="F793" s="133">
        <v>0.249</v>
      </c>
    </row>
    <row r="794" spans="3:6">
      <c r="C794" s="134">
        <v>789</v>
      </c>
      <c r="D794" s="132">
        <v>10724.5</v>
      </c>
      <c r="E794" s="133">
        <v>0.247</v>
      </c>
    </row>
    <row r="795" spans="3:6">
      <c r="C795" s="134">
        <v>790</v>
      </c>
      <c r="D795" s="132">
        <v>10725</v>
      </c>
      <c r="E795" s="133">
        <v>0.24399999999999999</v>
      </c>
      <c r="F795" s="133">
        <v>0.26900000000000002</v>
      </c>
    </row>
    <row r="796" spans="3:6">
      <c r="C796" s="134">
        <v>791</v>
      </c>
      <c r="D796" s="132">
        <v>10725.5</v>
      </c>
      <c r="E796" s="133">
        <v>0.24399999999999999</v>
      </c>
    </row>
    <row r="797" spans="3:6">
      <c r="C797" s="134">
        <v>792</v>
      </c>
      <c r="D797" s="132">
        <v>10726</v>
      </c>
      <c r="E797" s="133">
        <v>0.25</v>
      </c>
      <c r="F797" s="133">
        <v>0.27</v>
      </c>
    </row>
    <row r="798" spans="3:6">
      <c r="C798" s="134">
        <v>793</v>
      </c>
      <c r="D798" s="132">
        <v>10726.5</v>
      </c>
      <c r="E798" s="133">
        <v>0.25600000000000001</v>
      </c>
    </row>
    <row r="799" spans="3:6">
      <c r="C799" s="134">
        <v>794</v>
      </c>
      <c r="D799" s="132">
        <v>10727</v>
      </c>
      <c r="E799" s="133">
        <v>0.25800000000000001</v>
      </c>
      <c r="F799" s="133">
        <v>0.24099999999999999</v>
      </c>
    </row>
    <row r="800" spans="3:6">
      <c r="C800" s="134">
        <v>795</v>
      </c>
      <c r="D800" s="132">
        <v>10727.5</v>
      </c>
      <c r="E800" s="133">
        <v>0.25600000000000001</v>
      </c>
    </row>
    <row r="801" spans="3:6">
      <c r="C801" s="134">
        <v>796</v>
      </c>
      <c r="D801" s="132">
        <v>10728</v>
      </c>
      <c r="E801" s="133">
        <v>0.25</v>
      </c>
      <c r="F801" s="133">
        <v>0.189</v>
      </c>
    </row>
    <row r="802" spans="3:6">
      <c r="C802" s="134">
        <v>797</v>
      </c>
      <c r="D802" s="132">
        <v>10728.5</v>
      </c>
      <c r="E802" s="133">
        <v>0.24</v>
      </c>
    </row>
    <row r="803" spans="3:6">
      <c r="C803" s="134">
        <v>798</v>
      </c>
      <c r="D803" s="132">
        <v>10729</v>
      </c>
      <c r="E803" s="133">
        <v>0.23300000000000001</v>
      </c>
      <c r="F803" s="133">
        <v>0.249</v>
      </c>
    </row>
    <row r="804" spans="3:6">
      <c r="C804" s="134">
        <v>799</v>
      </c>
      <c r="D804" s="132">
        <v>10729.5</v>
      </c>
      <c r="E804" s="133">
        <v>0.224</v>
      </c>
    </row>
    <row r="805" spans="3:6">
      <c r="C805" s="134">
        <v>800</v>
      </c>
      <c r="D805" s="132">
        <v>10730</v>
      </c>
      <c r="E805" s="133">
        <v>0.215</v>
      </c>
      <c r="F805" s="133">
        <v>0.25800000000000001</v>
      </c>
    </row>
    <row r="806" spans="3:6">
      <c r="C806" s="134">
        <v>801</v>
      </c>
      <c r="D806" s="132">
        <v>10730.5</v>
      </c>
      <c r="E806" s="133">
        <v>0.224</v>
      </c>
    </row>
    <row r="807" spans="3:6">
      <c r="C807" s="134">
        <v>802</v>
      </c>
      <c r="D807" s="132">
        <v>10731</v>
      </c>
      <c r="E807" s="133">
        <v>0.23300000000000001</v>
      </c>
      <c r="F807" s="133">
        <v>0.27500000000000002</v>
      </c>
    </row>
    <row r="808" spans="3:6">
      <c r="C808" s="134">
        <v>803</v>
      </c>
      <c r="D808" s="132">
        <v>10731.5</v>
      </c>
      <c r="E808" s="133">
        <v>0.24099999999999999</v>
      </c>
    </row>
    <row r="809" spans="3:6">
      <c r="C809" s="134">
        <v>804</v>
      </c>
      <c r="D809" s="132">
        <v>10732</v>
      </c>
      <c r="E809" s="133">
        <v>0.245</v>
      </c>
      <c r="F809" s="133">
        <v>0.25800000000000001</v>
      </c>
    </row>
    <row r="810" spans="3:6">
      <c r="C810" s="134">
        <v>805</v>
      </c>
      <c r="D810" s="132">
        <v>10732.5</v>
      </c>
      <c r="E810" s="133">
        <v>0.248</v>
      </c>
      <c r="F810" s="133">
        <v>0.28000000000000003</v>
      </c>
    </row>
    <row r="811" spans="3:6">
      <c r="C811" s="134">
        <v>806</v>
      </c>
      <c r="D811" s="132">
        <v>10733</v>
      </c>
      <c r="E811" s="133">
        <v>0.253</v>
      </c>
    </row>
    <row r="812" spans="3:6">
      <c r="C812" s="134">
        <v>807</v>
      </c>
      <c r="D812" s="132">
        <v>10733.5</v>
      </c>
      <c r="E812" s="133">
        <v>0.25800000000000001</v>
      </c>
    </row>
    <row r="813" spans="3:6">
      <c r="C813" s="134">
        <v>808</v>
      </c>
      <c r="D813" s="132">
        <v>10734</v>
      </c>
      <c r="E813" s="133">
        <v>0.25900000000000001</v>
      </c>
      <c r="F813" s="133">
        <v>0.27</v>
      </c>
    </row>
    <row r="814" spans="3:6">
      <c r="C814" s="134">
        <v>809</v>
      </c>
      <c r="D814" s="132">
        <v>10734.5</v>
      </c>
      <c r="E814" s="133">
        <v>0.26100000000000001</v>
      </c>
    </row>
    <row r="815" spans="3:6">
      <c r="C815" s="134">
        <v>810</v>
      </c>
      <c r="D815" s="132">
        <v>10735</v>
      </c>
      <c r="E815" s="133">
        <v>0.26400000000000001</v>
      </c>
      <c r="F815" s="133">
        <v>0.27700000000000002</v>
      </c>
    </row>
    <row r="816" spans="3:6">
      <c r="C816" s="134">
        <v>811</v>
      </c>
      <c r="D816" s="132">
        <v>10735.5</v>
      </c>
      <c r="E816" s="133">
        <v>0.26700000000000002</v>
      </c>
      <c r="F816" s="133">
        <v>0.28999999999999998</v>
      </c>
    </row>
    <row r="817" spans="3:6">
      <c r="C817" s="134">
        <v>812</v>
      </c>
      <c r="D817" s="132">
        <v>10736</v>
      </c>
      <c r="E817" s="133">
        <v>0.27100000000000002</v>
      </c>
    </row>
    <row r="818" spans="3:6">
      <c r="C818" s="134">
        <v>813</v>
      </c>
      <c r="D818" s="132">
        <v>10736.5</v>
      </c>
      <c r="E818" s="133">
        <v>0.27300000000000002</v>
      </c>
    </row>
    <row r="819" spans="3:6">
      <c r="C819" s="134">
        <v>814</v>
      </c>
      <c r="D819" s="132">
        <v>10737</v>
      </c>
      <c r="E819" s="133">
        <v>0.27200000000000002</v>
      </c>
      <c r="F819" s="133">
        <v>0.28499999999999998</v>
      </c>
    </row>
    <row r="820" spans="3:6">
      <c r="C820" s="134">
        <v>815</v>
      </c>
      <c r="D820" s="132">
        <v>10737.5</v>
      </c>
      <c r="E820" s="133">
        <v>0.27100000000000002</v>
      </c>
    </row>
    <row r="821" spans="3:6">
      <c r="C821" s="134">
        <v>816</v>
      </c>
      <c r="D821" s="132">
        <v>10738</v>
      </c>
      <c r="E821" s="133">
        <v>0.27100000000000002</v>
      </c>
      <c r="F821" s="133">
        <v>0.27600000000000002</v>
      </c>
    </row>
    <row r="822" spans="3:6">
      <c r="C822" s="134">
        <v>817</v>
      </c>
      <c r="D822" s="132">
        <v>10738.5</v>
      </c>
      <c r="E822" s="133">
        <v>0.27</v>
      </c>
    </row>
    <row r="823" spans="3:6">
      <c r="C823" s="134">
        <v>818</v>
      </c>
      <c r="D823" s="132">
        <v>10739</v>
      </c>
      <c r="E823" s="133">
        <v>0.26600000000000001</v>
      </c>
      <c r="F823" s="133">
        <v>0.27600000000000002</v>
      </c>
    </row>
    <row r="824" spans="3:6">
      <c r="C824" s="134">
        <v>819</v>
      </c>
      <c r="D824" s="132">
        <v>10739.5</v>
      </c>
      <c r="E824" s="133">
        <v>0.26200000000000001</v>
      </c>
      <c r="F824" s="133">
        <v>0.255</v>
      </c>
    </row>
    <row r="825" spans="3:6">
      <c r="C825" s="134">
        <v>820</v>
      </c>
      <c r="D825" s="132">
        <v>10740</v>
      </c>
      <c r="E825" s="133">
        <v>0.25900000000000001</v>
      </c>
    </row>
    <row r="826" spans="3:6">
      <c r="C826" s="134">
        <v>821</v>
      </c>
      <c r="D826" s="132">
        <v>10740.5</v>
      </c>
      <c r="E826" s="133">
        <v>0.255</v>
      </c>
      <c r="F826" s="133">
        <v>0.26900000000000002</v>
      </c>
    </row>
    <row r="827" spans="3:6">
      <c r="C827" s="134">
        <v>822</v>
      </c>
      <c r="D827" s="132">
        <v>10741</v>
      </c>
      <c r="E827" s="133">
        <v>0.251</v>
      </c>
    </row>
    <row r="828" spans="3:6">
      <c r="C828" s="134">
        <v>823</v>
      </c>
      <c r="D828" s="132">
        <v>10741.5</v>
      </c>
      <c r="E828" s="133">
        <v>0.251</v>
      </c>
      <c r="F828" s="133">
        <v>0.251</v>
      </c>
    </row>
    <row r="829" spans="3:6">
      <c r="C829" s="134">
        <v>824</v>
      </c>
      <c r="D829" s="132">
        <v>10742</v>
      </c>
      <c r="E829" s="133">
        <v>0.253</v>
      </c>
    </row>
    <row r="830" spans="3:6">
      <c r="C830" s="134">
        <v>825</v>
      </c>
      <c r="D830" s="132">
        <v>10742.5</v>
      </c>
      <c r="E830" s="133">
        <v>0.25600000000000001</v>
      </c>
      <c r="F830" s="133">
        <v>0.249</v>
      </c>
    </row>
    <row r="831" spans="3:6">
      <c r="C831" s="134">
        <v>826</v>
      </c>
      <c r="D831" s="132">
        <v>10743</v>
      </c>
      <c r="E831" s="133">
        <v>0.251</v>
      </c>
    </row>
    <row r="832" spans="3:6">
      <c r="C832" s="134">
        <v>827</v>
      </c>
      <c r="D832" s="132">
        <v>10743.5</v>
      </c>
      <c r="E832" s="133">
        <v>0.246</v>
      </c>
      <c r="F832" s="133">
        <v>0.255</v>
      </c>
    </row>
    <row r="833" spans="3:6">
      <c r="C833" s="134">
        <v>828</v>
      </c>
      <c r="D833" s="132">
        <v>10744</v>
      </c>
      <c r="E833" s="133">
        <v>0.24099999999999999</v>
      </c>
    </row>
    <row r="834" spans="3:6">
      <c r="C834" s="134">
        <v>829</v>
      </c>
      <c r="D834" s="132">
        <v>10744.5</v>
      </c>
      <c r="E834" s="133">
        <v>0.23699999999999999</v>
      </c>
      <c r="F834" s="133">
        <v>0.26300000000000001</v>
      </c>
    </row>
    <row r="835" spans="3:6">
      <c r="C835" s="134">
        <v>830</v>
      </c>
      <c r="D835" s="132">
        <v>10745</v>
      </c>
      <c r="E835" s="133">
        <v>0.23599999999999999</v>
      </c>
    </row>
    <row r="836" spans="3:6">
      <c r="C836" s="134">
        <v>831</v>
      </c>
      <c r="D836" s="132">
        <v>10745.5</v>
      </c>
      <c r="E836" s="133">
        <v>0.23300000000000001</v>
      </c>
      <c r="F836" s="133">
        <v>0.22800000000000001</v>
      </c>
    </row>
    <row r="837" spans="3:6">
      <c r="C837" s="134">
        <v>832</v>
      </c>
      <c r="D837" s="132">
        <v>10746</v>
      </c>
      <c r="E837" s="133">
        <v>0.23100000000000001</v>
      </c>
    </row>
    <row r="838" spans="3:6">
      <c r="C838" s="134">
        <v>833</v>
      </c>
      <c r="D838" s="132">
        <v>10746.5</v>
      </c>
      <c r="E838" s="133">
        <v>0.23300000000000001</v>
      </c>
    </row>
    <row r="839" spans="3:6">
      <c r="C839" s="134">
        <v>834</v>
      </c>
      <c r="D839" s="132">
        <v>10747</v>
      </c>
      <c r="E839" s="133">
        <v>0.23599999999999999</v>
      </c>
      <c r="F839" s="133">
        <v>0.247</v>
      </c>
    </row>
    <row r="840" spans="3:6">
      <c r="C840" s="134">
        <v>835</v>
      </c>
      <c r="D840" s="132">
        <v>10747.5</v>
      </c>
      <c r="E840" s="133">
        <v>0.23899999999999999</v>
      </c>
    </row>
    <row r="841" spans="3:6">
      <c r="C841" s="134">
        <v>836</v>
      </c>
      <c r="D841" s="132">
        <v>10748</v>
      </c>
      <c r="E841" s="133">
        <v>0.23400000000000001</v>
      </c>
      <c r="F841" s="133">
        <v>0.186</v>
      </c>
    </row>
    <row r="842" spans="3:6">
      <c r="C842" s="134">
        <v>837</v>
      </c>
      <c r="D842" s="132">
        <v>10748.5</v>
      </c>
      <c r="E842" s="133">
        <v>0.222</v>
      </c>
    </row>
    <row r="843" spans="3:6">
      <c r="C843" s="134">
        <v>838</v>
      </c>
      <c r="D843" s="132">
        <v>10749</v>
      </c>
      <c r="E843" s="133">
        <v>0.21099999999999999</v>
      </c>
    </row>
    <row r="844" spans="3:6">
      <c r="C844" s="134">
        <v>839</v>
      </c>
      <c r="D844" s="132">
        <v>10749.5</v>
      </c>
      <c r="E844" s="133">
        <v>0.20499999999999999</v>
      </c>
      <c r="F844" s="133">
        <v>0.2</v>
      </c>
    </row>
    <row r="845" spans="3:6">
      <c r="C845" s="134">
        <v>840</v>
      </c>
      <c r="D845" s="132">
        <v>10750</v>
      </c>
      <c r="E845" s="133">
        <v>0.20399999999999999</v>
      </c>
      <c r="F845" s="133">
        <v>0.218</v>
      </c>
    </row>
    <row r="846" spans="3:6">
      <c r="C846" s="134">
        <v>841</v>
      </c>
      <c r="D846" s="132">
        <v>10750.5</v>
      </c>
      <c r="E846" s="133">
        <v>0.20399999999999999</v>
      </c>
    </row>
    <row r="847" spans="3:6">
      <c r="C847" s="134">
        <v>842</v>
      </c>
      <c r="D847" s="132">
        <v>10751</v>
      </c>
      <c r="E847" s="133">
        <v>0.20699999999999999</v>
      </c>
      <c r="F847" s="133">
        <v>0.252</v>
      </c>
    </row>
    <row r="848" spans="3:6">
      <c r="C848" s="134">
        <v>843</v>
      </c>
      <c r="D848" s="132">
        <v>10751.5</v>
      </c>
      <c r="E848" s="133">
        <v>0.20599999999999999</v>
      </c>
    </row>
    <row r="849" spans="3:6">
      <c r="C849" s="134">
        <v>844</v>
      </c>
      <c r="D849" s="132">
        <v>10752</v>
      </c>
      <c r="E849" s="133">
        <v>0.20200000000000001</v>
      </c>
      <c r="F849" s="133">
        <v>0.23</v>
      </c>
    </row>
    <row r="850" spans="3:6">
      <c r="C850" s="134">
        <v>845</v>
      </c>
      <c r="D850" s="132">
        <v>10752.5</v>
      </c>
      <c r="E850" s="133">
        <v>0.19400000000000001</v>
      </c>
    </row>
    <row r="851" spans="3:6">
      <c r="C851" s="134">
        <v>846</v>
      </c>
      <c r="D851" s="132">
        <v>10753</v>
      </c>
      <c r="E851" s="133">
        <v>0.19900000000000001</v>
      </c>
      <c r="F851" s="133">
        <v>0.19400000000000001</v>
      </c>
    </row>
    <row r="852" spans="3:6">
      <c r="C852" s="134">
        <v>847</v>
      </c>
      <c r="D852" s="132">
        <v>10753.5</v>
      </c>
      <c r="E852" s="133">
        <v>0.20399999999999999</v>
      </c>
    </row>
    <row r="853" spans="3:6">
      <c r="C853" s="134">
        <v>848</v>
      </c>
      <c r="D853" s="132">
        <v>10754</v>
      </c>
      <c r="E853" s="133">
        <v>0.20799999999999999</v>
      </c>
    </row>
    <row r="854" spans="3:6">
      <c r="C854" s="134">
        <v>849</v>
      </c>
      <c r="D854" s="132">
        <v>10754.5</v>
      </c>
      <c r="E854" s="133">
        <v>0.21199999999999999</v>
      </c>
      <c r="F854" s="133">
        <v>0.245</v>
      </c>
    </row>
    <row r="855" spans="3:6">
      <c r="C855" s="134">
        <v>850</v>
      </c>
      <c r="D855" s="132">
        <v>10755</v>
      </c>
      <c r="E855" s="133">
        <v>0.219</v>
      </c>
    </row>
    <row r="856" spans="3:6">
      <c r="C856" s="134">
        <v>851</v>
      </c>
      <c r="D856" s="132">
        <v>10755.5</v>
      </c>
      <c r="E856" s="133">
        <v>0.224</v>
      </c>
    </row>
    <row r="857" spans="3:6">
      <c r="C857" s="134">
        <v>852</v>
      </c>
      <c r="D857" s="132">
        <v>10756</v>
      </c>
      <c r="E857" s="133">
        <v>0.23300000000000001</v>
      </c>
      <c r="F857" s="133">
        <v>0.252</v>
      </c>
    </row>
    <row r="858" spans="3:6">
      <c r="C858" s="134">
        <v>853</v>
      </c>
      <c r="D858" s="132">
        <v>10756.5</v>
      </c>
      <c r="E858" s="133">
        <v>0.23899999999999999</v>
      </c>
      <c r="F858" s="133">
        <v>0.219</v>
      </c>
    </row>
    <row r="859" spans="3:6">
      <c r="C859" s="134">
        <v>854</v>
      </c>
      <c r="D859" s="132">
        <v>10757</v>
      </c>
      <c r="E859" s="133">
        <v>0.24099999999999999</v>
      </c>
    </row>
    <row r="860" spans="3:6">
      <c r="C860" s="134">
        <v>855</v>
      </c>
      <c r="D860" s="132">
        <v>10757.5</v>
      </c>
      <c r="E860" s="133">
        <v>0.23899999999999999</v>
      </c>
      <c r="F860" s="133">
        <v>0.224</v>
      </c>
    </row>
    <row r="861" spans="3:6">
      <c r="C861" s="134">
        <v>856</v>
      </c>
      <c r="D861" s="132">
        <v>10758</v>
      </c>
      <c r="E861" s="133">
        <v>0.23100000000000001</v>
      </c>
    </row>
    <row r="862" spans="3:6">
      <c r="C862" s="134">
        <v>857</v>
      </c>
      <c r="D862" s="132">
        <v>10758.5</v>
      </c>
      <c r="E862" s="133">
        <v>0.23300000000000001</v>
      </c>
      <c r="F862" s="133">
        <v>0.26100000000000001</v>
      </c>
    </row>
    <row r="863" spans="3:6">
      <c r="C863" s="134">
        <v>858</v>
      </c>
      <c r="D863" s="132">
        <v>10759</v>
      </c>
      <c r="E863" s="133">
        <v>0.24099999999999999</v>
      </c>
    </row>
    <row r="864" spans="3:6">
      <c r="C864" s="134">
        <v>859</v>
      </c>
      <c r="D864" s="132">
        <v>10759.5</v>
      </c>
      <c r="E864" s="133">
        <v>0.25</v>
      </c>
      <c r="F864" s="133">
        <v>0.249</v>
      </c>
    </row>
    <row r="865" spans="3:6">
      <c r="C865" s="134">
        <v>860</v>
      </c>
      <c r="D865" s="132">
        <v>10760</v>
      </c>
      <c r="E865" s="133">
        <v>0.251</v>
      </c>
    </row>
    <row r="866" spans="3:6">
      <c r="C866" s="134">
        <v>861</v>
      </c>
      <c r="D866" s="132">
        <v>10760.5</v>
      </c>
      <c r="E866" s="133">
        <v>0.245</v>
      </c>
      <c r="F866" s="133">
        <v>0.20100000000000001</v>
      </c>
    </row>
    <row r="867" spans="3:6">
      <c r="C867" s="134">
        <v>862</v>
      </c>
      <c r="D867" s="132">
        <v>10761</v>
      </c>
      <c r="E867" s="133">
        <v>0.24</v>
      </c>
    </row>
    <row r="868" spans="3:6">
      <c r="C868" s="134">
        <v>863</v>
      </c>
      <c r="D868" s="132">
        <v>10761.5</v>
      </c>
      <c r="E868" s="133">
        <v>0.23300000000000001</v>
      </c>
      <c r="F868" s="133">
        <v>0.17299999999999999</v>
      </c>
    </row>
    <row r="869" spans="3:6">
      <c r="C869" s="134">
        <v>864</v>
      </c>
      <c r="D869" s="132">
        <v>10762</v>
      </c>
      <c r="E869" s="133">
        <v>0.22900000000000001</v>
      </c>
    </row>
    <row r="870" spans="3:6">
      <c r="C870" s="134">
        <v>865</v>
      </c>
      <c r="D870" s="132">
        <v>10762.5</v>
      </c>
      <c r="E870" s="133">
        <v>0.222</v>
      </c>
      <c r="F870" s="133">
        <v>0.22700000000000001</v>
      </c>
    </row>
    <row r="871" spans="3:6">
      <c r="C871" s="134">
        <v>866</v>
      </c>
      <c r="D871" s="132">
        <v>10763</v>
      </c>
      <c r="E871" s="133">
        <v>0.218</v>
      </c>
    </row>
    <row r="872" spans="3:6">
      <c r="C872" s="134">
        <v>867</v>
      </c>
      <c r="D872" s="132">
        <v>10763.5</v>
      </c>
      <c r="E872" s="133">
        <v>0.22900000000000001</v>
      </c>
      <c r="F872" s="133">
        <v>0.25700000000000001</v>
      </c>
    </row>
    <row r="873" spans="3:6">
      <c r="C873" s="134">
        <v>868</v>
      </c>
      <c r="D873" s="132">
        <v>10764</v>
      </c>
      <c r="E873" s="133">
        <v>0.23799999999999999</v>
      </c>
    </row>
    <row r="874" spans="3:6">
      <c r="C874" s="134">
        <v>869</v>
      </c>
      <c r="D874" s="132">
        <v>10764.5</v>
      </c>
      <c r="E874" s="133">
        <v>0.24399999999999999</v>
      </c>
      <c r="F874" s="133">
        <v>0.23300000000000001</v>
      </c>
    </row>
    <row r="875" spans="3:6">
      <c r="C875" s="134">
        <v>870</v>
      </c>
      <c r="D875" s="132">
        <v>10765</v>
      </c>
      <c r="E875" s="133">
        <v>0.23899999999999999</v>
      </c>
    </row>
    <row r="876" spans="3:6">
      <c r="C876" s="134">
        <v>871</v>
      </c>
      <c r="D876" s="132">
        <v>10765.5</v>
      </c>
      <c r="E876" s="133">
        <v>0.23400000000000001</v>
      </c>
      <c r="F876" s="133">
        <v>0.249</v>
      </c>
    </row>
    <row r="877" spans="3:6">
      <c r="C877" s="134">
        <v>872</v>
      </c>
      <c r="D877" s="132">
        <v>10766</v>
      </c>
      <c r="E877" s="133">
        <v>0.23200000000000001</v>
      </c>
    </row>
    <row r="878" spans="3:6">
      <c r="C878" s="134">
        <v>873</v>
      </c>
      <c r="D878" s="132">
        <v>10766.5</v>
      </c>
      <c r="E878" s="133">
        <v>0.23400000000000001</v>
      </c>
      <c r="F878" s="133">
        <v>0.27500000000000002</v>
      </c>
    </row>
    <row r="879" spans="3:6">
      <c r="C879" s="134">
        <v>874</v>
      </c>
      <c r="D879" s="132">
        <v>10767</v>
      </c>
      <c r="E879" s="133">
        <v>0.23499999999999999</v>
      </c>
      <c r="F879" s="133">
        <v>0.27100000000000002</v>
      </c>
    </row>
    <row r="880" spans="3:6">
      <c r="C880" s="134">
        <v>875</v>
      </c>
      <c r="D880" s="132">
        <v>10767.5</v>
      </c>
      <c r="E880" s="133">
        <v>0.24099999999999999</v>
      </c>
    </row>
    <row r="881" spans="3:6">
      <c r="C881" s="134">
        <v>876</v>
      </c>
      <c r="D881" s="132">
        <v>10768</v>
      </c>
      <c r="E881" s="133">
        <v>0.25</v>
      </c>
      <c r="F881" s="133">
        <v>0.26600000000000001</v>
      </c>
    </row>
    <row r="882" spans="3:6">
      <c r="C882" s="134">
        <v>877</v>
      </c>
      <c r="D882" s="132">
        <v>10768.5</v>
      </c>
      <c r="E882" s="133">
        <v>0.252</v>
      </c>
    </row>
    <row r="883" spans="3:6">
      <c r="C883" s="134">
        <v>878</v>
      </c>
      <c r="D883" s="132">
        <v>10769</v>
      </c>
      <c r="E883" s="133">
        <v>0.25600000000000001</v>
      </c>
      <c r="F883" s="133">
        <v>0.24</v>
      </c>
    </row>
    <row r="884" spans="3:6">
      <c r="C884" s="134">
        <v>879</v>
      </c>
      <c r="D884" s="132">
        <v>10769.5</v>
      </c>
      <c r="E884" s="133">
        <v>0.254</v>
      </c>
    </row>
    <row r="885" spans="3:6">
      <c r="C885" s="134">
        <v>880</v>
      </c>
      <c r="D885" s="132">
        <v>10770</v>
      </c>
      <c r="E885" s="133">
        <v>0.25</v>
      </c>
      <c r="F885" s="133">
        <v>0.23799999999999999</v>
      </c>
    </row>
    <row r="886" spans="3:6">
      <c r="C886" s="134">
        <v>881</v>
      </c>
      <c r="D886" s="132">
        <v>10770.5</v>
      </c>
      <c r="E886" s="133">
        <v>0.24299999999999999</v>
      </c>
    </row>
    <row r="887" spans="3:6">
      <c r="C887" s="134">
        <v>882</v>
      </c>
      <c r="D887" s="132">
        <v>10771</v>
      </c>
      <c r="E887" s="133">
        <v>0.23599999999999999</v>
      </c>
      <c r="F887" s="133">
        <v>0.248</v>
      </c>
    </row>
    <row r="888" spans="3:6">
      <c r="C888" s="134">
        <v>883</v>
      </c>
      <c r="D888" s="132">
        <v>10771.5</v>
      </c>
      <c r="E888" s="133">
        <v>0.23300000000000001</v>
      </c>
    </row>
    <row r="889" spans="3:6">
      <c r="C889" s="134">
        <v>884</v>
      </c>
      <c r="D889" s="132">
        <v>10772</v>
      </c>
      <c r="E889" s="133">
        <v>0.23200000000000001</v>
      </c>
      <c r="F889" s="133">
        <v>0.27300000000000002</v>
      </c>
    </row>
    <row r="890" spans="3:6">
      <c r="C890" s="134">
        <v>885</v>
      </c>
      <c r="D890" s="132">
        <v>10772.5</v>
      </c>
      <c r="E890" s="133">
        <v>0.23699999999999999</v>
      </c>
    </row>
    <row r="891" spans="3:6">
      <c r="C891" s="134">
        <v>886</v>
      </c>
      <c r="D891" s="132">
        <v>10773</v>
      </c>
      <c r="E891" s="133">
        <v>0.23699999999999999</v>
      </c>
      <c r="F891" s="133">
        <v>0.24099999999999999</v>
      </c>
    </row>
    <row r="892" spans="3:6">
      <c r="C892" s="134">
        <v>887</v>
      </c>
      <c r="D892" s="132">
        <v>10773.5</v>
      </c>
      <c r="E892" s="133">
        <v>0.23400000000000001</v>
      </c>
    </row>
    <row r="893" spans="3:6">
      <c r="C893" s="134">
        <v>888</v>
      </c>
      <c r="D893" s="132">
        <v>10774</v>
      </c>
      <c r="E893" s="133">
        <v>0.23200000000000001</v>
      </c>
      <c r="F893" s="133">
        <v>0.24</v>
      </c>
    </row>
    <row r="894" spans="3:6">
      <c r="C894" s="134">
        <v>889</v>
      </c>
      <c r="D894" s="132">
        <v>10774.5</v>
      </c>
      <c r="E894" s="133">
        <v>0.23300000000000001</v>
      </c>
    </row>
    <row r="895" spans="3:6">
      <c r="C895" s="134">
        <v>890</v>
      </c>
      <c r="D895" s="132">
        <v>10775</v>
      </c>
      <c r="E895" s="133">
        <v>0.23200000000000001</v>
      </c>
      <c r="F895" s="133">
        <v>0.22700000000000001</v>
      </c>
    </row>
    <row r="896" spans="3:6">
      <c r="C896" s="134">
        <v>891</v>
      </c>
      <c r="D896" s="132">
        <v>10775.5</v>
      </c>
      <c r="E896" s="133">
        <v>0.23100000000000001</v>
      </c>
      <c r="F896" s="133">
        <v>0.26300000000000001</v>
      </c>
    </row>
    <row r="897" spans="3:6">
      <c r="C897" s="134">
        <v>892</v>
      </c>
      <c r="D897" s="132">
        <v>10776</v>
      </c>
      <c r="E897" s="133">
        <v>0.23499999999999999</v>
      </c>
    </row>
    <row r="898" spans="3:6">
      <c r="C898" s="134">
        <v>893</v>
      </c>
      <c r="D898" s="132">
        <v>10776.5</v>
      </c>
      <c r="E898" s="133">
        <v>0.23799999999999999</v>
      </c>
    </row>
    <row r="899" spans="3:6">
      <c r="C899" s="134">
        <v>894</v>
      </c>
      <c r="D899" s="132">
        <v>10777</v>
      </c>
      <c r="E899" s="133">
        <v>0.24199999999999999</v>
      </c>
      <c r="F899" s="133">
        <v>0.26200000000000001</v>
      </c>
    </row>
    <row r="900" spans="3:6">
      <c r="C900" s="134">
        <v>895</v>
      </c>
      <c r="D900" s="132">
        <v>10777.5</v>
      </c>
      <c r="E900" s="133">
        <v>0.245</v>
      </c>
    </row>
    <row r="901" spans="3:6">
      <c r="C901" s="134">
        <v>896</v>
      </c>
      <c r="D901" s="132">
        <v>10778</v>
      </c>
      <c r="E901" s="133">
        <v>0.25</v>
      </c>
      <c r="F901" s="133">
        <v>0.249</v>
      </c>
    </row>
    <row r="902" spans="3:6">
      <c r="C902" s="134">
        <v>897</v>
      </c>
      <c r="D902" s="132">
        <v>10778.5</v>
      </c>
      <c r="E902" s="133">
        <v>0.251</v>
      </c>
      <c r="F902" s="133">
        <v>0.26400000000000001</v>
      </c>
    </row>
    <row r="903" spans="3:6">
      <c r="C903" s="134">
        <v>898</v>
      </c>
      <c r="D903" s="132">
        <v>10779</v>
      </c>
      <c r="E903" s="133">
        <v>0.25600000000000001</v>
      </c>
    </row>
    <row r="904" spans="3:6">
      <c r="C904" s="134">
        <v>899</v>
      </c>
      <c r="D904" s="132">
        <v>10779.5</v>
      </c>
      <c r="E904" s="133">
        <v>0.25800000000000001</v>
      </c>
      <c r="F904" s="133">
        <v>0.25600000000000001</v>
      </c>
    </row>
    <row r="905" spans="3:6">
      <c r="C905" s="134">
        <v>900</v>
      </c>
      <c r="D905" s="132">
        <v>10780</v>
      </c>
      <c r="E905" s="133">
        <v>0.25600000000000001</v>
      </c>
    </row>
    <row r="906" spans="3:6">
      <c r="C906" s="134">
        <v>901</v>
      </c>
      <c r="D906" s="132">
        <v>10780.5</v>
      </c>
      <c r="E906" s="133">
        <v>0.255</v>
      </c>
      <c r="F906" s="133">
        <v>0.26300000000000001</v>
      </c>
    </row>
    <row r="907" spans="3:6">
      <c r="C907" s="134">
        <v>902</v>
      </c>
      <c r="D907" s="132">
        <v>10781</v>
      </c>
      <c r="E907" s="133">
        <v>0.255</v>
      </c>
    </row>
    <row r="908" spans="3:6">
      <c r="C908" s="134">
        <v>903</v>
      </c>
      <c r="D908" s="132">
        <v>10781.5</v>
      </c>
      <c r="E908" s="133">
        <v>0.25600000000000001</v>
      </c>
      <c r="F908" s="133">
        <v>0.27400000000000002</v>
      </c>
    </row>
    <row r="909" spans="3:6">
      <c r="C909" s="134">
        <v>904</v>
      </c>
      <c r="D909" s="132">
        <v>10782</v>
      </c>
      <c r="E909" s="133">
        <v>0.25700000000000001</v>
      </c>
    </row>
    <row r="910" spans="3:6">
      <c r="C910" s="134">
        <v>905</v>
      </c>
      <c r="D910" s="132">
        <v>10782.5</v>
      </c>
      <c r="E910" s="133">
        <v>0.26100000000000001</v>
      </c>
      <c r="F910" s="133">
        <v>0.24099999999999999</v>
      </c>
    </row>
    <row r="911" spans="3:6">
      <c r="C911" s="134">
        <v>906</v>
      </c>
      <c r="D911" s="132">
        <v>10783</v>
      </c>
      <c r="E911" s="133">
        <v>0.26</v>
      </c>
    </row>
    <row r="912" spans="3:6">
      <c r="C912" s="134">
        <v>907</v>
      </c>
      <c r="D912" s="132">
        <v>10783.5</v>
      </c>
      <c r="E912" s="133">
        <v>0.26200000000000001</v>
      </c>
      <c r="F912" s="133">
        <v>0.27300000000000002</v>
      </c>
    </row>
    <row r="913" spans="3:6">
      <c r="C913" s="134">
        <v>908</v>
      </c>
      <c r="D913" s="132">
        <v>10784</v>
      </c>
      <c r="E913" s="133">
        <v>0.26500000000000001</v>
      </c>
    </row>
    <row r="914" spans="3:6">
      <c r="C914" s="134">
        <v>909</v>
      </c>
      <c r="D914" s="132">
        <v>10784.5</v>
      </c>
      <c r="E914" s="133">
        <v>0.26400000000000001</v>
      </c>
      <c r="F914" s="133">
        <v>0.26</v>
      </c>
    </row>
    <row r="915" spans="3:6">
      <c r="C915" s="134">
        <v>910</v>
      </c>
      <c r="D915" s="132">
        <v>10785</v>
      </c>
      <c r="E915" s="133">
        <v>0.26500000000000001</v>
      </c>
      <c r="F915" s="133">
        <v>0.26800000000000002</v>
      </c>
    </row>
    <row r="916" spans="3:6">
      <c r="C916" s="134">
        <v>911</v>
      </c>
      <c r="D916" s="132">
        <v>10785.5</v>
      </c>
      <c r="E916" s="133">
        <v>0.26500000000000001</v>
      </c>
    </row>
    <row r="917" spans="3:6">
      <c r="C917" s="134">
        <v>912</v>
      </c>
      <c r="D917" s="132">
        <v>10786</v>
      </c>
      <c r="E917" s="133">
        <v>0.26100000000000001</v>
      </c>
      <c r="F917" s="133">
        <v>0.26700000000000002</v>
      </c>
    </row>
    <row r="918" spans="3:6">
      <c r="C918" s="134">
        <v>913</v>
      </c>
      <c r="D918" s="132">
        <v>10786.5</v>
      </c>
      <c r="E918" s="133">
        <v>0.26</v>
      </c>
    </row>
    <row r="919" spans="3:6">
      <c r="C919" s="134">
        <v>914</v>
      </c>
      <c r="D919" s="132">
        <v>10787</v>
      </c>
      <c r="E919" s="133">
        <v>0.26</v>
      </c>
      <c r="F919" s="133">
        <v>0.27800000000000002</v>
      </c>
    </row>
    <row r="920" spans="3:6">
      <c r="C920" s="134">
        <v>915</v>
      </c>
      <c r="D920" s="132">
        <v>10787.5</v>
      </c>
      <c r="E920" s="133">
        <v>0.25900000000000001</v>
      </c>
    </row>
    <row r="921" spans="3:6">
      <c r="C921" s="134">
        <v>916</v>
      </c>
      <c r="D921" s="132">
        <v>10788</v>
      </c>
      <c r="E921" s="133">
        <v>0.253</v>
      </c>
      <c r="F921" s="133">
        <v>0.27500000000000002</v>
      </c>
    </row>
    <row r="922" spans="3:6">
      <c r="C922" s="134">
        <v>917</v>
      </c>
      <c r="D922" s="132">
        <v>10788.5</v>
      </c>
      <c r="E922" s="133">
        <v>0.249</v>
      </c>
    </row>
    <row r="923" spans="3:6">
      <c r="C923" s="134">
        <v>918</v>
      </c>
      <c r="D923" s="132">
        <v>10789</v>
      </c>
      <c r="E923" s="133">
        <v>0.245</v>
      </c>
      <c r="F923" s="133">
        <v>0.26500000000000001</v>
      </c>
    </row>
    <row r="924" spans="3:6">
      <c r="C924" s="134">
        <v>919</v>
      </c>
      <c r="D924" s="132">
        <v>10789.5</v>
      </c>
      <c r="E924" s="133">
        <v>0.246</v>
      </c>
    </row>
    <row r="925" spans="3:6">
      <c r="C925" s="134">
        <v>920</v>
      </c>
      <c r="D925" s="132">
        <v>10790</v>
      </c>
      <c r="E925" s="133">
        <v>0.249</v>
      </c>
      <c r="F925" s="133">
        <v>0.27700000000000002</v>
      </c>
    </row>
    <row r="926" spans="3:6">
      <c r="C926" s="134">
        <v>921</v>
      </c>
      <c r="D926" s="132">
        <v>10790.5</v>
      </c>
      <c r="E926" s="133">
        <v>0.255</v>
      </c>
    </row>
    <row r="927" spans="3:6">
      <c r="C927" s="134">
        <v>922</v>
      </c>
      <c r="D927" s="132">
        <v>10791</v>
      </c>
      <c r="E927" s="133">
        <v>0.25900000000000001</v>
      </c>
    </row>
    <row r="928" spans="3:6">
      <c r="C928" s="134">
        <v>923</v>
      </c>
      <c r="D928" s="132">
        <v>10791.5</v>
      </c>
      <c r="E928" s="133">
        <v>0.26300000000000001</v>
      </c>
      <c r="F928" s="133">
        <v>0.27800000000000002</v>
      </c>
    </row>
    <row r="929" spans="3:6">
      <c r="C929" s="134">
        <v>924</v>
      </c>
      <c r="D929" s="132">
        <v>10792</v>
      </c>
      <c r="E929" s="133">
        <v>0.26300000000000001</v>
      </c>
    </row>
    <row r="930" spans="3:6">
      <c r="C930" s="134">
        <v>925</v>
      </c>
      <c r="D930" s="132">
        <v>10792.5</v>
      </c>
      <c r="E930" s="133">
        <v>0.26400000000000001</v>
      </c>
      <c r="F930" s="133">
        <v>0.26800000000000002</v>
      </c>
    </row>
    <row r="931" spans="3:6">
      <c r="C931" s="134">
        <v>926</v>
      </c>
      <c r="D931" s="132">
        <v>10793</v>
      </c>
      <c r="E931" s="133">
        <v>0.26200000000000001</v>
      </c>
    </row>
    <row r="932" spans="3:6">
      <c r="C932" s="134">
        <v>927</v>
      </c>
      <c r="D932" s="132">
        <v>10793.5</v>
      </c>
      <c r="E932" s="133">
        <v>0.26200000000000001</v>
      </c>
      <c r="F932" s="133">
        <v>0.28100000000000003</v>
      </c>
    </row>
    <row r="933" spans="3:6">
      <c r="C933" s="134">
        <v>928</v>
      </c>
      <c r="D933" s="132">
        <v>10794</v>
      </c>
      <c r="E933" s="133">
        <v>0.26200000000000001</v>
      </c>
      <c r="F933" s="133">
        <v>0.28799999999999998</v>
      </c>
    </row>
    <row r="934" spans="3:6">
      <c r="C934" s="134">
        <v>929</v>
      </c>
      <c r="D934" s="132">
        <v>10794.5</v>
      </c>
      <c r="E934" s="133">
        <v>0.26300000000000001</v>
      </c>
    </row>
    <row r="935" spans="3:6">
      <c r="C935" s="134">
        <v>930</v>
      </c>
      <c r="D935" s="132">
        <v>10795</v>
      </c>
      <c r="E935" s="133">
        <v>0.26300000000000001</v>
      </c>
      <c r="F935" s="133">
        <v>0.23100000000000001</v>
      </c>
    </row>
    <row r="936" spans="3:6">
      <c r="C936" s="134">
        <v>931</v>
      </c>
      <c r="D936" s="132">
        <v>10795.5</v>
      </c>
      <c r="E936" s="133">
        <v>0.26500000000000001</v>
      </c>
    </row>
    <row r="937" spans="3:6">
      <c r="C937" s="134">
        <v>932</v>
      </c>
      <c r="D937" s="132">
        <v>10796</v>
      </c>
      <c r="E937" s="133">
        <v>0.26900000000000002</v>
      </c>
      <c r="F937" s="133">
        <v>0.27900000000000003</v>
      </c>
    </row>
    <row r="938" spans="3:6">
      <c r="C938" s="134">
        <v>933</v>
      </c>
      <c r="D938" s="132">
        <v>10796.5</v>
      </c>
      <c r="E938" s="133">
        <v>0.27100000000000002</v>
      </c>
    </row>
    <row r="939" spans="3:6">
      <c r="C939" s="134">
        <v>934</v>
      </c>
      <c r="D939" s="132">
        <v>10797</v>
      </c>
      <c r="E939" s="133">
        <v>0.27100000000000002</v>
      </c>
      <c r="F939" s="133">
        <v>0.28100000000000003</v>
      </c>
    </row>
    <row r="940" spans="3:6">
      <c r="C940" s="134">
        <v>935</v>
      </c>
      <c r="D940" s="132">
        <v>10797.5</v>
      </c>
      <c r="E940" s="133">
        <v>0.26900000000000002</v>
      </c>
    </row>
    <row r="941" spans="3:6">
      <c r="C941" s="134">
        <v>936</v>
      </c>
      <c r="D941" s="132">
        <v>10798</v>
      </c>
      <c r="E941" s="133">
        <v>0.26800000000000002</v>
      </c>
      <c r="F941" s="133">
        <v>0.26100000000000001</v>
      </c>
    </row>
    <row r="942" spans="3:6">
      <c r="C942" s="134">
        <v>937</v>
      </c>
      <c r="D942" s="132">
        <v>10798.5</v>
      </c>
      <c r="E942" s="133">
        <v>0.26700000000000002</v>
      </c>
    </row>
    <row r="943" spans="3:6">
      <c r="C943" s="134">
        <v>938</v>
      </c>
      <c r="D943" s="132">
        <v>10799</v>
      </c>
      <c r="E943" s="133">
        <v>0.26400000000000001</v>
      </c>
      <c r="F943" s="133">
        <v>0.246</v>
      </c>
    </row>
    <row r="944" spans="3:6">
      <c r="C944" s="134">
        <v>939</v>
      </c>
      <c r="D944" s="132">
        <v>10799.5</v>
      </c>
      <c r="E944" s="133">
        <v>0.26</v>
      </c>
      <c r="F944" s="133">
        <v>0.22600000000000001</v>
      </c>
    </row>
    <row r="945" spans="3:6">
      <c r="C945" s="134">
        <v>940</v>
      </c>
      <c r="D945" s="132">
        <v>10800</v>
      </c>
      <c r="E945" s="133">
        <v>0.255</v>
      </c>
    </row>
    <row r="946" spans="3:6">
      <c r="C946" s="134">
        <v>941</v>
      </c>
      <c r="D946" s="132">
        <v>10800.5</v>
      </c>
      <c r="E946" s="133">
        <v>0.255</v>
      </c>
      <c r="F946" s="133">
        <v>0.25700000000000001</v>
      </c>
    </row>
    <row r="947" spans="3:6">
      <c r="C947" s="134">
        <v>942</v>
      </c>
      <c r="D947" s="132">
        <v>10801</v>
      </c>
      <c r="E947" s="133">
        <v>0.251</v>
      </c>
    </row>
    <row r="948" spans="3:6">
      <c r="C948" s="134">
        <v>943</v>
      </c>
      <c r="D948" s="132">
        <v>10801.5</v>
      </c>
      <c r="E948" s="133">
        <v>0.25</v>
      </c>
    </row>
    <row r="949" spans="3:6">
      <c r="C949" s="134">
        <v>944</v>
      </c>
      <c r="D949" s="132">
        <v>10802</v>
      </c>
      <c r="E949" s="133">
        <v>0.25</v>
      </c>
      <c r="F949" s="133">
        <v>0.27100000000000002</v>
      </c>
    </row>
    <row r="950" spans="3:6">
      <c r="C950" s="134">
        <v>945</v>
      </c>
      <c r="D950" s="132">
        <v>10802.5</v>
      </c>
      <c r="E950" s="133">
        <v>0.252</v>
      </c>
    </row>
    <row r="951" spans="3:6">
      <c r="C951" s="134">
        <v>946</v>
      </c>
      <c r="D951" s="132">
        <v>10803</v>
      </c>
      <c r="E951" s="133">
        <v>0.247</v>
      </c>
      <c r="F951" s="133">
        <v>0.19400000000000001</v>
      </c>
    </row>
    <row r="952" spans="3:6">
      <c r="C952" s="134">
        <v>947</v>
      </c>
      <c r="D952" s="132">
        <v>10803.5</v>
      </c>
      <c r="E952" s="133">
        <v>0.24299999999999999</v>
      </c>
    </row>
    <row r="953" spans="3:6">
      <c r="C953" s="134">
        <v>948</v>
      </c>
      <c r="D953" s="132">
        <v>10804</v>
      </c>
      <c r="E953" s="133">
        <v>0.24299999999999999</v>
      </c>
      <c r="F953" s="133">
        <v>0.27600000000000002</v>
      </c>
    </row>
    <row r="954" spans="3:6">
      <c r="C954" s="134">
        <v>949</v>
      </c>
      <c r="D954" s="132">
        <v>10804.5</v>
      </c>
      <c r="E954" s="133">
        <v>0.254</v>
      </c>
    </row>
    <row r="955" spans="3:6">
      <c r="C955" s="134">
        <v>950</v>
      </c>
      <c r="D955" s="132">
        <v>10805</v>
      </c>
      <c r="E955" s="133">
        <v>0.26600000000000001</v>
      </c>
      <c r="F955" s="133">
        <v>0.27100000000000002</v>
      </c>
    </row>
    <row r="956" spans="3:6">
      <c r="C956" s="134">
        <v>951</v>
      </c>
      <c r="D956" s="132">
        <v>10805.5</v>
      </c>
      <c r="E956" s="133">
        <v>0.26900000000000002</v>
      </c>
    </row>
    <row r="957" spans="3:6">
      <c r="C957" s="134">
        <v>952</v>
      </c>
      <c r="D957" s="132">
        <v>10806</v>
      </c>
      <c r="E957" s="133">
        <v>0.26300000000000001</v>
      </c>
      <c r="F957" s="133">
        <v>0.27100000000000002</v>
      </c>
    </row>
    <row r="958" spans="3:6">
      <c r="C958" s="134">
        <v>953</v>
      </c>
      <c r="D958" s="132">
        <v>10806.5</v>
      </c>
      <c r="E958" s="133">
        <v>0.25800000000000001</v>
      </c>
    </row>
    <row r="959" spans="3:6">
      <c r="C959" s="134">
        <v>954</v>
      </c>
      <c r="D959" s="132">
        <v>10807</v>
      </c>
      <c r="E959" s="133">
        <v>0.254</v>
      </c>
      <c r="F959" s="133">
        <v>0.24099999999999999</v>
      </c>
    </row>
    <row r="960" spans="3:6">
      <c r="C960" s="134">
        <v>955</v>
      </c>
      <c r="D960" s="132">
        <v>10807.5</v>
      </c>
      <c r="E960" s="133">
        <v>0.251</v>
      </c>
    </row>
    <row r="961" spans="3:5">
      <c r="C961" s="134">
        <v>956</v>
      </c>
      <c r="D961" s="132">
        <v>10808</v>
      </c>
      <c r="E961" s="133">
        <v>0.251</v>
      </c>
    </row>
    <row r="962" spans="3:5">
      <c r="C962" s="134">
        <v>957</v>
      </c>
      <c r="D962" s="132">
        <v>10808.5</v>
      </c>
      <c r="E962" s="133">
        <v>0.249</v>
      </c>
    </row>
    <row r="963" spans="3:5">
      <c r="C963" s="134">
        <v>958</v>
      </c>
      <c r="D963" s="132">
        <v>10809</v>
      </c>
      <c r="E963" s="133">
        <v>0.24199999999999999</v>
      </c>
    </row>
    <row r="964" spans="3:5">
      <c r="C964" s="134">
        <v>959</v>
      </c>
      <c r="D964" s="132">
        <v>10809.5</v>
      </c>
      <c r="E964" s="133">
        <v>0.23699999999999999</v>
      </c>
    </row>
    <row r="965" spans="3:5">
      <c r="C965" s="134">
        <v>960</v>
      </c>
      <c r="D965" s="132">
        <v>10810</v>
      </c>
      <c r="E965" s="133">
        <v>0.23699999999999999</v>
      </c>
    </row>
    <row r="966" spans="3:5">
      <c r="C966" s="134">
        <v>961</v>
      </c>
      <c r="D966" s="132">
        <v>10810.5</v>
      </c>
      <c r="E966" s="133">
        <v>0.24</v>
      </c>
    </row>
    <row r="967" spans="3:5">
      <c r="C967" s="134">
        <v>962</v>
      </c>
      <c r="D967" s="132">
        <v>10811</v>
      </c>
      <c r="E967" s="133">
        <v>0.24199999999999999</v>
      </c>
    </row>
    <row r="968" spans="3:5">
      <c r="C968" s="134">
        <v>963</v>
      </c>
      <c r="D968" s="132">
        <v>10811.5</v>
      </c>
      <c r="E968" s="133">
        <v>0.24</v>
      </c>
    </row>
    <row r="969" spans="3:5">
      <c r="C969" s="134">
        <v>964</v>
      </c>
      <c r="D969" s="132">
        <v>10812</v>
      </c>
      <c r="E969" s="133">
        <v>0.23400000000000001</v>
      </c>
    </row>
    <row r="970" spans="3:5">
      <c r="C970" s="134">
        <v>965</v>
      </c>
      <c r="D970" s="132">
        <v>10812.5</v>
      </c>
      <c r="E970" s="133">
        <v>0.22700000000000001</v>
      </c>
    </row>
    <row r="971" spans="3:5">
      <c r="C971" s="134">
        <v>966</v>
      </c>
      <c r="D971" s="132">
        <v>10813</v>
      </c>
      <c r="E971" s="133">
        <v>0.23</v>
      </c>
    </row>
    <row r="972" spans="3:5">
      <c r="C972" s="134">
        <v>967</v>
      </c>
      <c r="D972" s="132">
        <v>10813.5</v>
      </c>
      <c r="E972" s="133">
        <v>0.23300000000000001</v>
      </c>
    </row>
    <row r="973" spans="3:5">
      <c r="C973" s="134">
        <v>968</v>
      </c>
      <c r="D973" s="132">
        <v>10814</v>
      </c>
      <c r="E973" s="133">
        <v>0.23799999999999999</v>
      </c>
    </row>
    <row r="974" spans="3:5">
      <c r="C974" s="134">
        <v>969</v>
      </c>
      <c r="D974" s="132">
        <v>10814.5</v>
      </c>
      <c r="E974" s="133">
        <v>0.247</v>
      </c>
    </row>
    <row r="975" spans="3:5">
      <c r="C975" s="134">
        <v>970</v>
      </c>
      <c r="D975" s="132">
        <v>10815</v>
      </c>
      <c r="E975" s="133">
        <v>0.251</v>
      </c>
    </row>
    <row r="976" spans="3:5">
      <c r="C976" s="134">
        <v>971</v>
      </c>
      <c r="D976" s="132">
        <v>10815.5</v>
      </c>
      <c r="E976" s="133">
        <v>0.253</v>
      </c>
    </row>
    <row r="977" spans="3:5">
      <c r="C977" s="134">
        <v>972</v>
      </c>
      <c r="D977" s="132">
        <v>10816</v>
      </c>
      <c r="E977" s="133">
        <v>0.247</v>
      </c>
    </row>
    <row r="978" spans="3:5">
      <c r="C978" s="134">
        <v>973</v>
      </c>
      <c r="D978" s="132">
        <v>10816.5</v>
      </c>
      <c r="E978" s="133">
        <v>0.24199999999999999</v>
      </c>
    </row>
    <row r="979" spans="3:5">
      <c r="C979" s="134">
        <v>974</v>
      </c>
      <c r="D979" s="132">
        <v>10817</v>
      </c>
      <c r="E979" s="133">
        <v>0.248</v>
      </c>
    </row>
    <row r="980" spans="3:5">
      <c r="C980" s="134">
        <v>975</v>
      </c>
      <c r="D980" s="132">
        <v>10817.5</v>
      </c>
      <c r="E980" s="133">
        <v>0.255</v>
      </c>
    </row>
    <row r="981" spans="3:5">
      <c r="C981" s="134">
        <v>976</v>
      </c>
      <c r="D981" s="132">
        <v>10818</v>
      </c>
      <c r="E981" s="133">
        <v>0.25800000000000001</v>
      </c>
    </row>
    <row r="982" spans="3:5">
      <c r="C982" s="134">
        <v>977</v>
      </c>
      <c r="D982" s="132">
        <v>10818.5</v>
      </c>
      <c r="E982" s="133">
        <v>0.25800000000000001</v>
      </c>
    </row>
    <row r="983" spans="3:5">
      <c r="C983" s="134">
        <v>978</v>
      </c>
      <c r="D983" s="132">
        <v>10819</v>
      </c>
      <c r="E983" s="133">
        <v>0.25600000000000001</v>
      </c>
    </row>
    <row r="984" spans="3:5">
      <c r="C984" s="134">
        <v>979</v>
      </c>
      <c r="D984" s="132">
        <v>10819.5</v>
      </c>
      <c r="E984" s="133">
        <v>0.25900000000000001</v>
      </c>
    </row>
    <row r="985" spans="3:5">
      <c r="C985" s="134">
        <v>980</v>
      </c>
      <c r="D985" s="132">
        <v>10820</v>
      </c>
      <c r="E985" s="133">
        <v>0.26400000000000001</v>
      </c>
    </row>
    <row r="986" spans="3:5">
      <c r="C986" s="134">
        <v>981</v>
      </c>
      <c r="D986" s="132">
        <v>10820.5</v>
      </c>
      <c r="E986" s="133">
        <v>0.26900000000000002</v>
      </c>
    </row>
    <row r="987" spans="3:5">
      <c r="C987" s="134">
        <v>982</v>
      </c>
      <c r="D987" s="132">
        <v>10821</v>
      </c>
      <c r="E987" s="133">
        <v>0.26600000000000001</v>
      </c>
    </row>
    <row r="988" spans="3:5">
      <c r="C988" s="134">
        <v>983</v>
      </c>
      <c r="D988" s="132">
        <v>10821.5</v>
      </c>
      <c r="E988" s="133">
        <v>0.26400000000000001</v>
      </c>
    </row>
    <row r="989" spans="3:5">
      <c r="C989" s="134">
        <v>984</v>
      </c>
      <c r="D989" s="132">
        <v>10822</v>
      </c>
      <c r="E989" s="133">
        <v>0.26600000000000001</v>
      </c>
    </row>
    <row r="990" spans="3:5">
      <c r="C990" s="134">
        <v>985</v>
      </c>
      <c r="D990" s="132">
        <v>10822.5</v>
      </c>
      <c r="E990" s="133">
        <v>0.26400000000000001</v>
      </c>
    </row>
    <row r="991" spans="3:5">
      <c r="C991" s="134">
        <v>986</v>
      </c>
      <c r="D991" s="132">
        <v>10823</v>
      </c>
      <c r="E991" s="133">
        <v>0.26100000000000001</v>
      </c>
    </row>
    <row r="992" spans="3:5">
      <c r="C992" s="134">
        <v>987</v>
      </c>
      <c r="D992" s="132">
        <v>10823.5</v>
      </c>
      <c r="E992" s="133">
        <v>0.25800000000000001</v>
      </c>
    </row>
    <row r="993" spans="3:5">
      <c r="C993" s="134">
        <v>988</v>
      </c>
      <c r="D993" s="132">
        <v>10824</v>
      </c>
      <c r="E993" s="133">
        <v>0.248</v>
      </c>
    </row>
    <row r="994" spans="3:5">
      <c r="C994" s="134">
        <v>989</v>
      </c>
      <c r="D994" s="132">
        <v>10824.5</v>
      </c>
      <c r="E994" s="133">
        <v>0.24</v>
      </c>
    </row>
    <row r="995" spans="3:5">
      <c r="C995" s="134">
        <v>990</v>
      </c>
      <c r="D995" s="132">
        <v>10825</v>
      </c>
      <c r="E995" s="133">
        <v>0.23400000000000001</v>
      </c>
    </row>
    <row r="996" spans="3:5">
      <c r="C996" s="134">
        <v>991</v>
      </c>
      <c r="D996" s="132">
        <v>10825.5</v>
      </c>
      <c r="E996" s="133">
        <v>0.23699999999999999</v>
      </c>
    </row>
    <row r="997" spans="3:5">
      <c r="C997" s="134">
        <v>992</v>
      </c>
      <c r="D997" s="132">
        <v>10826</v>
      </c>
      <c r="E997" s="133">
        <v>0.24</v>
      </c>
    </row>
    <row r="998" spans="3:5">
      <c r="C998" s="134">
        <v>993</v>
      </c>
      <c r="D998" s="132">
        <v>10826.5</v>
      </c>
      <c r="E998" s="133">
        <v>0.23799999999999999</v>
      </c>
    </row>
    <row r="999" spans="3:5">
      <c r="C999" s="134">
        <v>994</v>
      </c>
      <c r="D999" s="132">
        <v>10827</v>
      </c>
      <c r="E999" s="133">
        <v>0.23599999999999999</v>
      </c>
    </row>
    <row r="1000" spans="3:5">
      <c r="C1000" s="134">
        <v>995</v>
      </c>
      <c r="D1000" s="132">
        <v>10827.5</v>
      </c>
      <c r="E1000" s="133">
        <v>0.23200000000000001</v>
      </c>
    </row>
    <row r="1001" spans="3:5">
      <c r="C1001" s="134">
        <v>996</v>
      </c>
      <c r="D1001" s="132">
        <v>10828</v>
      </c>
      <c r="E1001" s="133">
        <v>0.22600000000000001</v>
      </c>
    </row>
    <row r="1002" spans="3:5">
      <c r="C1002" s="134">
        <v>997</v>
      </c>
      <c r="D1002" s="132">
        <v>10828.5</v>
      </c>
      <c r="E1002" s="133">
        <v>0.223</v>
      </c>
    </row>
    <row r="1003" spans="3:5">
      <c r="C1003" s="134">
        <v>998</v>
      </c>
      <c r="D1003" s="132">
        <v>10829</v>
      </c>
      <c r="E1003" s="133">
        <v>0.23</v>
      </c>
    </row>
    <row r="1004" spans="3:5">
      <c r="C1004" s="134">
        <v>999</v>
      </c>
      <c r="D1004" s="132">
        <v>10829.5</v>
      </c>
      <c r="E1004" s="133">
        <v>0.23200000000000001</v>
      </c>
    </row>
    <row r="1005" spans="3:5">
      <c r="C1005" s="134">
        <v>1000</v>
      </c>
      <c r="D1005" s="132">
        <v>10830</v>
      </c>
      <c r="E1005" s="133">
        <v>0.23499999999999999</v>
      </c>
    </row>
    <row r="1006" spans="3:5">
      <c r="C1006" s="134">
        <v>1001</v>
      </c>
      <c r="D1006" s="132">
        <v>10830.5</v>
      </c>
      <c r="E1006" s="133">
        <v>0.23799999999999999</v>
      </c>
    </row>
    <row r="1007" spans="3:5">
      <c r="C1007" s="134">
        <v>1002</v>
      </c>
      <c r="D1007" s="132">
        <v>10831</v>
      </c>
      <c r="E1007" s="133">
        <v>0.23300000000000001</v>
      </c>
    </row>
    <row r="1008" spans="3:5">
      <c r="C1008" s="134">
        <v>1003</v>
      </c>
      <c r="D1008" s="132">
        <v>10831.5</v>
      </c>
      <c r="E1008" s="133">
        <v>0.22700000000000001</v>
      </c>
    </row>
    <row r="1009" spans="3:5">
      <c r="C1009" s="134">
        <v>1004</v>
      </c>
      <c r="D1009" s="132">
        <v>10832</v>
      </c>
      <c r="E1009" s="133">
        <v>0.22800000000000001</v>
      </c>
    </row>
    <row r="1010" spans="3:5">
      <c r="C1010" s="134">
        <v>1005</v>
      </c>
      <c r="D1010" s="132">
        <v>10832.5</v>
      </c>
      <c r="E1010" s="133">
        <v>0.22700000000000001</v>
      </c>
    </row>
    <row r="1011" spans="3:5">
      <c r="C1011" s="134">
        <v>1006</v>
      </c>
      <c r="D1011" s="132">
        <v>10833</v>
      </c>
      <c r="E1011" s="133">
        <v>0.22700000000000001</v>
      </c>
    </row>
    <row r="1012" spans="3:5">
      <c r="C1012" s="134">
        <v>1007</v>
      </c>
      <c r="D1012" s="132">
        <v>10833.5</v>
      </c>
      <c r="E1012" s="133">
        <v>0.23300000000000001</v>
      </c>
    </row>
    <row r="1013" spans="3:5">
      <c r="C1013" s="134">
        <v>1008</v>
      </c>
      <c r="D1013" s="132">
        <v>10834</v>
      </c>
      <c r="E1013" s="133">
        <v>0.24</v>
      </c>
    </row>
    <row r="1014" spans="3:5">
      <c r="C1014" s="134">
        <v>1009</v>
      </c>
      <c r="D1014" s="132">
        <v>10834.5</v>
      </c>
      <c r="E1014" s="133">
        <v>0.249</v>
      </c>
    </row>
    <row r="1015" spans="3:5">
      <c r="C1015" s="134">
        <v>1010</v>
      </c>
      <c r="D1015" s="132">
        <v>10835</v>
      </c>
      <c r="E1015" s="133">
        <v>0.251</v>
      </c>
    </row>
    <row r="1016" spans="3:5">
      <c r="C1016" s="134">
        <v>1011</v>
      </c>
      <c r="D1016" s="132">
        <v>10835.5</v>
      </c>
      <c r="E1016" s="133">
        <v>0.248</v>
      </c>
    </row>
    <row r="1017" spans="3:5">
      <c r="C1017" s="134">
        <v>1012</v>
      </c>
      <c r="D1017" s="132">
        <v>10836</v>
      </c>
      <c r="E1017" s="133">
        <v>0.248</v>
      </c>
    </row>
    <row r="1018" spans="3:5">
      <c r="C1018" s="134">
        <v>1013</v>
      </c>
      <c r="D1018" s="132">
        <v>10836.5</v>
      </c>
      <c r="E1018" s="133">
        <v>0.246</v>
      </c>
    </row>
    <row r="1019" spans="3:5">
      <c r="C1019" s="134">
        <v>1014</v>
      </c>
      <c r="D1019" s="132">
        <v>10837</v>
      </c>
      <c r="E1019" s="133">
        <v>0.248</v>
      </c>
    </row>
    <row r="1020" spans="3:5">
      <c r="C1020" s="134">
        <v>1015</v>
      </c>
      <c r="D1020" s="132">
        <v>10837.5</v>
      </c>
      <c r="E1020" s="133">
        <v>0.24299999999999999</v>
      </c>
    </row>
    <row r="1021" spans="3:5">
      <c r="C1021" s="134">
        <v>1016</v>
      </c>
      <c r="D1021" s="132">
        <v>10838</v>
      </c>
      <c r="E1021" s="133">
        <v>0.24399999999999999</v>
      </c>
    </row>
    <row r="1022" spans="3:5">
      <c r="C1022" s="134">
        <v>1017</v>
      </c>
      <c r="D1022" s="132">
        <v>10838.5</v>
      </c>
      <c r="E1022" s="133">
        <v>0.24299999999999999</v>
      </c>
    </row>
    <row r="1023" spans="3:5">
      <c r="C1023" s="134">
        <v>1018</v>
      </c>
      <c r="D1023" s="132">
        <v>10839</v>
      </c>
      <c r="E1023" s="133">
        <v>0.23499999999999999</v>
      </c>
    </row>
    <row r="1024" spans="3:5">
      <c r="C1024" s="134">
        <v>1019</v>
      </c>
      <c r="D1024" s="132">
        <v>10839.5</v>
      </c>
      <c r="E1024" s="133">
        <v>0.22900000000000001</v>
      </c>
    </row>
    <row r="1025" spans="3:5">
      <c r="C1025" s="134">
        <v>1020</v>
      </c>
      <c r="D1025" s="132">
        <v>10840</v>
      </c>
      <c r="E1025" s="133">
        <v>0.23100000000000001</v>
      </c>
    </row>
    <row r="1026" spans="3:5">
      <c r="C1026" s="134">
        <v>1021</v>
      </c>
      <c r="D1026" s="132">
        <v>10840.5</v>
      </c>
      <c r="E1026" s="133">
        <v>0.23400000000000001</v>
      </c>
    </row>
    <row r="1027" spans="3:5">
      <c r="C1027" s="134">
        <v>1022</v>
      </c>
      <c r="D1027" s="132">
        <v>10841</v>
      </c>
      <c r="E1027" s="133">
        <v>0.23499999999999999</v>
      </c>
    </row>
    <row r="1028" spans="3:5">
      <c r="C1028" s="134">
        <v>1023</v>
      </c>
      <c r="D1028" s="132">
        <v>10841.5</v>
      </c>
      <c r="E1028" s="133">
        <v>0.23499999999999999</v>
      </c>
    </row>
    <row r="1029" spans="3:5">
      <c r="C1029" s="134">
        <v>1024</v>
      </c>
      <c r="D1029" s="132">
        <v>10842</v>
      </c>
      <c r="E1029" s="133">
        <v>0.24099999999999999</v>
      </c>
    </row>
    <row r="1030" spans="3:5">
      <c r="C1030" s="134">
        <v>1025</v>
      </c>
      <c r="D1030" s="132">
        <v>10842.5</v>
      </c>
      <c r="E1030" s="133">
        <v>0.251</v>
      </c>
    </row>
    <row r="1031" spans="3:5">
      <c r="C1031" s="134">
        <v>1026</v>
      </c>
      <c r="D1031" s="132">
        <v>10843</v>
      </c>
      <c r="E1031" s="133">
        <v>0.25700000000000001</v>
      </c>
    </row>
    <row r="1032" spans="3:5">
      <c r="C1032" s="134">
        <v>1027</v>
      </c>
      <c r="D1032" s="132">
        <v>10843.5</v>
      </c>
      <c r="E1032" s="133">
        <v>0.25600000000000001</v>
      </c>
    </row>
    <row r="1033" spans="3:5">
      <c r="C1033" s="134">
        <v>1028</v>
      </c>
      <c r="D1033" s="132">
        <v>10844</v>
      </c>
      <c r="E1033" s="133">
        <v>0.25600000000000001</v>
      </c>
    </row>
    <row r="1034" spans="3:5">
      <c r="C1034" s="134">
        <v>1029</v>
      </c>
      <c r="D1034" s="132">
        <v>10844.5</v>
      </c>
      <c r="E1034" s="133">
        <v>0.255</v>
      </c>
    </row>
    <row r="1035" spans="3:5">
      <c r="C1035" s="134">
        <v>1030</v>
      </c>
      <c r="D1035" s="132">
        <v>10845</v>
      </c>
      <c r="E1035" s="133">
        <v>0.254</v>
      </c>
    </row>
    <row r="1036" spans="3:5">
      <c r="C1036" s="134">
        <v>1031</v>
      </c>
      <c r="D1036" s="132">
        <v>10845.5</v>
      </c>
      <c r="E1036" s="133">
        <v>0.246</v>
      </c>
    </row>
    <row r="1037" spans="3:5">
      <c r="C1037" s="134">
        <v>1032</v>
      </c>
      <c r="D1037" s="132">
        <v>10846</v>
      </c>
      <c r="E1037" s="133">
        <v>0.245</v>
      </c>
    </row>
    <row r="1038" spans="3:5">
      <c r="C1038" s="134">
        <v>1033</v>
      </c>
      <c r="D1038" s="132">
        <v>10846.5</v>
      </c>
      <c r="E1038" s="133">
        <v>0.249</v>
      </c>
    </row>
    <row r="1039" spans="3:5">
      <c r="C1039" s="134">
        <v>1034</v>
      </c>
      <c r="D1039" s="132">
        <v>10847</v>
      </c>
      <c r="E1039" s="133">
        <v>0.249</v>
      </c>
    </row>
    <row r="1040" spans="3:5">
      <c r="C1040" s="134">
        <v>1035</v>
      </c>
      <c r="D1040" s="132">
        <v>10847.5</v>
      </c>
      <c r="E1040" s="133">
        <v>0.248</v>
      </c>
    </row>
    <row r="1041" spans="3:5">
      <c r="C1041" s="134">
        <v>1036</v>
      </c>
      <c r="D1041" s="132">
        <v>10848</v>
      </c>
      <c r="E1041" s="133">
        <v>0.23899999999999999</v>
      </c>
    </row>
    <row r="1042" spans="3:5">
      <c r="C1042" s="134">
        <v>1037</v>
      </c>
      <c r="D1042" s="132">
        <v>10848.5</v>
      </c>
      <c r="E1042" s="133">
        <v>0.23300000000000001</v>
      </c>
    </row>
    <row r="1043" spans="3:5">
      <c r="C1043" s="134">
        <v>1038</v>
      </c>
      <c r="D1043" s="132">
        <v>10849</v>
      </c>
      <c r="E1043" s="133">
        <v>0.22600000000000001</v>
      </c>
    </row>
    <row r="1044" spans="3:5">
      <c r="C1044" s="134">
        <v>1039</v>
      </c>
      <c r="D1044" s="132">
        <v>10849.5</v>
      </c>
      <c r="E1044" s="133">
        <v>0.223</v>
      </c>
    </row>
    <row r="1045" spans="3:5">
      <c r="C1045" s="134">
        <v>1040</v>
      </c>
      <c r="D1045" s="132">
        <v>10850</v>
      </c>
      <c r="E1045" s="133">
        <v>0.218</v>
      </c>
    </row>
    <row r="1046" spans="3:5">
      <c r="C1046" s="134">
        <v>1041</v>
      </c>
      <c r="D1046" s="132">
        <v>10850.5</v>
      </c>
      <c r="E1046" s="133">
        <v>0.215</v>
      </c>
    </row>
    <row r="1047" spans="3:5">
      <c r="C1047" s="134">
        <v>1042</v>
      </c>
      <c r="D1047" s="132">
        <v>10851</v>
      </c>
      <c r="E1047" s="133">
        <v>0.215</v>
      </c>
    </row>
    <row r="1048" spans="3:5">
      <c r="C1048" s="134">
        <v>1043</v>
      </c>
      <c r="D1048" s="132">
        <v>10851.5</v>
      </c>
      <c r="E1048" s="133">
        <v>0.21099999999999999</v>
      </c>
    </row>
    <row r="1049" spans="3:5">
      <c r="C1049" s="134">
        <v>1044</v>
      </c>
      <c r="D1049" s="132">
        <v>10852</v>
      </c>
      <c r="E1049" s="133">
        <v>0.20699999999999999</v>
      </c>
    </row>
    <row r="1050" spans="3:5">
      <c r="C1050" s="134">
        <v>1045</v>
      </c>
      <c r="D1050" s="132">
        <v>10852.5</v>
      </c>
      <c r="E1050" s="133">
        <v>0.2</v>
      </c>
    </row>
    <row r="1051" spans="3:5">
      <c r="C1051" s="134">
        <v>1046</v>
      </c>
      <c r="D1051" s="132">
        <v>10853</v>
      </c>
      <c r="E1051" s="133">
        <v>0.19400000000000001</v>
      </c>
    </row>
    <row r="1052" spans="3:5">
      <c r="C1052" s="134">
        <v>1047</v>
      </c>
      <c r="D1052" s="132">
        <v>10853.5</v>
      </c>
      <c r="E1052" s="133">
        <v>0.19800000000000001</v>
      </c>
    </row>
    <row r="1053" spans="3:5">
      <c r="C1053" s="134">
        <v>1048</v>
      </c>
      <c r="D1053" s="132">
        <v>10854</v>
      </c>
      <c r="E1053" s="133">
        <v>0.20100000000000001</v>
      </c>
    </row>
    <row r="1054" spans="3:5">
      <c r="C1054" s="134">
        <v>1049</v>
      </c>
      <c r="D1054" s="132">
        <v>10854.5</v>
      </c>
      <c r="E1054" s="133">
        <v>0.2</v>
      </c>
    </row>
    <row r="1055" spans="3:5">
      <c r="C1055" s="134">
        <v>1050</v>
      </c>
      <c r="D1055" s="132">
        <v>10855</v>
      </c>
      <c r="E1055" s="133">
        <v>0.20799999999999999</v>
      </c>
    </row>
    <row r="1056" spans="3:5">
      <c r="C1056" s="134">
        <v>1051</v>
      </c>
      <c r="D1056" s="132">
        <v>10855.5</v>
      </c>
      <c r="E1056" s="133">
        <v>0.22</v>
      </c>
    </row>
    <row r="1057" spans="3:5">
      <c r="C1057" s="134">
        <v>1052</v>
      </c>
      <c r="D1057" s="132">
        <v>10856</v>
      </c>
      <c r="E1057" s="133">
        <v>0.22500000000000001</v>
      </c>
    </row>
    <row r="1058" spans="3:5">
      <c r="C1058" s="134">
        <v>1053</v>
      </c>
      <c r="D1058" s="132">
        <v>10856.5</v>
      </c>
      <c r="E1058" s="133">
        <v>0.223</v>
      </c>
    </row>
    <row r="1059" spans="3:5">
      <c r="C1059" s="134">
        <v>1054</v>
      </c>
      <c r="D1059" s="132">
        <v>10857</v>
      </c>
      <c r="E1059" s="133">
        <v>0.22</v>
      </c>
    </row>
    <row r="1060" spans="3:5">
      <c r="C1060" s="134">
        <v>1055</v>
      </c>
      <c r="D1060" s="132">
        <v>10857.5</v>
      </c>
      <c r="E1060" s="133">
        <v>0.222</v>
      </c>
    </row>
    <row r="1061" spans="3:5">
      <c r="C1061" s="134">
        <v>1056</v>
      </c>
      <c r="D1061" s="132">
        <v>10858</v>
      </c>
      <c r="E1061" s="133">
        <v>0.219</v>
      </c>
    </row>
    <row r="1062" spans="3:5">
      <c r="C1062" s="134">
        <v>1057</v>
      </c>
      <c r="D1062" s="132">
        <v>10858.5</v>
      </c>
      <c r="E1062" s="133">
        <v>0.216</v>
      </c>
    </row>
    <row r="1063" spans="3:5">
      <c r="C1063" s="134">
        <v>1058</v>
      </c>
      <c r="D1063" s="132">
        <v>10859</v>
      </c>
      <c r="E1063" s="133">
        <v>0.223</v>
      </c>
    </row>
    <row r="1064" spans="3:5">
      <c r="C1064" s="134">
        <v>1059</v>
      </c>
      <c r="D1064" s="132">
        <v>10859.5</v>
      </c>
      <c r="E1064" s="133">
        <v>0.22900000000000001</v>
      </c>
    </row>
    <row r="1065" spans="3:5">
      <c r="C1065" s="134">
        <v>1060</v>
      </c>
      <c r="D1065" s="132">
        <v>10860</v>
      </c>
      <c r="E1065" s="133">
        <v>0.23499999999999999</v>
      </c>
    </row>
    <row r="1066" spans="3:5">
      <c r="C1066" s="134">
        <v>1061</v>
      </c>
      <c r="D1066" s="132">
        <v>10860.5</v>
      </c>
      <c r="E1066" s="133">
        <v>0.23100000000000001</v>
      </c>
    </row>
    <row r="1067" spans="3:5">
      <c r="C1067" s="134">
        <v>1062</v>
      </c>
      <c r="D1067" s="132">
        <v>10861</v>
      </c>
      <c r="E1067" s="133">
        <v>0.23200000000000001</v>
      </c>
    </row>
    <row r="1068" spans="3:5">
      <c r="C1068" s="134">
        <v>1063</v>
      </c>
      <c r="D1068" s="132">
        <v>10861.5</v>
      </c>
      <c r="E1068" s="133">
        <v>0.23300000000000001</v>
      </c>
    </row>
    <row r="1069" spans="3:5">
      <c r="C1069" s="134">
        <v>1064</v>
      </c>
      <c r="D1069" s="132">
        <v>10862</v>
      </c>
      <c r="E1069" s="133">
        <v>0.23200000000000001</v>
      </c>
    </row>
    <row r="1070" spans="3:5">
      <c r="C1070" s="134">
        <v>1065</v>
      </c>
      <c r="D1070" s="132">
        <v>10862.5</v>
      </c>
      <c r="E1070" s="133">
        <v>0.23400000000000001</v>
      </c>
    </row>
    <row r="1071" spans="3:5">
      <c r="C1071" s="134">
        <v>1066</v>
      </c>
      <c r="D1071" s="132">
        <v>10863</v>
      </c>
      <c r="E1071" s="133">
        <v>0.22900000000000001</v>
      </c>
    </row>
    <row r="1072" spans="3:5">
      <c r="C1072" s="134">
        <v>1067</v>
      </c>
      <c r="D1072" s="132">
        <v>10863.5</v>
      </c>
      <c r="E1072" s="133">
        <v>0.22700000000000001</v>
      </c>
    </row>
    <row r="1073" spans="3:5">
      <c r="C1073" s="134">
        <v>1068</v>
      </c>
      <c r="D1073" s="132">
        <v>10864</v>
      </c>
      <c r="E1073" s="133">
        <v>0.224</v>
      </c>
    </row>
    <row r="1074" spans="3:5">
      <c r="C1074" s="134">
        <v>1069</v>
      </c>
      <c r="D1074" s="132">
        <v>10864.5</v>
      </c>
      <c r="E1074" s="133">
        <v>0.22900000000000001</v>
      </c>
    </row>
    <row r="1075" spans="3:5">
      <c r="C1075" s="134">
        <v>1070</v>
      </c>
      <c r="D1075" s="132">
        <v>10865</v>
      </c>
      <c r="E1075" s="133">
        <v>0.23699999999999999</v>
      </c>
    </row>
    <row r="1076" spans="3:5">
      <c r="C1076" s="134">
        <v>1071</v>
      </c>
      <c r="D1076" s="132">
        <v>10865.5</v>
      </c>
      <c r="E1076" s="133">
        <v>0.247</v>
      </c>
    </row>
    <row r="1077" spans="3:5">
      <c r="C1077" s="134">
        <v>1072</v>
      </c>
      <c r="D1077" s="132">
        <v>10866</v>
      </c>
      <c r="E1077" s="133">
        <v>0.254</v>
      </c>
    </row>
    <row r="1078" spans="3:5">
      <c r="C1078" s="134">
        <v>1073</v>
      </c>
      <c r="D1078" s="132">
        <v>10866.5</v>
      </c>
      <c r="E1078" s="133">
        <v>0.249</v>
      </c>
    </row>
    <row r="1079" spans="3:5">
      <c r="C1079" s="134">
        <v>1074</v>
      </c>
      <c r="D1079" s="132">
        <v>10867</v>
      </c>
      <c r="E1079" s="133">
        <v>0.248</v>
      </c>
    </row>
    <row r="1080" spans="3:5">
      <c r="C1080" s="134">
        <v>1075</v>
      </c>
      <c r="D1080" s="132">
        <v>10867.5</v>
      </c>
      <c r="E1080" s="133">
        <v>0.248</v>
      </c>
    </row>
    <row r="1081" spans="3:5">
      <c r="C1081" s="134">
        <v>1076</v>
      </c>
      <c r="D1081" s="132">
        <v>10868</v>
      </c>
      <c r="E1081" s="133">
        <v>0.247</v>
      </c>
    </row>
    <row r="1082" spans="3:5">
      <c r="C1082" s="134">
        <v>1077</v>
      </c>
      <c r="D1082" s="132">
        <v>10868.5</v>
      </c>
      <c r="E1082" s="133">
        <v>0.24299999999999999</v>
      </c>
    </row>
    <row r="1083" spans="3:5">
      <c r="C1083" s="134">
        <v>1078</v>
      </c>
      <c r="D1083" s="132">
        <v>10869</v>
      </c>
      <c r="E1083" s="133">
        <v>0.247</v>
      </c>
    </row>
    <row r="1084" spans="3:5">
      <c r="C1084" s="134">
        <v>1079</v>
      </c>
      <c r="D1084" s="132">
        <v>10869.5</v>
      </c>
      <c r="E1084" s="133">
        <v>0.25</v>
      </c>
    </row>
    <row r="1085" spans="3:5">
      <c r="C1085" s="134">
        <v>1080</v>
      </c>
      <c r="D1085" s="132">
        <v>10870</v>
      </c>
      <c r="E1085" s="133">
        <v>0.254</v>
      </c>
    </row>
    <row r="1086" spans="3:5">
      <c r="C1086" s="134">
        <v>1081</v>
      </c>
      <c r="D1086" s="132">
        <v>10870.5</v>
      </c>
      <c r="E1086" s="133">
        <v>0.25600000000000001</v>
      </c>
    </row>
    <row r="1087" spans="3:5">
      <c r="C1087" s="134">
        <v>1082</v>
      </c>
      <c r="D1087" s="132">
        <v>10871</v>
      </c>
      <c r="E1087" s="133">
        <v>0.25600000000000001</v>
      </c>
    </row>
    <row r="1088" spans="3:5">
      <c r="C1088" s="134">
        <v>1083</v>
      </c>
      <c r="D1088" s="132">
        <v>10871.5</v>
      </c>
      <c r="E1088" s="133">
        <v>0.25900000000000001</v>
      </c>
    </row>
    <row r="1089" spans="3:5">
      <c r="C1089" s="134">
        <v>1084</v>
      </c>
      <c r="D1089" s="132">
        <v>10872</v>
      </c>
      <c r="E1089" s="133">
        <v>0.26</v>
      </c>
    </row>
    <row r="1090" spans="3:5">
      <c r="C1090" s="134">
        <v>1085</v>
      </c>
      <c r="D1090" s="132">
        <v>10872.5</v>
      </c>
      <c r="E1090" s="133">
        <v>0.26100000000000001</v>
      </c>
    </row>
    <row r="1091" spans="3:5">
      <c r="C1091" s="134">
        <v>1086</v>
      </c>
      <c r="D1091" s="132">
        <v>10873</v>
      </c>
      <c r="E1091" s="133">
        <v>0.25800000000000001</v>
      </c>
    </row>
    <row r="1092" spans="3:5">
      <c r="C1092" s="134">
        <v>1087</v>
      </c>
      <c r="D1092" s="132">
        <v>10873.5</v>
      </c>
      <c r="E1092" s="133">
        <v>0.254</v>
      </c>
    </row>
    <row r="1093" spans="3:5">
      <c r="C1093" s="134">
        <v>1088</v>
      </c>
      <c r="D1093" s="132">
        <v>10874</v>
      </c>
      <c r="E1093" s="133">
        <v>0.251</v>
      </c>
    </row>
    <row r="1094" spans="3:5">
      <c r="C1094" s="134">
        <v>1089</v>
      </c>
      <c r="D1094" s="132">
        <v>10874.5</v>
      </c>
      <c r="E1094" s="133">
        <v>0.253</v>
      </c>
    </row>
    <row r="1095" spans="3:5">
      <c r="C1095" s="134">
        <v>1090</v>
      </c>
      <c r="D1095" s="132">
        <v>10875</v>
      </c>
      <c r="E1095" s="133">
        <v>0.254</v>
      </c>
    </row>
    <row r="1096" spans="3:5">
      <c r="C1096" s="134">
        <v>1091</v>
      </c>
      <c r="D1096" s="132">
        <v>10875.5</v>
      </c>
      <c r="E1096" s="133">
        <v>0.254</v>
      </c>
    </row>
    <row r="1097" spans="3:5">
      <c r="C1097" s="134">
        <v>1092</v>
      </c>
      <c r="D1097" s="132">
        <v>10876</v>
      </c>
      <c r="E1097" s="133">
        <v>0.252</v>
      </c>
    </row>
    <row r="1098" spans="3:5">
      <c r="C1098" s="134">
        <v>1093</v>
      </c>
      <c r="D1098" s="132">
        <v>10876.5</v>
      </c>
      <c r="E1098" s="133">
        <v>0.23400000000000001</v>
      </c>
    </row>
    <row r="1099" spans="3:5">
      <c r="C1099" s="134">
        <v>1094</v>
      </c>
      <c r="D1099" s="132">
        <v>10877</v>
      </c>
      <c r="E1099" s="133">
        <v>0.218</v>
      </c>
    </row>
    <row r="1100" spans="3:5">
      <c r="C1100" s="134">
        <v>1095</v>
      </c>
      <c r="D1100" s="132">
        <v>10877.5</v>
      </c>
      <c r="E1100" s="133">
        <v>0.20200000000000001</v>
      </c>
    </row>
    <row r="1101" spans="3:5">
      <c r="C1101" s="134">
        <v>1096</v>
      </c>
      <c r="D1101" s="132">
        <v>10878</v>
      </c>
      <c r="E1101" s="133">
        <v>0.189</v>
      </c>
    </row>
    <row r="1102" spans="3:5">
      <c r="C1102" s="134">
        <v>1097</v>
      </c>
      <c r="D1102" s="132">
        <v>10878.5</v>
      </c>
      <c r="E1102" s="133">
        <v>0.20300000000000001</v>
      </c>
    </row>
    <row r="1103" spans="3:5">
      <c r="C1103" s="134">
        <v>1098</v>
      </c>
      <c r="D1103" s="132">
        <v>10879</v>
      </c>
      <c r="E1103" s="133">
        <v>0.22</v>
      </c>
    </row>
    <row r="1104" spans="3:5">
      <c r="C1104" s="134">
        <v>1099</v>
      </c>
      <c r="D1104" s="132">
        <v>10879.5</v>
      </c>
      <c r="E1104" s="133">
        <v>0.23300000000000001</v>
      </c>
    </row>
    <row r="1105" spans="3:5">
      <c r="C1105" s="134">
        <v>1100</v>
      </c>
      <c r="D1105" s="132">
        <v>10880</v>
      </c>
      <c r="E1105" s="133">
        <v>0.24299999999999999</v>
      </c>
    </row>
    <row r="1106" spans="3:5">
      <c r="C1106" s="134">
        <v>1101</v>
      </c>
      <c r="D1106" s="132">
        <v>10880.5</v>
      </c>
      <c r="E1106" s="133">
        <v>0.246</v>
      </c>
    </row>
    <row r="1107" spans="3:5">
      <c r="C1107" s="134">
        <v>1102</v>
      </c>
      <c r="D1107" s="132">
        <v>10881</v>
      </c>
      <c r="E1107" s="133">
        <v>0.24399999999999999</v>
      </c>
    </row>
    <row r="1108" spans="3:5">
      <c r="C1108" s="134">
        <v>1103</v>
      </c>
      <c r="D1108" s="132">
        <v>10881.5</v>
      </c>
      <c r="E1108" s="133">
        <v>0.24</v>
      </c>
    </row>
    <row r="1109" spans="3:5">
      <c r="C1109" s="134">
        <v>1104</v>
      </c>
      <c r="D1109" s="132">
        <v>10882</v>
      </c>
      <c r="E1109" s="133">
        <v>0.23899999999999999</v>
      </c>
    </row>
    <row r="1110" spans="3:5">
      <c r="C1110" s="134">
        <v>1105</v>
      </c>
      <c r="D1110" s="132">
        <v>10882.5</v>
      </c>
      <c r="E1110" s="133">
        <v>0.24099999999999999</v>
      </c>
    </row>
    <row r="1111" spans="3:5">
      <c r="C1111" s="134">
        <v>1106</v>
      </c>
      <c r="D1111" s="132">
        <v>10883</v>
      </c>
      <c r="E1111" s="133">
        <v>0.24199999999999999</v>
      </c>
    </row>
    <row r="1112" spans="3:5">
      <c r="C1112" s="134">
        <v>1107</v>
      </c>
      <c r="D1112" s="132">
        <v>10883.5</v>
      </c>
      <c r="E1112" s="133">
        <v>0.24</v>
      </c>
    </row>
    <row r="1113" spans="3:5">
      <c r="C1113" s="134">
        <v>1108</v>
      </c>
      <c r="D1113" s="132">
        <v>10884</v>
      </c>
      <c r="E1113" s="133">
        <v>0.24099999999999999</v>
      </c>
    </row>
    <row r="1114" spans="3:5">
      <c r="C1114" s="134">
        <v>1109</v>
      </c>
      <c r="D1114" s="132">
        <v>10884.5</v>
      </c>
      <c r="E1114" s="133">
        <v>0.23799999999999999</v>
      </c>
    </row>
    <row r="1115" spans="3:5">
      <c r="C1115" s="134">
        <v>1110</v>
      </c>
      <c r="D1115" s="132">
        <v>10885</v>
      </c>
      <c r="E1115" s="133">
        <v>0.23300000000000001</v>
      </c>
    </row>
    <row r="1116" spans="3:5">
      <c r="C1116" s="134">
        <v>1111</v>
      </c>
      <c r="D1116" s="132">
        <v>10885.5</v>
      </c>
      <c r="E1116" s="133">
        <v>0.23300000000000001</v>
      </c>
    </row>
    <row r="1117" spans="3:5">
      <c r="C1117" s="134">
        <v>1112</v>
      </c>
      <c r="D1117" s="132">
        <v>10886</v>
      </c>
      <c r="E1117" s="133">
        <v>0.23100000000000001</v>
      </c>
    </row>
    <row r="1118" spans="3:5">
      <c r="C1118" s="134">
        <v>1113</v>
      </c>
      <c r="D1118" s="132">
        <v>10886.5</v>
      </c>
      <c r="E1118" s="133">
        <v>0.23</v>
      </c>
    </row>
    <row r="1119" spans="3:5">
      <c r="C1119" s="134">
        <v>1114</v>
      </c>
      <c r="D1119" s="132">
        <v>10887</v>
      </c>
      <c r="E1119" s="133">
        <v>0.23300000000000001</v>
      </c>
    </row>
    <row r="1120" spans="3:5">
      <c r="C1120" s="134">
        <v>1115</v>
      </c>
      <c r="D1120" s="132">
        <v>10887.5</v>
      </c>
      <c r="E1120" s="133">
        <v>0.23300000000000001</v>
      </c>
    </row>
    <row r="1121" spans="3:5">
      <c r="C1121" s="134">
        <v>1116</v>
      </c>
      <c r="D1121" s="132">
        <v>10888</v>
      </c>
      <c r="E1121" s="133">
        <v>0.23300000000000001</v>
      </c>
    </row>
    <row r="1122" spans="3:5">
      <c r="C1122" s="134">
        <v>1117</v>
      </c>
      <c r="D1122" s="132">
        <v>10888.5</v>
      </c>
      <c r="E1122" s="133">
        <v>0.23300000000000001</v>
      </c>
    </row>
    <row r="1123" spans="3:5">
      <c r="C1123" s="134">
        <v>1118</v>
      </c>
      <c r="D1123" s="132">
        <v>10889</v>
      </c>
      <c r="E1123" s="133">
        <v>0.23100000000000001</v>
      </c>
    </row>
    <row r="1124" spans="3:5">
      <c r="C1124" s="134">
        <v>1119</v>
      </c>
      <c r="D1124" s="132">
        <v>10889.5</v>
      </c>
      <c r="E1124" s="133">
        <v>0.22900000000000001</v>
      </c>
    </row>
    <row r="1125" spans="3:5">
      <c r="C1125" s="134">
        <v>1120</v>
      </c>
      <c r="D1125" s="132">
        <v>10890</v>
      </c>
      <c r="E1125" s="133">
        <v>0.23100000000000001</v>
      </c>
    </row>
    <row r="1126" spans="3:5">
      <c r="C1126" s="134">
        <v>1121</v>
      </c>
      <c r="D1126" s="132">
        <v>10890.5</v>
      </c>
      <c r="E1126" s="133">
        <v>0.23</v>
      </c>
    </row>
    <row r="1127" spans="3:5">
      <c r="C1127" s="134">
        <v>1122</v>
      </c>
      <c r="D1127" s="132">
        <v>10891</v>
      </c>
      <c r="E1127" s="133">
        <v>0.23</v>
      </c>
    </row>
    <row r="1128" spans="3:5">
      <c r="C1128" s="134">
        <v>1123</v>
      </c>
      <c r="D1128" s="132">
        <v>10891.5</v>
      </c>
      <c r="E1128" s="133">
        <v>0.23400000000000001</v>
      </c>
    </row>
    <row r="1129" spans="3:5">
      <c r="C1129" s="134">
        <v>1124</v>
      </c>
      <c r="D1129" s="132">
        <v>10892</v>
      </c>
      <c r="E1129" s="133">
        <v>0.23599999999999999</v>
      </c>
    </row>
    <row r="1130" spans="3:5">
      <c r="C1130" s="134">
        <v>1125</v>
      </c>
      <c r="D1130" s="132">
        <v>10892.5</v>
      </c>
      <c r="E1130" s="133">
        <v>0.22800000000000001</v>
      </c>
    </row>
    <row r="1131" spans="3:5">
      <c r="C1131" s="134">
        <v>1126</v>
      </c>
      <c r="D1131" s="132">
        <v>10893</v>
      </c>
      <c r="E1131" s="133">
        <v>0.221</v>
      </c>
    </row>
    <row r="1132" spans="3:5">
      <c r="C1132" s="134">
        <v>1127</v>
      </c>
      <c r="D1132" s="132">
        <v>10893.5</v>
      </c>
      <c r="E1132" s="133">
        <v>0.21199999999999999</v>
      </c>
    </row>
    <row r="1133" spans="3:5">
      <c r="C1133" s="134">
        <v>1128</v>
      </c>
      <c r="D1133" s="132">
        <v>10894</v>
      </c>
      <c r="E1133" s="133">
        <v>0.21099999999999999</v>
      </c>
    </row>
    <row r="1134" spans="3:5">
      <c r="C1134" s="134">
        <v>1129</v>
      </c>
      <c r="D1134" s="132">
        <v>10894.5</v>
      </c>
      <c r="E1134" s="133">
        <v>0.20899999999999999</v>
      </c>
    </row>
    <row r="1135" spans="3:5">
      <c r="C1135" s="134">
        <v>1130</v>
      </c>
      <c r="D1135" s="132">
        <v>10895</v>
      </c>
      <c r="E1135" s="133">
        <v>0.20599999999999999</v>
      </c>
    </row>
    <row r="1136" spans="3:5">
      <c r="C1136" s="134">
        <v>1131</v>
      </c>
      <c r="D1136" s="132">
        <v>10895.5</v>
      </c>
      <c r="E1136" s="133">
        <v>0.19600000000000001</v>
      </c>
    </row>
    <row r="1137" spans="3:5">
      <c r="C1137" s="134">
        <v>1132</v>
      </c>
      <c r="D1137" s="132">
        <v>10896</v>
      </c>
      <c r="E1137" s="133">
        <v>0.189</v>
      </c>
    </row>
    <row r="1138" spans="3:5">
      <c r="C1138" s="134">
        <v>1133</v>
      </c>
      <c r="D1138" s="132">
        <v>10896.5</v>
      </c>
      <c r="E1138" s="133">
        <v>0.19</v>
      </c>
    </row>
    <row r="1139" spans="3:5">
      <c r="C1139" s="134">
        <v>1134</v>
      </c>
      <c r="D1139" s="132">
        <v>10897</v>
      </c>
      <c r="E1139" s="133">
        <v>0.192</v>
      </c>
    </row>
    <row r="1140" spans="3:5">
      <c r="C1140" s="134">
        <v>1135</v>
      </c>
      <c r="D1140" s="132">
        <v>10897.5</v>
      </c>
      <c r="E1140" s="133">
        <v>0.19700000000000001</v>
      </c>
    </row>
    <row r="1141" spans="3:5">
      <c r="C1141" s="134">
        <v>1136</v>
      </c>
      <c r="D1141" s="132">
        <v>10898</v>
      </c>
      <c r="E1141" s="133">
        <v>0.20399999999999999</v>
      </c>
    </row>
    <row r="1142" spans="3:5">
      <c r="C1142" s="134">
        <v>1137</v>
      </c>
      <c r="D1142" s="132">
        <v>10898.5</v>
      </c>
      <c r="E1142" s="133">
        <v>0.20499999999999999</v>
      </c>
    </row>
    <row r="1143" spans="3:5">
      <c r="C1143" s="134">
        <v>1138</v>
      </c>
      <c r="D1143" s="132">
        <v>10899</v>
      </c>
      <c r="E1143" s="133">
        <v>0.19900000000000001</v>
      </c>
    </row>
    <row r="1144" spans="3:5">
      <c r="C1144" s="134">
        <v>1139</v>
      </c>
      <c r="D1144" s="132">
        <v>10899.5</v>
      </c>
      <c r="E1144" s="133">
        <v>0.193</v>
      </c>
    </row>
    <row r="1145" spans="3:5">
      <c r="C1145" s="134">
        <v>1140</v>
      </c>
      <c r="D1145" s="132">
        <v>10900</v>
      </c>
      <c r="E1145" s="133">
        <v>0.192</v>
      </c>
    </row>
    <row r="1146" spans="3:5">
      <c r="C1146" s="134">
        <v>1141</v>
      </c>
      <c r="D1146" s="132">
        <v>10900.5</v>
      </c>
      <c r="E1146" s="133">
        <v>0.19400000000000001</v>
      </c>
    </row>
    <row r="1147" spans="3:5">
      <c r="C1147" s="134">
        <v>1142</v>
      </c>
      <c r="D1147" s="132">
        <v>10901</v>
      </c>
      <c r="E1147" s="133">
        <v>0.193</v>
      </c>
    </row>
    <row r="1148" spans="3:5">
      <c r="C1148" s="134">
        <v>1143</v>
      </c>
      <c r="D1148" s="132">
        <v>10901.5</v>
      </c>
      <c r="E1148" s="133">
        <v>0.19500000000000001</v>
      </c>
    </row>
    <row r="1149" spans="3:5">
      <c r="C1149" s="134">
        <v>1144</v>
      </c>
      <c r="D1149" s="132">
        <v>10902</v>
      </c>
      <c r="E1149" s="133">
        <v>0.20599999999999999</v>
      </c>
    </row>
    <row r="1150" spans="3:5">
      <c r="C1150" s="134">
        <v>1145</v>
      </c>
      <c r="D1150" s="132">
        <v>10902.5</v>
      </c>
      <c r="E1150" s="133">
        <v>0.217</v>
      </c>
    </row>
    <row r="1151" spans="3:5">
      <c r="C1151" s="134">
        <v>1146</v>
      </c>
      <c r="D1151" s="132">
        <v>10903</v>
      </c>
      <c r="E1151" s="133">
        <v>0.22500000000000001</v>
      </c>
    </row>
    <row r="1152" spans="3:5">
      <c r="C1152" s="134">
        <v>1147</v>
      </c>
      <c r="D1152" s="132">
        <v>10903.5</v>
      </c>
      <c r="E1152" s="133">
        <v>0.22700000000000001</v>
      </c>
    </row>
    <row r="1153" spans="3:5">
      <c r="C1153" s="134">
        <v>1148</v>
      </c>
      <c r="D1153" s="132">
        <v>10904</v>
      </c>
      <c r="E1153" s="133">
        <v>0.22700000000000001</v>
      </c>
    </row>
    <row r="1154" spans="3:5">
      <c r="C1154" s="134">
        <v>1149</v>
      </c>
      <c r="D1154" s="132">
        <v>10904.5</v>
      </c>
      <c r="E1154" s="133">
        <v>0.224</v>
      </c>
    </row>
    <row r="1155" spans="3:5">
      <c r="C1155" s="134">
        <v>1150</v>
      </c>
      <c r="D1155" s="132">
        <v>10905</v>
      </c>
      <c r="E1155" s="133">
        <v>0.22500000000000001</v>
      </c>
    </row>
    <row r="1156" spans="3:5">
      <c r="C1156" s="134">
        <v>1151</v>
      </c>
      <c r="D1156" s="132">
        <v>10905.5</v>
      </c>
      <c r="E1156" s="133">
        <v>0.22500000000000001</v>
      </c>
    </row>
    <row r="1157" spans="3:5">
      <c r="C1157" s="134">
        <v>1152</v>
      </c>
      <c r="D1157" s="132">
        <v>10906</v>
      </c>
      <c r="E1157" s="133">
        <v>0.22700000000000001</v>
      </c>
    </row>
    <row r="1158" spans="3:5">
      <c r="C1158" s="134">
        <v>1153</v>
      </c>
      <c r="D1158" s="132">
        <v>10906.5</v>
      </c>
      <c r="E1158" s="133">
        <v>0.23</v>
      </c>
    </row>
    <row r="1159" spans="3:5">
      <c r="C1159" s="134">
        <v>1154</v>
      </c>
      <c r="D1159" s="132">
        <v>10907</v>
      </c>
      <c r="E1159" s="133">
        <v>0.22900000000000001</v>
      </c>
    </row>
    <row r="1160" spans="3:5">
      <c r="C1160" s="134">
        <v>1155</v>
      </c>
      <c r="D1160" s="132">
        <v>10907.5</v>
      </c>
      <c r="E1160" s="133">
        <v>0.219</v>
      </c>
    </row>
    <row r="1161" spans="3:5">
      <c r="C1161" s="134">
        <v>1156</v>
      </c>
      <c r="D1161" s="132">
        <v>10908</v>
      </c>
      <c r="E1161" s="133">
        <v>0.21099999999999999</v>
      </c>
    </row>
    <row r="1162" spans="3:5">
      <c r="C1162" s="134">
        <v>1157</v>
      </c>
      <c r="D1162" s="132">
        <v>10908.5</v>
      </c>
      <c r="E1162" s="133">
        <v>0.20699999999999999</v>
      </c>
    </row>
    <row r="1163" spans="3:5">
      <c r="C1163" s="134">
        <v>1158</v>
      </c>
      <c r="D1163" s="132">
        <v>10909</v>
      </c>
      <c r="E1163" s="133">
        <v>0.21299999999999999</v>
      </c>
    </row>
    <row r="1164" spans="3:5">
      <c r="C1164" s="134">
        <v>1159</v>
      </c>
      <c r="D1164" s="132">
        <v>10909.5</v>
      </c>
      <c r="E1164" s="133">
        <v>0.223</v>
      </c>
    </row>
    <row r="1165" spans="3:5">
      <c r="C1165" s="134">
        <v>1160</v>
      </c>
      <c r="D1165" s="132">
        <v>10910</v>
      </c>
      <c r="E1165" s="133">
        <v>0.23</v>
      </c>
    </row>
    <row r="1166" spans="3:5">
      <c r="C1166" s="134">
        <v>1161</v>
      </c>
      <c r="D1166" s="132">
        <v>10910.5</v>
      </c>
      <c r="E1166" s="133">
        <v>0.23100000000000001</v>
      </c>
    </row>
    <row r="1167" spans="3:5">
      <c r="C1167" s="134">
        <v>1162</v>
      </c>
      <c r="D1167" s="132">
        <v>10911</v>
      </c>
      <c r="E1167" s="133">
        <v>0.23400000000000001</v>
      </c>
    </row>
    <row r="1168" spans="3:5">
      <c r="C1168" s="134">
        <v>1163</v>
      </c>
      <c r="D1168" s="132">
        <v>10911.5</v>
      </c>
      <c r="E1168" s="133">
        <v>0.23899999999999999</v>
      </c>
    </row>
    <row r="1169" spans="3:5">
      <c r="C1169" s="134">
        <v>1164</v>
      </c>
      <c r="D1169" s="132">
        <v>10912</v>
      </c>
      <c r="E1169" s="133">
        <v>0.23499999999999999</v>
      </c>
    </row>
    <row r="1170" spans="3:5">
      <c r="C1170" s="134">
        <v>1165</v>
      </c>
      <c r="D1170" s="132">
        <v>10912.5</v>
      </c>
      <c r="E1170" s="133">
        <v>0.23100000000000001</v>
      </c>
    </row>
    <row r="1171" spans="3:5">
      <c r="C1171" s="134">
        <v>1166</v>
      </c>
      <c r="D1171" s="132">
        <v>10913</v>
      </c>
      <c r="E1171" s="133">
        <v>0.22900000000000001</v>
      </c>
    </row>
    <row r="1172" spans="3:5">
      <c r="C1172" s="134">
        <v>1167</v>
      </c>
      <c r="D1172" s="132">
        <v>10913.5</v>
      </c>
      <c r="E1172" s="133">
        <v>0.23</v>
      </c>
    </row>
    <row r="1173" spans="3:5">
      <c r="C1173" s="134">
        <v>1168</v>
      </c>
      <c r="D1173" s="132">
        <v>10914</v>
      </c>
      <c r="E1173" s="133">
        <v>0.22600000000000001</v>
      </c>
    </row>
    <row r="1174" spans="3:5">
      <c r="C1174" s="134">
        <v>1169</v>
      </c>
      <c r="D1174" s="132">
        <v>10914.5</v>
      </c>
      <c r="E1174" s="133">
        <v>0.22</v>
      </c>
    </row>
    <row r="1175" spans="3:5">
      <c r="C1175" s="134">
        <v>1170</v>
      </c>
      <c r="D1175" s="132">
        <v>10915</v>
      </c>
      <c r="E1175" s="133">
        <v>0.215</v>
      </c>
    </row>
    <row r="1176" spans="3:5">
      <c r="C1176" s="134">
        <v>1171</v>
      </c>
      <c r="D1176" s="132">
        <v>10915.5</v>
      </c>
      <c r="E1176" s="133">
        <v>0.21099999999999999</v>
      </c>
    </row>
    <row r="1177" spans="3:5">
      <c r="C1177" s="134">
        <v>1172</v>
      </c>
      <c r="D1177" s="132">
        <v>10916</v>
      </c>
      <c r="E1177" s="133">
        <v>0.20599999999999999</v>
      </c>
    </row>
    <row r="1178" spans="3:5">
      <c r="C1178" s="134">
        <v>1173</v>
      </c>
      <c r="D1178" s="132">
        <v>10916.5</v>
      </c>
      <c r="E1178" s="133">
        <v>0.20499999999999999</v>
      </c>
    </row>
    <row r="1179" spans="3:5">
      <c r="C1179" s="134">
        <v>1174</v>
      </c>
      <c r="D1179" s="132">
        <v>10917</v>
      </c>
      <c r="E1179" s="133">
        <v>0.20399999999999999</v>
      </c>
    </row>
    <row r="1180" spans="3:5">
      <c r="C1180" s="134">
        <v>1175</v>
      </c>
      <c r="D1180" s="132">
        <v>10917.5</v>
      </c>
      <c r="E1180" s="133">
        <v>0.20300000000000001</v>
      </c>
    </row>
    <row r="1181" spans="3:5">
      <c r="C1181" s="134">
        <v>1176</v>
      </c>
      <c r="D1181" s="132">
        <v>10918</v>
      </c>
      <c r="E1181" s="133">
        <v>0.20100000000000001</v>
      </c>
    </row>
    <row r="1182" spans="3:5">
      <c r="C1182" s="134">
        <v>1177</v>
      </c>
      <c r="D1182" s="132">
        <v>10918.5</v>
      </c>
      <c r="E1182" s="133">
        <v>0.193</v>
      </c>
    </row>
    <row r="1183" spans="3:5">
      <c r="C1183" s="134">
        <v>1178</v>
      </c>
      <c r="D1183" s="132">
        <v>10919</v>
      </c>
      <c r="E1183" s="133">
        <v>0.183</v>
      </c>
    </row>
    <row r="1184" spans="3:5">
      <c r="C1184" s="134">
        <v>1179</v>
      </c>
      <c r="D1184" s="132">
        <v>10919.5</v>
      </c>
      <c r="E1184" s="133">
        <v>0.182</v>
      </c>
    </row>
    <row r="1185" spans="3:5">
      <c r="C1185" s="134">
        <v>1180</v>
      </c>
      <c r="D1185" s="132">
        <v>10920</v>
      </c>
      <c r="E1185" s="133">
        <v>0.182</v>
      </c>
    </row>
    <row r="1186" spans="3:5">
      <c r="C1186" s="134">
        <v>1181</v>
      </c>
      <c r="D1186" s="132">
        <v>10920.5</v>
      </c>
      <c r="E1186" s="133">
        <v>0.182</v>
      </c>
    </row>
    <row r="1187" spans="3:5">
      <c r="C1187" s="134">
        <v>1182</v>
      </c>
      <c r="D1187" s="132">
        <v>10921</v>
      </c>
      <c r="E1187" s="133">
        <v>0.185</v>
      </c>
    </row>
    <row r="1188" spans="3:5">
      <c r="C1188" s="134">
        <v>1183</v>
      </c>
      <c r="D1188" s="132">
        <v>10921.5</v>
      </c>
      <c r="E1188" s="133">
        <v>0.192</v>
      </c>
    </row>
    <row r="1189" spans="3:5">
      <c r="C1189" s="134">
        <v>1184</v>
      </c>
      <c r="D1189" s="132">
        <v>10922</v>
      </c>
      <c r="E1189" s="133">
        <v>0.20100000000000001</v>
      </c>
    </row>
    <row r="1190" spans="3:5">
      <c r="C1190" s="134">
        <v>1185</v>
      </c>
      <c r="D1190" s="132">
        <v>10922.5</v>
      </c>
      <c r="E1190" s="133">
        <v>0.20100000000000001</v>
      </c>
    </row>
    <row r="1191" spans="3:5">
      <c r="C1191" s="134">
        <v>1186</v>
      </c>
      <c r="D1191" s="132">
        <v>10923</v>
      </c>
      <c r="E1191" s="133">
        <v>0.2</v>
      </c>
    </row>
    <row r="1192" spans="3:5">
      <c r="C1192" s="134">
        <v>1187</v>
      </c>
      <c r="D1192" s="132">
        <v>10923.5</v>
      </c>
      <c r="E1192" s="133">
        <v>0.19700000000000001</v>
      </c>
    </row>
    <row r="1193" spans="3:5">
      <c r="C1193" s="134">
        <v>1188</v>
      </c>
      <c r="D1193" s="132">
        <v>10924</v>
      </c>
      <c r="E1193" s="133">
        <v>0.193</v>
      </c>
    </row>
    <row r="1194" spans="3:5">
      <c r="C1194" s="134">
        <v>1189</v>
      </c>
      <c r="D1194" s="132">
        <v>10924.5</v>
      </c>
      <c r="E1194" s="133">
        <v>0.193</v>
      </c>
    </row>
    <row r="1195" spans="3:5">
      <c r="C1195" s="134">
        <v>1190</v>
      </c>
      <c r="D1195" s="132">
        <v>10925</v>
      </c>
      <c r="E1195" s="133">
        <v>0.20899999999999999</v>
      </c>
    </row>
    <row r="1196" spans="3:5">
      <c r="C1196" s="134">
        <v>1191</v>
      </c>
      <c r="D1196" s="132">
        <v>10925.5</v>
      </c>
      <c r="E1196" s="133">
        <v>0.23599999999999999</v>
      </c>
    </row>
    <row r="1197" spans="3:5">
      <c r="C1197" s="134">
        <v>1192</v>
      </c>
      <c r="D1197" s="132">
        <v>10926</v>
      </c>
      <c r="E1197" s="133">
        <v>0.27200000000000002</v>
      </c>
    </row>
    <row r="1198" spans="3:5">
      <c r="C1198" s="134">
        <v>1193</v>
      </c>
      <c r="D1198" s="132">
        <v>10926.5</v>
      </c>
      <c r="E1198" s="133">
        <v>0.25</v>
      </c>
    </row>
    <row r="1199" spans="3:5">
      <c r="C1199" s="134">
        <v>1194</v>
      </c>
      <c r="D1199" s="132">
        <v>10927</v>
      </c>
      <c r="E1199" s="133">
        <v>0.24199999999999999</v>
      </c>
    </row>
    <row r="1200" spans="3:5">
      <c r="C1200" s="134">
        <v>1195</v>
      </c>
      <c r="D1200" s="132">
        <v>10927.5</v>
      </c>
      <c r="E1200" s="133">
        <v>0.23899999999999999</v>
      </c>
    </row>
    <row r="1201" spans="3:5">
      <c r="C1201" s="134">
        <v>1196</v>
      </c>
      <c r="D1201" s="132">
        <v>10928</v>
      </c>
      <c r="E1201" s="133">
        <v>0.23599999999999999</v>
      </c>
    </row>
    <row r="1202" spans="3:5">
      <c r="C1202" s="134">
        <v>1197</v>
      </c>
      <c r="D1202" s="132">
        <v>10928.5</v>
      </c>
      <c r="E1202" s="133">
        <v>0.23300000000000001</v>
      </c>
    </row>
    <row r="1203" spans="3:5">
      <c r="C1203" s="134">
        <v>1198</v>
      </c>
      <c r="D1203" s="132">
        <v>10929</v>
      </c>
      <c r="E1203" s="133">
        <v>0.23200000000000001</v>
      </c>
    </row>
    <row r="1204" spans="3:5">
      <c r="C1204" s="134">
        <v>1199</v>
      </c>
      <c r="D1204" s="132">
        <v>10929.5</v>
      </c>
      <c r="E1204" s="133">
        <v>0.23100000000000001</v>
      </c>
    </row>
    <row r="1205" spans="3:5">
      <c r="C1205" s="134">
        <v>1200</v>
      </c>
      <c r="D1205" s="132">
        <v>10930</v>
      </c>
      <c r="E1205" s="133">
        <v>0.221</v>
      </c>
    </row>
    <row r="1206" spans="3:5">
      <c r="C1206" s="134">
        <v>1201</v>
      </c>
      <c r="D1206" s="132">
        <v>10930.5</v>
      </c>
      <c r="E1206" s="133">
        <v>0.21099999999999999</v>
      </c>
    </row>
    <row r="1207" spans="3:5">
      <c r="C1207" s="134">
        <v>1202</v>
      </c>
      <c r="D1207" s="132">
        <v>10931</v>
      </c>
      <c r="E1207" s="133">
        <v>0.20100000000000001</v>
      </c>
    </row>
    <row r="1208" spans="3:5">
      <c r="C1208" s="134">
        <v>1203</v>
      </c>
      <c r="D1208" s="132">
        <v>10931.5</v>
      </c>
      <c r="E1208" s="133">
        <v>0.191</v>
      </c>
    </row>
    <row r="1209" spans="3:5">
      <c r="C1209" s="134">
        <v>1204</v>
      </c>
      <c r="D1209" s="132">
        <v>10932</v>
      </c>
      <c r="E1209" s="133">
        <v>0.184</v>
      </c>
    </row>
    <row r="1210" spans="3:5">
      <c r="C1210" s="134">
        <v>1205</v>
      </c>
      <c r="D1210" s="132">
        <v>10932.5</v>
      </c>
      <c r="E1210" s="133">
        <v>0.18</v>
      </c>
    </row>
    <row r="1211" spans="3:5">
      <c r="C1211" s="134">
        <v>1206</v>
      </c>
      <c r="D1211" s="132">
        <v>10933</v>
      </c>
      <c r="E1211" s="133">
        <v>0.17399999999999999</v>
      </c>
    </row>
    <row r="1212" spans="3:5">
      <c r="C1212" s="134">
        <v>1207</v>
      </c>
      <c r="D1212" s="132">
        <v>10933.5</v>
      </c>
      <c r="E1212" s="133">
        <v>0.18099999999999999</v>
      </c>
    </row>
    <row r="1213" spans="3:5">
      <c r="C1213" s="134">
        <v>1208</v>
      </c>
      <c r="D1213" s="132">
        <v>10934</v>
      </c>
      <c r="E1213" s="133">
        <v>0.191</v>
      </c>
    </row>
    <row r="1214" spans="3:5">
      <c r="C1214" s="134">
        <v>1209</v>
      </c>
      <c r="D1214" s="132">
        <v>10934.5</v>
      </c>
      <c r="E1214" s="133">
        <v>0.19900000000000001</v>
      </c>
    </row>
    <row r="1215" spans="3:5">
      <c r="C1215" s="134">
        <v>1210</v>
      </c>
      <c r="D1215" s="132">
        <v>10935</v>
      </c>
      <c r="E1215" s="133">
        <v>0.20200000000000001</v>
      </c>
    </row>
    <row r="1216" spans="3:5">
      <c r="C1216" s="134">
        <v>1211</v>
      </c>
      <c r="D1216" s="132">
        <v>10935.5</v>
      </c>
      <c r="E1216" s="133">
        <v>0.20599999999999999</v>
      </c>
    </row>
    <row r="1217" spans="3:5">
      <c r="C1217" s="134">
        <v>1212</v>
      </c>
      <c r="D1217" s="132">
        <v>10936</v>
      </c>
      <c r="E1217" s="133">
        <v>0.20799999999999999</v>
      </c>
    </row>
    <row r="1218" spans="3:5">
      <c r="C1218" s="134">
        <v>1213</v>
      </c>
      <c r="D1218" s="132">
        <v>10936.5</v>
      </c>
      <c r="E1218" s="133">
        <v>0.20699999999999999</v>
      </c>
    </row>
    <row r="1219" spans="3:5">
      <c r="C1219" s="134">
        <v>1214</v>
      </c>
      <c r="D1219" s="132">
        <v>10937</v>
      </c>
      <c r="E1219" s="133">
        <v>0.20599999999999999</v>
      </c>
    </row>
    <row r="1220" spans="3:5">
      <c r="C1220" s="134">
        <v>1215</v>
      </c>
      <c r="D1220" s="132">
        <v>10937.5</v>
      </c>
      <c r="E1220" s="133">
        <v>0.20599999999999999</v>
      </c>
    </row>
    <row r="1221" spans="3:5">
      <c r="C1221" s="134">
        <v>1216</v>
      </c>
      <c r="D1221" s="132">
        <v>10938</v>
      </c>
      <c r="E1221" s="133">
        <v>0.20200000000000001</v>
      </c>
    </row>
    <row r="1222" spans="3:5">
      <c r="C1222" s="134">
        <v>1217</v>
      </c>
      <c r="D1222" s="132">
        <v>10938.5</v>
      </c>
      <c r="E1222" s="133">
        <v>0.20300000000000001</v>
      </c>
    </row>
    <row r="1223" spans="3:5">
      <c r="C1223" s="134">
        <v>1218</v>
      </c>
      <c r="D1223" s="132">
        <v>10939</v>
      </c>
      <c r="E1223" s="133">
        <v>0.20200000000000001</v>
      </c>
    </row>
    <row r="1224" spans="3:5">
      <c r="C1224" s="134">
        <v>1219</v>
      </c>
      <c r="D1224" s="132">
        <v>10939.5</v>
      </c>
      <c r="E1224" s="133">
        <v>0.20399999999999999</v>
      </c>
    </row>
    <row r="1225" spans="3:5">
      <c r="C1225" s="134">
        <v>1220</v>
      </c>
      <c r="D1225" s="132">
        <v>10940</v>
      </c>
      <c r="E1225" s="133">
        <v>0.21199999999999999</v>
      </c>
    </row>
    <row r="1226" spans="3:5">
      <c r="C1226" s="134">
        <v>1221</v>
      </c>
      <c r="D1226" s="132">
        <v>10940.5</v>
      </c>
      <c r="E1226" s="133">
        <v>0.22</v>
      </c>
    </row>
    <row r="1227" spans="3:5">
      <c r="C1227" s="134">
        <v>1222</v>
      </c>
      <c r="D1227" s="132">
        <v>10941</v>
      </c>
      <c r="E1227" s="133">
        <v>0.22600000000000001</v>
      </c>
    </row>
    <row r="1228" spans="3:5">
      <c r="C1228" s="134">
        <v>1223</v>
      </c>
      <c r="D1228" s="132">
        <v>10941.5</v>
      </c>
      <c r="E1228" s="133">
        <v>0.22600000000000001</v>
      </c>
    </row>
    <row r="1229" spans="3:5">
      <c r="C1229" s="134">
        <v>1224</v>
      </c>
      <c r="D1229" s="132">
        <v>10942</v>
      </c>
      <c r="E1229" s="133">
        <v>0.223</v>
      </c>
    </row>
    <row r="1230" spans="3:5">
      <c r="C1230" s="134">
        <v>1225</v>
      </c>
      <c r="D1230" s="132">
        <v>10942.5</v>
      </c>
      <c r="E1230" s="133">
        <v>0.217</v>
      </c>
    </row>
    <row r="1231" spans="3:5">
      <c r="C1231" s="134">
        <v>1226</v>
      </c>
      <c r="D1231" s="132">
        <v>10943</v>
      </c>
      <c r="E1231" s="133">
        <v>0.21199999999999999</v>
      </c>
    </row>
    <row r="1232" spans="3:5">
      <c r="C1232" s="134">
        <v>1227</v>
      </c>
      <c r="D1232" s="132">
        <v>10943.5</v>
      </c>
      <c r="E1232" s="133">
        <v>0.20399999999999999</v>
      </c>
    </row>
    <row r="1233" spans="3:5">
      <c r="C1233" s="134">
        <v>1228</v>
      </c>
      <c r="D1233" s="132">
        <v>10944</v>
      </c>
      <c r="E1233" s="133">
        <v>0.19900000000000001</v>
      </c>
    </row>
    <row r="1234" spans="3:5">
      <c r="C1234" s="134">
        <v>1229</v>
      </c>
      <c r="D1234" s="132">
        <v>10944.5</v>
      </c>
      <c r="E1234" s="133">
        <v>0.19600000000000001</v>
      </c>
    </row>
    <row r="1235" spans="3:5">
      <c r="C1235" s="134">
        <v>1230</v>
      </c>
      <c r="D1235" s="132">
        <v>10945</v>
      </c>
      <c r="E1235" s="133">
        <v>0.2</v>
      </c>
    </row>
    <row r="1236" spans="3:5">
      <c r="C1236" s="134">
        <v>1231</v>
      </c>
      <c r="D1236" s="132">
        <v>10945.5</v>
      </c>
      <c r="E1236" s="133">
        <v>0.21099999999999999</v>
      </c>
    </row>
    <row r="1237" spans="3:5">
      <c r="C1237" s="134">
        <v>1232</v>
      </c>
      <c r="D1237" s="132">
        <v>10946</v>
      </c>
      <c r="E1237" s="133">
        <v>0.22</v>
      </c>
    </row>
    <row r="1238" spans="3:5">
      <c r="C1238" s="134">
        <v>1233</v>
      </c>
      <c r="D1238" s="132">
        <v>10946.5</v>
      </c>
      <c r="E1238" s="133">
        <v>0.22800000000000001</v>
      </c>
    </row>
    <row r="1239" spans="3:5">
      <c r="C1239" s="134">
        <v>1234</v>
      </c>
      <c r="D1239" s="132">
        <v>10947</v>
      </c>
      <c r="E1239" s="133">
        <v>0.23</v>
      </c>
    </row>
    <row r="1240" spans="3:5">
      <c r="C1240" s="134">
        <v>1235</v>
      </c>
      <c r="D1240" s="132">
        <v>10947.5</v>
      </c>
      <c r="E1240" s="133">
        <v>0.222</v>
      </c>
    </row>
    <row r="1241" spans="3:5">
      <c r="C1241" s="134">
        <v>1236</v>
      </c>
      <c r="D1241" s="132">
        <v>10948</v>
      </c>
      <c r="E1241" s="133">
        <v>0.21099999999999999</v>
      </c>
    </row>
    <row r="1242" spans="3:5">
      <c r="C1242" s="134">
        <v>1237</v>
      </c>
      <c r="D1242" s="132">
        <v>10948.5</v>
      </c>
      <c r="E1242" s="133">
        <v>0.19600000000000001</v>
      </c>
    </row>
    <row r="1243" spans="3:5">
      <c r="C1243" s="134">
        <v>1238</v>
      </c>
      <c r="D1243" s="132">
        <v>10949</v>
      </c>
      <c r="E1243" s="133">
        <v>0.18</v>
      </c>
    </row>
    <row r="1244" spans="3:5">
      <c r="C1244" s="134">
        <v>1239</v>
      </c>
      <c r="D1244" s="132">
        <v>10949.5</v>
      </c>
      <c r="E1244" s="133">
        <v>0.16900000000000001</v>
      </c>
    </row>
    <row r="1245" spans="3:5">
      <c r="C1245" s="134">
        <v>1240</v>
      </c>
      <c r="D1245" s="132">
        <v>10950</v>
      </c>
      <c r="E1245" s="133">
        <v>0.17100000000000001</v>
      </c>
    </row>
    <row r="1246" spans="3:5">
      <c r="C1246" s="134">
        <v>1241</v>
      </c>
      <c r="D1246" s="132">
        <v>10950.5</v>
      </c>
      <c r="E1246" s="133">
        <v>0.17</v>
      </c>
    </row>
    <row r="1247" spans="3:5">
      <c r="C1247" s="134">
        <v>1242</v>
      </c>
      <c r="D1247" s="132">
        <v>10951</v>
      </c>
      <c r="E1247" s="133">
        <v>0.16500000000000001</v>
      </c>
    </row>
    <row r="1248" spans="3:5">
      <c r="C1248" s="134">
        <v>1243</v>
      </c>
      <c r="D1248" s="132">
        <v>10951.5</v>
      </c>
      <c r="E1248" s="133">
        <v>0.16400000000000001</v>
      </c>
    </row>
    <row r="1249" spans="3:6">
      <c r="C1249" s="134">
        <v>1244</v>
      </c>
      <c r="D1249" s="132">
        <v>10952</v>
      </c>
      <c r="E1249" s="133">
        <v>0.161</v>
      </c>
    </row>
    <row r="1250" spans="3:6">
      <c r="C1250" s="134">
        <v>1245</v>
      </c>
      <c r="D1250" s="132">
        <v>10952.5</v>
      </c>
      <c r="E1250" s="133">
        <v>0.161</v>
      </c>
    </row>
    <row r="1251" spans="3:6">
      <c r="C1251" s="134">
        <v>1246</v>
      </c>
      <c r="D1251" s="132">
        <v>10953</v>
      </c>
      <c r="E1251" s="133">
        <v>0.153</v>
      </c>
    </row>
    <row r="1252" spans="3:6">
      <c r="C1252" s="134">
        <v>1247</v>
      </c>
      <c r="D1252" s="132">
        <v>10953.5</v>
      </c>
      <c r="E1252" s="133">
        <v>0.14399999999999999</v>
      </c>
    </row>
    <row r="1253" spans="3:6">
      <c r="C1253" s="134">
        <v>1248</v>
      </c>
      <c r="D1253" s="132">
        <v>10954</v>
      </c>
      <c r="E1253" s="133">
        <v>0.13400000000000001</v>
      </c>
    </row>
    <row r="1254" spans="3:6">
      <c r="C1254" s="134">
        <v>1249</v>
      </c>
      <c r="D1254" s="132">
        <v>10954.5</v>
      </c>
      <c r="E1254" s="133">
        <v>0.129</v>
      </c>
    </row>
    <row r="1255" spans="3:6">
      <c r="C1255" s="134">
        <v>1250</v>
      </c>
      <c r="D1255" s="132">
        <v>10955</v>
      </c>
      <c r="E1255" s="133">
        <v>0.13700000000000001</v>
      </c>
    </row>
    <row r="1256" spans="3:6">
      <c r="C1256" s="134">
        <v>1251</v>
      </c>
      <c r="D1256" s="132">
        <v>10955.5</v>
      </c>
      <c r="E1256" s="133">
        <v>0.151</v>
      </c>
    </row>
    <row r="1257" spans="3:6">
      <c r="C1257" s="134">
        <v>1252</v>
      </c>
      <c r="D1257" s="132">
        <v>10956</v>
      </c>
      <c r="E1257" s="133">
        <v>0.16200000000000001</v>
      </c>
    </row>
    <row r="1258" spans="3:6">
      <c r="C1258" s="134">
        <v>1253</v>
      </c>
      <c r="D1258" s="132">
        <v>10956.5</v>
      </c>
      <c r="E1258" s="133">
        <v>0.16900000000000001</v>
      </c>
    </row>
    <row r="1259" spans="3:6">
      <c r="C1259" s="134">
        <v>1254</v>
      </c>
      <c r="D1259" s="132">
        <v>10957</v>
      </c>
      <c r="E1259" s="133">
        <v>0.17699999999999999</v>
      </c>
    </row>
    <row r="1260" spans="3:6">
      <c r="C1260" s="134">
        <v>1255</v>
      </c>
      <c r="D1260" s="132">
        <v>10957.5</v>
      </c>
      <c r="E1260" s="133">
        <v>0.182</v>
      </c>
    </row>
    <row r="1261" spans="3:6">
      <c r="C1261" s="134">
        <v>1256</v>
      </c>
      <c r="D1261" s="132">
        <v>10958</v>
      </c>
      <c r="E1261" s="133">
        <v>0.183</v>
      </c>
      <c r="F1261" s="133">
        <v>0.17100000000000001</v>
      </c>
    </row>
    <row r="1262" spans="3:6">
      <c r="C1262" s="134">
        <v>1257</v>
      </c>
      <c r="D1262" s="132">
        <v>10958.5</v>
      </c>
      <c r="E1262" s="133">
        <v>0.188</v>
      </c>
    </row>
    <row r="1263" spans="3:6">
      <c r="C1263" s="134">
        <v>1258</v>
      </c>
      <c r="D1263" s="132">
        <v>10959</v>
      </c>
      <c r="E1263" s="133">
        <v>0.186</v>
      </c>
      <c r="F1263" s="133">
        <v>0.18099999999999999</v>
      </c>
    </row>
    <row r="1264" spans="3:6">
      <c r="C1264" s="134">
        <v>1259</v>
      </c>
      <c r="D1264" s="132">
        <v>10959.5</v>
      </c>
      <c r="E1264" s="133">
        <v>0.186</v>
      </c>
    </row>
    <row r="1265" spans="3:6">
      <c r="C1265" s="134">
        <v>1260</v>
      </c>
      <c r="D1265" s="132">
        <v>10960</v>
      </c>
      <c r="E1265" s="133">
        <v>0.185</v>
      </c>
      <c r="F1265" s="133">
        <v>0.16200000000000001</v>
      </c>
    </row>
    <row r="1266" spans="3:6">
      <c r="C1266" s="134">
        <v>1261</v>
      </c>
      <c r="D1266" s="132">
        <v>10960.5</v>
      </c>
      <c r="E1266" s="133">
        <v>0.19</v>
      </c>
    </row>
    <row r="1267" spans="3:6">
      <c r="C1267" s="134">
        <v>1262</v>
      </c>
      <c r="D1267" s="132">
        <v>10961</v>
      </c>
      <c r="E1267" s="133">
        <v>0.19700000000000001</v>
      </c>
      <c r="F1267" s="133">
        <v>0.13500000000000001</v>
      </c>
    </row>
    <row r="1268" spans="3:6">
      <c r="C1268" s="134">
        <v>1263</v>
      </c>
      <c r="D1268" s="132">
        <v>10961.5</v>
      </c>
      <c r="E1268" s="133">
        <v>0.20399999999999999</v>
      </c>
    </row>
    <row r="1269" spans="3:6">
      <c r="C1269" s="134">
        <v>1264</v>
      </c>
      <c r="D1269" s="132">
        <v>10962</v>
      </c>
      <c r="E1269" s="133">
        <v>0.20100000000000001</v>
      </c>
      <c r="F1269" s="133">
        <v>0.20599999999999999</v>
      </c>
    </row>
    <row r="1270" spans="3:6">
      <c r="C1270" s="134">
        <v>1265</v>
      </c>
      <c r="D1270" s="132">
        <v>10962.5</v>
      </c>
      <c r="E1270" s="133">
        <v>0.19900000000000001</v>
      </c>
    </row>
    <row r="1271" spans="3:6">
      <c r="C1271" s="134">
        <v>1266</v>
      </c>
      <c r="D1271" s="132">
        <v>10963</v>
      </c>
      <c r="E1271" s="133">
        <v>0.2</v>
      </c>
      <c r="F1271" s="133">
        <v>0.221</v>
      </c>
    </row>
    <row r="1272" spans="3:6">
      <c r="C1272" s="134">
        <v>1267</v>
      </c>
      <c r="D1272" s="132">
        <v>10963.5</v>
      </c>
      <c r="E1272" s="133">
        <v>0.20200000000000001</v>
      </c>
      <c r="F1272" s="133">
        <v>0.188</v>
      </c>
    </row>
    <row r="1273" spans="3:6">
      <c r="C1273" s="134">
        <v>1268</v>
      </c>
      <c r="D1273" s="132">
        <v>10964</v>
      </c>
      <c r="E1273" s="133">
        <v>0.20499999999999999</v>
      </c>
    </row>
    <row r="1274" spans="3:6">
      <c r="C1274" s="134">
        <v>1269</v>
      </c>
      <c r="D1274" s="132">
        <v>10964.5</v>
      </c>
      <c r="E1274" s="133">
        <v>0.21</v>
      </c>
      <c r="F1274" s="133">
        <v>0.189</v>
      </c>
    </row>
    <row r="1275" spans="3:6">
      <c r="C1275" s="134">
        <v>1270</v>
      </c>
      <c r="D1275" s="132">
        <v>10965</v>
      </c>
      <c r="E1275" s="133">
        <v>0.21299999999999999</v>
      </c>
    </row>
    <row r="1276" spans="3:6">
      <c r="C1276" s="134">
        <v>1271</v>
      </c>
      <c r="D1276" s="132">
        <v>10965.5</v>
      </c>
      <c r="E1276" s="133">
        <v>0.214</v>
      </c>
      <c r="F1276" s="133">
        <v>0.221</v>
      </c>
    </row>
    <row r="1277" spans="3:6">
      <c r="C1277" s="134">
        <v>1272</v>
      </c>
      <c r="D1277" s="132">
        <v>10966</v>
      </c>
      <c r="E1277" s="133">
        <v>0.216</v>
      </c>
    </row>
    <row r="1278" spans="3:6">
      <c r="C1278" s="134">
        <v>1273</v>
      </c>
      <c r="D1278" s="132">
        <v>10966.5</v>
      </c>
      <c r="E1278" s="133">
        <v>0.22</v>
      </c>
      <c r="F1278" s="133">
        <v>0.22600000000000001</v>
      </c>
    </row>
    <row r="1279" spans="3:6">
      <c r="C1279" s="134">
        <v>1274</v>
      </c>
      <c r="D1279" s="132">
        <v>10967</v>
      </c>
      <c r="E1279" s="133">
        <v>0.217</v>
      </c>
    </row>
    <row r="1280" spans="3:6">
      <c r="C1280" s="134">
        <v>1275</v>
      </c>
      <c r="D1280" s="132">
        <v>10967.5</v>
      </c>
      <c r="E1280" s="133">
        <v>0.21199999999999999</v>
      </c>
      <c r="F1280" s="133">
        <v>0.214</v>
      </c>
    </row>
    <row r="1281" spans="3:6">
      <c r="C1281" s="134">
        <v>1276</v>
      </c>
      <c r="D1281" s="132">
        <v>10968</v>
      </c>
      <c r="E1281" s="133">
        <v>0.20499999999999999</v>
      </c>
    </row>
    <row r="1282" spans="3:6">
      <c r="C1282" s="134">
        <v>1277</v>
      </c>
      <c r="D1282" s="132">
        <v>10968.5</v>
      </c>
      <c r="E1282" s="133">
        <v>0.19700000000000001</v>
      </c>
      <c r="F1282" s="133">
        <v>0.20799999999999999</v>
      </c>
    </row>
    <row r="1283" spans="3:6">
      <c r="C1283" s="134">
        <v>1278</v>
      </c>
      <c r="D1283" s="132">
        <v>10969</v>
      </c>
      <c r="E1283" s="133">
        <v>0.20100000000000001</v>
      </c>
      <c r="F1283" s="133">
        <v>0.22900000000000001</v>
      </c>
    </row>
    <row r="1284" spans="3:6">
      <c r="C1284" s="134">
        <v>1279</v>
      </c>
      <c r="D1284" s="132">
        <v>10969.5</v>
      </c>
      <c r="E1284" s="133">
        <v>0.20599999999999999</v>
      </c>
    </row>
    <row r="1285" spans="3:6">
      <c r="C1285" s="134">
        <v>1280</v>
      </c>
      <c r="D1285" s="132">
        <v>10970</v>
      </c>
      <c r="E1285" s="133">
        <v>0.20899999999999999</v>
      </c>
      <c r="F1285" s="133">
        <v>0.17899999999999999</v>
      </c>
    </row>
    <row r="1286" spans="3:6">
      <c r="C1286" s="134">
        <v>1281</v>
      </c>
      <c r="D1286" s="132">
        <v>10970.5</v>
      </c>
      <c r="E1286" s="133">
        <v>0.20799999999999999</v>
      </c>
    </row>
    <row r="1287" spans="3:6">
      <c r="C1287" s="134">
        <v>1282</v>
      </c>
      <c r="D1287" s="132">
        <v>10971</v>
      </c>
      <c r="E1287" s="133">
        <v>0.20599999999999999</v>
      </c>
      <c r="F1287" s="133">
        <v>0.19500000000000001</v>
      </c>
    </row>
    <row r="1288" spans="3:6">
      <c r="C1288" s="134">
        <v>1283</v>
      </c>
      <c r="D1288" s="132">
        <v>10971.5</v>
      </c>
      <c r="E1288" s="133">
        <v>0.20599999999999999</v>
      </c>
    </row>
    <row r="1289" spans="3:6">
      <c r="C1289" s="134">
        <v>1284</v>
      </c>
      <c r="D1289" s="132">
        <v>10972</v>
      </c>
      <c r="E1289" s="133">
        <v>0.20399999999999999</v>
      </c>
      <c r="F1289" s="133">
        <v>0.217</v>
      </c>
    </row>
    <row r="1290" spans="3:6">
      <c r="C1290" s="134">
        <v>1285</v>
      </c>
      <c r="D1290" s="132">
        <v>10972.5</v>
      </c>
      <c r="E1290" s="133">
        <v>0.20200000000000001</v>
      </c>
    </row>
    <row r="1291" spans="3:6">
      <c r="C1291" s="134">
        <v>1286</v>
      </c>
      <c r="D1291" s="132">
        <v>10973</v>
      </c>
      <c r="E1291" s="133">
        <v>0.20200000000000001</v>
      </c>
      <c r="F1291" s="133">
        <v>0.22800000000000001</v>
      </c>
    </row>
    <row r="1292" spans="3:6">
      <c r="C1292" s="134">
        <v>1287</v>
      </c>
      <c r="D1292" s="132">
        <v>10973.5</v>
      </c>
      <c r="E1292" s="133">
        <v>0.19800000000000001</v>
      </c>
    </row>
    <row r="1293" spans="3:6">
      <c r="C1293" s="134">
        <v>1288</v>
      </c>
      <c r="D1293" s="132">
        <v>10974</v>
      </c>
      <c r="E1293" s="133">
        <v>0.19400000000000001</v>
      </c>
      <c r="F1293" s="133">
        <v>0.21199999999999999</v>
      </c>
    </row>
    <row r="1294" spans="3:6">
      <c r="C1294" s="134">
        <v>1289</v>
      </c>
      <c r="D1294" s="132">
        <v>10974.5</v>
      </c>
      <c r="E1294" s="133">
        <v>0.193</v>
      </c>
    </row>
    <row r="1295" spans="3:6">
      <c r="C1295" s="134">
        <v>1290</v>
      </c>
      <c r="D1295" s="132">
        <v>10975</v>
      </c>
      <c r="E1295" s="133">
        <v>0.20100000000000001</v>
      </c>
      <c r="F1295" s="133">
        <v>0.23400000000000001</v>
      </c>
    </row>
    <row r="1296" spans="3:6">
      <c r="C1296" s="134">
        <v>1291</v>
      </c>
      <c r="D1296" s="132">
        <v>10975.5</v>
      </c>
      <c r="E1296" s="133">
        <v>0.20899999999999999</v>
      </c>
    </row>
    <row r="1297" spans="3:6">
      <c r="C1297" s="134">
        <v>1292</v>
      </c>
      <c r="D1297" s="132">
        <v>10976</v>
      </c>
      <c r="E1297" s="133">
        <v>0.20200000000000001</v>
      </c>
      <c r="F1297" s="133">
        <v>0.17399999999999999</v>
      </c>
    </row>
    <row r="1298" spans="3:6">
      <c r="C1298" s="134">
        <v>1293</v>
      </c>
      <c r="D1298" s="132">
        <v>10976.5</v>
      </c>
      <c r="E1298" s="133">
        <v>0.19400000000000001</v>
      </c>
    </row>
    <row r="1299" spans="3:6">
      <c r="C1299" s="134">
        <v>1294</v>
      </c>
      <c r="D1299" s="132">
        <v>10977</v>
      </c>
      <c r="E1299" s="133">
        <v>0.189</v>
      </c>
      <c r="F1299" s="133">
        <v>0.22800000000000001</v>
      </c>
    </row>
    <row r="1300" spans="3:6">
      <c r="C1300" s="134">
        <v>1295</v>
      </c>
      <c r="D1300" s="132">
        <v>10977.5</v>
      </c>
      <c r="E1300" s="133">
        <v>0.184</v>
      </c>
      <c r="F1300" s="133">
        <v>0.22500000000000001</v>
      </c>
    </row>
    <row r="1301" spans="3:6">
      <c r="C1301" s="134">
        <v>1296</v>
      </c>
      <c r="D1301" s="132">
        <v>10978</v>
      </c>
      <c r="E1301" s="133">
        <v>0.18</v>
      </c>
    </row>
    <row r="1302" spans="3:6">
      <c r="C1302" s="134">
        <v>1297</v>
      </c>
      <c r="D1302" s="132">
        <v>10978.5</v>
      </c>
      <c r="E1302" s="133">
        <v>0.192</v>
      </c>
      <c r="F1302" s="133">
        <v>0.221</v>
      </c>
    </row>
    <row r="1303" spans="3:6">
      <c r="C1303" s="134">
        <v>1298</v>
      </c>
      <c r="D1303" s="132">
        <v>10979</v>
      </c>
      <c r="E1303" s="133">
        <v>0.2</v>
      </c>
    </row>
    <row r="1304" spans="3:6">
      <c r="C1304" s="134">
        <v>1299</v>
      </c>
      <c r="D1304" s="132">
        <v>10979.5</v>
      </c>
      <c r="E1304" s="133">
        <v>0.19800000000000001</v>
      </c>
    </row>
    <row r="1305" spans="3:6">
      <c r="C1305" s="134">
        <v>1300</v>
      </c>
      <c r="D1305" s="132">
        <v>10980</v>
      </c>
      <c r="E1305" s="133">
        <v>0.19500000000000001</v>
      </c>
      <c r="F1305" s="133">
        <v>0.16400000000000001</v>
      </c>
    </row>
    <row r="1306" spans="3:6">
      <c r="C1306" s="134">
        <v>1301</v>
      </c>
      <c r="D1306" s="132">
        <v>10980.5</v>
      </c>
      <c r="E1306" s="133">
        <v>0.19500000000000001</v>
      </c>
      <c r="F1306" s="133">
        <v>0.20399999999999999</v>
      </c>
    </row>
    <row r="1307" spans="3:6">
      <c r="C1307" s="134">
        <v>1302</v>
      </c>
      <c r="D1307" s="132">
        <v>10981</v>
      </c>
      <c r="E1307" s="133">
        <v>0.19500000000000001</v>
      </c>
    </row>
    <row r="1308" spans="3:6">
      <c r="C1308" s="134">
        <v>1303</v>
      </c>
      <c r="D1308" s="132">
        <v>10981.5</v>
      </c>
      <c r="E1308" s="133">
        <v>0.189</v>
      </c>
      <c r="F1308" s="133">
        <v>0.22700000000000001</v>
      </c>
    </row>
    <row r="1309" spans="3:6">
      <c r="C1309" s="134">
        <v>1304</v>
      </c>
      <c r="D1309" s="132">
        <v>10982</v>
      </c>
      <c r="E1309" s="133">
        <v>0.19400000000000001</v>
      </c>
    </row>
    <row r="1310" spans="3:6">
      <c r="C1310" s="134">
        <v>1305</v>
      </c>
      <c r="D1310" s="132">
        <v>10982.5</v>
      </c>
      <c r="E1310" s="133">
        <v>0.2</v>
      </c>
      <c r="F1310" s="133">
        <v>0.19700000000000001</v>
      </c>
    </row>
    <row r="1311" spans="3:6">
      <c r="C1311" s="134">
        <v>1306</v>
      </c>
      <c r="D1311" s="132">
        <v>10983</v>
      </c>
      <c r="E1311" s="133">
        <v>0.20100000000000001</v>
      </c>
    </row>
    <row r="1312" spans="3:6">
      <c r="C1312" s="134">
        <v>1307</v>
      </c>
      <c r="D1312" s="132">
        <v>10983.5</v>
      </c>
      <c r="E1312" s="133">
        <v>0.20100000000000001</v>
      </c>
      <c r="F1312" s="133">
        <v>0.20599999999999999</v>
      </c>
    </row>
    <row r="1313" spans="3:6">
      <c r="C1313" s="134">
        <v>1308</v>
      </c>
      <c r="D1313" s="132">
        <v>10984</v>
      </c>
      <c r="E1313" s="133">
        <v>0.20499999999999999</v>
      </c>
    </row>
    <row r="1314" spans="3:6">
      <c r="C1314" s="134">
        <v>1309</v>
      </c>
      <c r="D1314" s="132">
        <v>10984.5</v>
      </c>
      <c r="E1314" s="133">
        <v>0.20499999999999999</v>
      </c>
      <c r="F1314" s="133">
        <v>0.219</v>
      </c>
    </row>
    <row r="1315" spans="3:6">
      <c r="C1315" s="134">
        <v>1310</v>
      </c>
      <c r="D1315" s="132">
        <v>10985</v>
      </c>
      <c r="E1315" s="133">
        <v>0.2</v>
      </c>
    </row>
    <row r="1316" spans="3:6">
      <c r="C1316" s="134">
        <v>1311</v>
      </c>
      <c r="D1316" s="132">
        <v>10985.5</v>
      </c>
      <c r="E1316" s="133">
        <v>0.192</v>
      </c>
      <c r="F1316" s="133">
        <v>0.18099999999999999</v>
      </c>
    </row>
    <row r="1317" spans="3:6">
      <c r="C1317" s="134">
        <v>1312</v>
      </c>
      <c r="D1317" s="132">
        <v>10986</v>
      </c>
      <c r="E1317" s="133">
        <v>0.19</v>
      </c>
    </row>
    <row r="1318" spans="3:6">
      <c r="C1318" s="134">
        <v>1313</v>
      </c>
      <c r="D1318" s="132">
        <v>10986.5</v>
      </c>
      <c r="E1318" s="133">
        <v>0.19400000000000001</v>
      </c>
      <c r="F1318" s="133">
        <v>0.224</v>
      </c>
    </row>
    <row r="1319" spans="3:6">
      <c r="C1319" s="134">
        <v>1314</v>
      </c>
      <c r="D1319" s="132">
        <v>10987</v>
      </c>
      <c r="E1319" s="133">
        <v>0.19700000000000001</v>
      </c>
    </row>
    <row r="1320" spans="3:6">
      <c r="C1320" s="134">
        <v>1315</v>
      </c>
      <c r="D1320" s="132">
        <v>10987.5</v>
      </c>
      <c r="E1320" s="133">
        <v>0.19600000000000001</v>
      </c>
      <c r="F1320" s="133">
        <v>0.161</v>
      </c>
    </row>
    <row r="1321" spans="3:6">
      <c r="C1321" s="134">
        <v>1316</v>
      </c>
      <c r="D1321" s="132">
        <v>10988</v>
      </c>
      <c r="E1321" s="133">
        <v>0.19400000000000001</v>
      </c>
    </row>
    <row r="1322" spans="3:6">
      <c r="C1322" s="134">
        <v>1317</v>
      </c>
      <c r="D1322" s="132">
        <v>10988.5</v>
      </c>
      <c r="E1322" s="133">
        <v>0.191</v>
      </c>
      <c r="F1322" s="133">
        <v>0.21099999999999999</v>
      </c>
    </row>
    <row r="1323" spans="3:6">
      <c r="C1323" s="134">
        <v>1318</v>
      </c>
      <c r="D1323" s="132">
        <v>10989</v>
      </c>
      <c r="E1323" s="133">
        <v>0.193</v>
      </c>
    </row>
    <row r="1324" spans="3:6">
      <c r="C1324" s="134">
        <v>1319</v>
      </c>
      <c r="D1324" s="132">
        <v>10989.5</v>
      </c>
      <c r="E1324" s="133">
        <v>0.19600000000000001</v>
      </c>
      <c r="F1324" s="133">
        <v>0.19500000000000001</v>
      </c>
    </row>
    <row r="1325" spans="3:6">
      <c r="C1325" s="134">
        <v>1320</v>
      </c>
      <c r="D1325" s="132">
        <v>10990</v>
      </c>
      <c r="E1325" s="133">
        <v>0.19700000000000001</v>
      </c>
    </row>
    <row r="1326" spans="3:6">
      <c r="C1326" s="134">
        <v>1321</v>
      </c>
      <c r="D1326" s="132">
        <v>10990.5</v>
      </c>
      <c r="E1326" s="133">
        <v>0.2</v>
      </c>
      <c r="F1326" s="133">
        <v>0.19</v>
      </c>
    </row>
    <row r="1327" spans="3:6">
      <c r="C1327" s="134">
        <v>1322</v>
      </c>
      <c r="D1327" s="132">
        <v>10991</v>
      </c>
      <c r="E1327" s="133">
        <v>0.20599999999999999</v>
      </c>
    </row>
    <row r="1328" spans="3:6">
      <c r="C1328" s="134">
        <v>1323</v>
      </c>
      <c r="D1328" s="132">
        <v>10991.5</v>
      </c>
      <c r="E1328" s="133">
        <v>0.20799999999999999</v>
      </c>
      <c r="F1328" s="133">
        <v>0.21099999999999999</v>
      </c>
    </row>
    <row r="1329" spans="3:6">
      <c r="C1329" s="134">
        <v>1324</v>
      </c>
      <c r="D1329" s="132">
        <v>10992</v>
      </c>
      <c r="E1329" s="133">
        <v>0.21</v>
      </c>
      <c r="F1329" s="133">
        <v>0.23</v>
      </c>
    </row>
    <row r="1330" spans="3:6">
      <c r="C1330" s="134">
        <v>1325</v>
      </c>
      <c r="D1330" s="132">
        <v>10992.5</v>
      </c>
      <c r="E1330" s="133">
        <v>0.215</v>
      </c>
    </row>
    <row r="1331" spans="3:6">
      <c r="C1331" s="134">
        <v>1326</v>
      </c>
      <c r="D1331" s="132">
        <v>10993</v>
      </c>
      <c r="E1331" s="133">
        <v>0.22</v>
      </c>
      <c r="F1331" s="133">
        <v>0.183</v>
      </c>
    </row>
    <row r="1332" spans="3:6">
      <c r="C1332" s="134">
        <v>1327</v>
      </c>
      <c r="D1332" s="132">
        <v>10993.5</v>
      </c>
      <c r="E1332" s="133">
        <v>0.223</v>
      </c>
    </row>
    <row r="1333" spans="3:6">
      <c r="C1333" s="134">
        <v>1328</v>
      </c>
      <c r="D1333" s="132">
        <v>10994</v>
      </c>
      <c r="E1333" s="133">
        <v>0.221</v>
      </c>
      <c r="F1333" s="133">
        <v>0.20100000000000001</v>
      </c>
    </row>
    <row r="1334" spans="3:6">
      <c r="C1334" s="134">
        <v>1329</v>
      </c>
      <c r="D1334" s="132">
        <v>10994.5</v>
      </c>
      <c r="E1334" s="133">
        <v>0.219</v>
      </c>
    </row>
    <row r="1335" spans="3:6">
      <c r="C1335" s="134">
        <v>1330</v>
      </c>
      <c r="D1335" s="132">
        <v>10995</v>
      </c>
      <c r="E1335" s="133">
        <v>0.216</v>
      </c>
      <c r="F1335" s="133">
        <v>0.214</v>
      </c>
    </row>
    <row r="1336" spans="3:6">
      <c r="C1336" s="134">
        <v>1331</v>
      </c>
      <c r="D1336" s="132">
        <v>10995.5</v>
      </c>
      <c r="E1336" s="133">
        <v>0.21199999999999999</v>
      </c>
    </row>
    <row r="1337" spans="3:6">
      <c r="C1337" s="134">
        <v>1332</v>
      </c>
      <c r="D1337" s="132">
        <v>10996</v>
      </c>
      <c r="E1337" s="133">
        <v>0.216</v>
      </c>
      <c r="F1337" s="133">
        <v>0.217</v>
      </c>
    </row>
    <row r="1338" spans="3:6">
      <c r="C1338" s="134">
        <v>1333</v>
      </c>
      <c r="D1338" s="132">
        <v>10996.5</v>
      </c>
      <c r="E1338" s="133">
        <v>0.219</v>
      </c>
    </row>
    <row r="1339" spans="3:6">
      <c r="C1339" s="134">
        <v>1334</v>
      </c>
      <c r="D1339" s="132">
        <v>10997</v>
      </c>
      <c r="E1339" s="133">
        <v>0.223</v>
      </c>
      <c r="F1339" s="133">
        <v>0.22600000000000001</v>
      </c>
    </row>
    <row r="1340" spans="3:6">
      <c r="C1340" s="134">
        <v>1335</v>
      </c>
      <c r="D1340" s="132">
        <v>10997.5</v>
      </c>
      <c r="E1340" s="133">
        <v>0.22500000000000001</v>
      </c>
    </row>
    <row r="1341" spans="3:6">
      <c r="C1341" s="134">
        <v>1336</v>
      </c>
      <c r="D1341" s="132">
        <v>10998</v>
      </c>
      <c r="E1341" s="133">
        <v>0.222</v>
      </c>
      <c r="F1341" s="133">
        <v>0.191</v>
      </c>
    </row>
    <row r="1342" spans="3:6">
      <c r="C1342" s="134">
        <v>1337</v>
      </c>
      <c r="D1342" s="132">
        <v>10998.5</v>
      </c>
      <c r="E1342" s="133">
        <v>0.218</v>
      </c>
    </row>
    <row r="1343" spans="3:6">
      <c r="C1343" s="134">
        <v>1338</v>
      </c>
      <c r="D1343" s="132">
        <v>10999</v>
      </c>
      <c r="E1343" s="133">
        <v>0.214</v>
      </c>
      <c r="F1343" s="133">
        <v>0.23599999999999999</v>
      </c>
    </row>
    <row r="1344" spans="3:6">
      <c r="C1344" s="134">
        <v>1339</v>
      </c>
      <c r="D1344" s="132">
        <v>10999.5</v>
      </c>
      <c r="E1344" s="133">
        <v>0.21099999999999999</v>
      </c>
    </row>
    <row r="1345" spans="3:6">
      <c r="C1345" s="134">
        <v>1340</v>
      </c>
      <c r="D1345" s="132">
        <v>11000</v>
      </c>
      <c r="E1345" s="133">
        <v>0.20799999999999999</v>
      </c>
      <c r="F1345" s="133">
        <v>0.25700000000000001</v>
      </c>
    </row>
    <row r="1346" spans="3:6">
      <c r="C1346" s="134">
        <v>1341</v>
      </c>
      <c r="D1346" s="132">
        <v>11000.5</v>
      </c>
      <c r="E1346" s="133">
        <v>0.20399999999999999</v>
      </c>
      <c r="F1346" s="133">
        <v>0.23899999999999999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rgb="FFFFC000"/>
  </sheetPr>
  <dimension ref="A1:P103"/>
  <sheetViews>
    <sheetView showGridLines="0" zoomScaleNormal="100" workbookViewId="0">
      <selection activeCell="J35" sqref="J35"/>
    </sheetView>
  </sheetViews>
  <sheetFormatPr defaultColWidth="9.28515625" defaultRowHeight="10.199999999999999"/>
  <cols>
    <col min="1" max="1" width="10.7109375" style="3" customWidth="1"/>
    <col min="2" max="2" width="3.140625" style="3" customWidth="1"/>
    <col min="3" max="3" width="31.7109375" style="3" customWidth="1"/>
    <col min="4" max="4" width="12.140625" style="3" customWidth="1"/>
    <col min="5" max="7" width="9.28515625" style="3"/>
    <col min="8" max="8" width="3.7109375" style="3" customWidth="1"/>
    <col min="9" max="9" width="30" style="3" customWidth="1"/>
    <col min="10" max="11" width="13.28515625" style="3" customWidth="1"/>
    <col min="12" max="12" width="2.42578125" style="3" customWidth="1"/>
    <col min="13" max="13" width="22" style="3" customWidth="1"/>
    <col min="14" max="14" width="4.28515625" style="3" customWidth="1"/>
    <col min="15" max="16384" width="9.28515625" style="3"/>
  </cols>
  <sheetData>
    <row r="1" spans="1:13" ht="12.75" customHeight="1">
      <c r="A1" s="27" t="s">
        <v>13</v>
      </c>
      <c r="B1" s="28"/>
      <c r="C1" s="28" t="str">
        <f>+'Input Data (Volumetric)'!L2</f>
        <v>KEY</v>
      </c>
      <c r="D1" s="28"/>
      <c r="E1" s="29"/>
      <c r="F1" s="6"/>
      <c r="G1" s="6"/>
      <c r="H1" s="6"/>
      <c r="I1" s="6"/>
      <c r="J1" s="6"/>
      <c r="K1" s="6"/>
    </row>
    <row r="2" spans="1:13" ht="12.75" customHeight="1">
      <c r="A2" s="30" t="s">
        <v>15</v>
      </c>
      <c r="B2" s="4"/>
      <c r="C2" s="4" t="str">
        <f>+'Input Data (Volumetric)'!L3</f>
        <v>KEY</v>
      </c>
      <c r="D2" s="4"/>
      <c r="E2" s="31"/>
      <c r="F2" s="8"/>
      <c r="G2" s="9"/>
      <c r="H2" s="6"/>
      <c r="I2" s="43" t="s">
        <v>37</v>
      </c>
      <c r="J2" s="44">
        <v>100</v>
      </c>
      <c r="K2" s="6"/>
    </row>
    <row r="3" spans="1:13" ht="12.75" customHeight="1">
      <c r="A3" s="30" t="s">
        <v>12</v>
      </c>
      <c r="B3" s="4"/>
      <c r="C3" s="4" t="str">
        <f>+'Input Data (Volumetric)'!L4</f>
        <v>KEY</v>
      </c>
      <c r="D3" s="4"/>
      <c r="E3" s="31"/>
      <c r="F3" s="8"/>
      <c r="G3" s="9"/>
      <c r="H3" s="6"/>
      <c r="I3" s="6"/>
      <c r="J3" s="6"/>
      <c r="K3" s="6"/>
    </row>
    <row r="4" spans="1:13" ht="12.75" customHeight="1" thickBot="1">
      <c r="A4" s="32" t="s">
        <v>72</v>
      </c>
      <c r="B4" s="33"/>
      <c r="C4" s="50">
        <f ca="1">+'Input Data (Volumetric)'!L5</f>
        <v>43492.914044212965</v>
      </c>
      <c r="D4" s="50"/>
      <c r="E4" s="34"/>
      <c r="F4" s="8"/>
      <c r="G4" s="9"/>
      <c r="H4" s="6"/>
      <c r="I4" s="6"/>
      <c r="J4" s="6"/>
      <c r="K4" s="6"/>
      <c r="M4"/>
    </row>
    <row r="5" spans="1:13" ht="12.75" customHeight="1">
      <c r="A5" s="10"/>
      <c r="B5" s="9"/>
      <c r="C5" s="11"/>
      <c r="D5" s="12"/>
      <c r="E5" s="8"/>
      <c r="F5" s="8"/>
      <c r="G5" s="9"/>
      <c r="H5" s="6"/>
      <c r="I5" s="6"/>
      <c r="J5" s="6"/>
      <c r="K5" s="6"/>
    </row>
    <row r="6" spans="1:13" ht="12.75" customHeight="1">
      <c r="A6" s="10"/>
      <c r="B6" s="9"/>
      <c r="C6" s="11"/>
      <c r="D6" s="12"/>
      <c r="E6" s="8"/>
      <c r="F6" s="8"/>
      <c r="G6" s="9"/>
      <c r="H6" s="6"/>
      <c r="I6" s="6"/>
      <c r="J6" s="6"/>
      <c r="K6" s="6"/>
    </row>
    <row r="7" spans="1:13" ht="12.75" customHeight="1">
      <c r="A7" s="6"/>
      <c r="B7" s="9"/>
      <c r="C7" s="6"/>
      <c r="D7" s="6"/>
      <c r="E7" s="9"/>
      <c r="F7" s="145" t="s">
        <v>48</v>
      </c>
      <c r="G7" s="145"/>
      <c r="H7" s="9"/>
      <c r="I7" s="6"/>
      <c r="J7" s="6"/>
      <c r="K7" s="6"/>
    </row>
    <row r="8" spans="1:13" ht="12.75" customHeight="1" thickBot="1">
      <c r="A8" s="6"/>
      <c r="B8" s="6"/>
      <c r="C8" s="13" t="s">
        <v>36</v>
      </c>
      <c r="D8" s="7"/>
      <c r="E8" s="7"/>
      <c r="F8" s="14" t="s">
        <v>11</v>
      </c>
      <c r="G8" s="14" t="s">
        <v>9</v>
      </c>
      <c r="H8" s="9"/>
      <c r="I8" s="6"/>
      <c r="J8" s="6"/>
      <c r="K8" s="6"/>
    </row>
    <row r="9" spans="1:13" ht="12.75" customHeight="1">
      <c r="A9" s="6"/>
      <c r="B9" s="6"/>
      <c r="C9" s="66" t="s">
        <v>50</v>
      </c>
      <c r="D9" s="66" t="s">
        <v>49</v>
      </c>
      <c r="E9" s="69">
        <f>+'Input Data (Volumetric)'!C6/1000^2</f>
        <v>0</v>
      </c>
      <c r="F9" s="70">
        <f>+'Input Data (Volumetric)'!F6/1000^2</f>
        <v>4</v>
      </c>
      <c r="G9" s="70">
        <f>+'Input Data (Volumetric)'!D6/1000^2</f>
        <v>18</v>
      </c>
      <c r="H9" s="9"/>
      <c r="I9" s="6"/>
      <c r="J9" s="6"/>
      <c r="K9" s="6"/>
    </row>
    <row r="10" spans="1:13" ht="12.75" customHeight="1">
      <c r="A10" s="6"/>
      <c r="B10" s="6"/>
      <c r="C10" s="66" t="s">
        <v>51</v>
      </c>
      <c r="D10" s="66" t="s">
        <v>34</v>
      </c>
      <c r="E10" s="69">
        <f>+'Input Data (Volumetric)'!C7</f>
        <v>0</v>
      </c>
      <c r="F10" s="71">
        <f>+'Input Data (Volumetric)'!F7</f>
        <v>42.2</v>
      </c>
      <c r="G10" s="71">
        <f>+'Input Data (Volumetric)'!D7</f>
        <v>46.6</v>
      </c>
      <c r="H10" s="9"/>
      <c r="I10" s="106" t="s">
        <v>56</v>
      </c>
      <c r="J10" s="107"/>
      <c r="K10" s="108"/>
    </row>
    <row r="11" spans="1:13" ht="12.75" customHeight="1">
      <c r="A11" s="6"/>
      <c r="B11" s="6"/>
      <c r="C11" s="72" t="s">
        <v>44</v>
      </c>
      <c r="D11" s="5" t="s">
        <v>74</v>
      </c>
      <c r="E11" s="73">
        <f>+'Input Data (Volumetric)'!C8</f>
        <v>30.6</v>
      </c>
      <c r="F11" s="74">
        <f>+'Input Data (Volumetric)'!F8</f>
        <v>61.2</v>
      </c>
      <c r="G11" s="74">
        <f>+'Input Data (Volumetric)'!D8</f>
        <v>586.1</v>
      </c>
      <c r="H11" s="9"/>
      <c r="I11" s="15" t="s">
        <v>44</v>
      </c>
      <c r="J11" s="16" t="s">
        <v>3</v>
      </c>
      <c r="K11" s="51">
        <f>E11</f>
        <v>30.6</v>
      </c>
    </row>
    <row r="12" spans="1:13" ht="12.75" customHeight="1">
      <c r="A12" s="6"/>
      <c r="B12" s="6"/>
      <c r="C12" s="5" t="s">
        <v>5</v>
      </c>
      <c r="D12" s="5" t="s">
        <v>6</v>
      </c>
      <c r="E12" s="73">
        <f>+'Input Data (Volumetric)'!C14</f>
        <v>0.8</v>
      </c>
      <c r="F12" s="75">
        <f>+'Input Data (Volumetric)'!F14</f>
        <v>0.433</v>
      </c>
      <c r="G12" s="75">
        <f>+'Input Data (Volumetric)'!D14</f>
        <v>0.6</v>
      </c>
      <c r="H12" s="9"/>
      <c r="I12" s="17" t="s">
        <v>44</v>
      </c>
      <c r="J12" s="18" t="s">
        <v>4</v>
      </c>
      <c r="K12" s="52">
        <f>K11*(3.2808^3)/43560*1000000</f>
        <v>24806.918751566289</v>
      </c>
    </row>
    <row r="13" spans="1:13" ht="12.75" customHeight="1">
      <c r="A13" s="6"/>
      <c r="B13" s="6"/>
      <c r="C13" s="5" t="s">
        <v>52</v>
      </c>
      <c r="D13" s="5" t="s">
        <v>6</v>
      </c>
      <c r="E13" s="76">
        <f>+'Input Data (Volumetric)'!C12</f>
        <v>0.16</v>
      </c>
      <c r="F13" s="75">
        <f>+'Input Data (Volumetric)'!F12</f>
        <v>7.0000000000000007E-2</v>
      </c>
      <c r="G13" s="77">
        <f>+'Input Data (Volumetric)'!D12</f>
        <v>0.09</v>
      </c>
      <c r="H13" s="9"/>
      <c r="I13" s="19" t="s">
        <v>5</v>
      </c>
      <c r="J13" s="16" t="s">
        <v>6</v>
      </c>
      <c r="K13" s="53">
        <f>E12</f>
        <v>0.8</v>
      </c>
    </row>
    <row r="14" spans="1:13" ht="12.75" customHeight="1">
      <c r="A14" s="9"/>
      <c r="B14" s="9"/>
      <c r="C14" s="5" t="s">
        <v>53</v>
      </c>
      <c r="D14" s="5" t="s">
        <v>6</v>
      </c>
      <c r="E14" s="76">
        <f>+'Input Data (Volumetric)'!C13</f>
        <v>0.4</v>
      </c>
      <c r="F14" s="78">
        <f>+'Input Data (Volumetric)'!F13</f>
        <v>0.22</v>
      </c>
      <c r="G14" s="78">
        <f>+'Input Data (Volumetric)'!D13</f>
        <v>1</v>
      </c>
      <c r="H14" s="9"/>
      <c r="I14" s="20" t="s">
        <v>52</v>
      </c>
      <c r="J14" s="9" t="s">
        <v>6</v>
      </c>
      <c r="K14" s="54">
        <f>E13</f>
        <v>0.16</v>
      </c>
    </row>
    <row r="15" spans="1:13" ht="12.75" customHeight="1">
      <c r="A15" s="9"/>
      <c r="B15" s="9"/>
      <c r="C15" s="5" t="s">
        <v>67</v>
      </c>
      <c r="D15" s="5" t="s">
        <v>71</v>
      </c>
      <c r="E15" s="79">
        <f>+'Input Data (Volumetric)'!C26</f>
        <v>2.2000000000000002</v>
      </c>
      <c r="F15" s="80"/>
      <c r="G15" s="81"/>
      <c r="H15" s="9"/>
      <c r="I15" s="20" t="s">
        <v>53</v>
      </c>
      <c r="J15" s="9" t="s">
        <v>6</v>
      </c>
      <c r="K15" s="54">
        <f>E14</f>
        <v>0.4</v>
      </c>
    </row>
    <row r="16" spans="1:13" ht="12.75" customHeight="1">
      <c r="A16" s="9"/>
      <c r="B16" s="9"/>
      <c r="C16" s="5"/>
      <c r="D16" s="5"/>
      <c r="E16" s="82"/>
      <c r="F16" s="83"/>
      <c r="G16" s="77"/>
      <c r="H16" s="9"/>
      <c r="I16" s="20" t="s">
        <v>67</v>
      </c>
      <c r="J16" s="9" t="s">
        <v>0</v>
      </c>
      <c r="K16" s="21">
        <f>E15</f>
        <v>2.2000000000000002</v>
      </c>
    </row>
    <row r="17" spans="1:11" ht="12.75" customHeight="1">
      <c r="A17" s="9"/>
      <c r="B17" s="9"/>
      <c r="C17" s="5" t="s">
        <v>59</v>
      </c>
      <c r="D17" s="5" t="s">
        <v>75</v>
      </c>
      <c r="E17" s="84">
        <v>600</v>
      </c>
      <c r="F17" s="83"/>
      <c r="G17" s="77"/>
      <c r="H17" s="9"/>
      <c r="I17" s="60" t="s">
        <v>57</v>
      </c>
      <c r="J17" s="45" t="s">
        <v>7</v>
      </c>
      <c r="K17" s="61">
        <f>K18*(0.3048^3)</f>
        <v>0.19024183516594298</v>
      </c>
    </row>
    <row r="18" spans="1:11" ht="12.75" customHeight="1">
      <c r="A18" s="9"/>
      <c r="B18" s="9"/>
      <c r="C18" s="5"/>
      <c r="D18" s="5"/>
      <c r="E18" s="85"/>
      <c r="F18" s="83"/>
      <c r="G18" s="77"/>
      <c r="H18" s="9"/>
      <c r="I18" s="62" t="s">
        <v>57</v>
      </c>
      <c r="J18" s="63" t="s">
        <v>68</v>
      </c>
      <c r="K18" s="64">
        <f>(7758*K12*K14*K13*(1-K15)/K16)/1000000</f>
        <v>6.7183270053696438</v>
      </c>
    </row>
    <row r="19" spans="1:11" ht="12.75" customHeight="1">
      <c r="A19" s="9"/>
      <c r="B19" s="9"/>
      <c r="C19" s="5" t="s">
        <v>69</v>
      </c>
      <c r="D19" s="5" t="s">
        <v>6</v>
      </c>
      <c r="E19" s="86">
        <f>+'Input Data (Volumetric)'!C19</f>
        <v>0.15</v>
      </c>
      <c r="F19" s="87">
        <f>+'Input Data (Volumetric)'!F19</f>
        <v>0.12</v>
      </c>
      <c r="G19" s="88">
        <v>0.65</v>
      </c>
      <c r="H19" s="6"/>
      <c r="I19" s="19"/>
      <c r="J19" s="16"/>
      <c r="K19" s="22"/>
    </row>
    <row r="20" spans="1:11" ht="12.75" customHeight="1">
      <c r="A20" s="9"/>
      <c r="B20" s="9"/>
      <c r="C20" s="5"/>
      <c r="D20" s="5"/>
      <c r="E20" s="89"/>
      <c r="F20" s="87"/>
      <c r="G20" s="88"/>
      <c r="H20" s="6"/>
      <c r="I20" s="109" t="s">
        <v>60</v>
      </c>
      <c r="J20" s="110" t="s">
        <v>68</v>
      </c>
      <c r="K20" s="111">
        <f>+K18</f>
        <v>6.7183270053696438</v>
      </c>
    </row>
    <row r="21" spans="1:11" ht="12.75" customHeight="1">
      <c r="A21" s="9"/>
      <c r="B21" s="9"/>
      <c r="C21" s="5"/>
      <c r="D21" s="5"/>
      <c r="E21" s="5"/>
      <c r="F21" s="5"/>
      <c r="G21" s="90"/>
      <c r="H21" s="6"/>
      <c r="I21" s="19" t="s">
        <v>69</v>
      </c>
      <c r="J21" s="16" t="s">
        <v>47</v>
      </c>
      <c r="K21" s="103">
        <f>+E19</f>
        <v>0.15</v>
      </c>
    </row>
    <row r="22" spans="1:11" ht="12.75" customHeight="1">
      <c r="A22" s="6"/>
      <c r="B22" s="6"/>
      <c r="C22" s="5"/>
      <c r="D22" s="5"/>
      <c r="E22" s="90"/>
      <c r="F22" s="90"/>
      <c r="G22" s="90"/>
      <c r="H22" s="6"/>
      <c r="I22" s="20" t="s">
        <v>76</v>
      </c>
      <c r="J22" s="9" t="s">
        <v>68</v>
      </c>
      <c r="K22" s="104">
        <f>K21*K20</f>
        <v>1.0077490508054465</v>
      </c>
    </row>
    <row r="23" spans="1:11" ht="12.75" customHeight="1">
      <c r="A23" s="6"/>
      <c r="B23" s="6"/>
      <c r="C23" s="90"/>
      <c r="D23" s="90"/>
      <c r="E23" s="90"/>
      <c r="F23" s="90"/>
      <c r="G23" s="90"/>
      <c r="H23" s="6"/>
      <c r="I23" s="20"/>
      <c r="J23" s="9"/>
      <c r="K23" s="54"/>
    </row>
    <row r="24" spans="1:11" ht="12.75" customHeight="1">
      <c r="A24" s="6"/>
      <c r="B24" s="6"/>
      <c r="C24" s="90"/>
      <c r="D24" s="90"/>
      <c r="E24" s="90"/>
      <c r="F24" s="90"/>
      <c r="G24" s="90"/>
      <c r="H24" s="6"/>
      <c r="I24" s="23" t="s">
        <v>58</v>
      </c>
      <c r="J24" s="24" t="s">
        <v>8</v>
      </c>
      <c r="K24" s="105">
        <f>+K22*E17/1000</f>
        <v>0.60464943048326791</v>
      </c>
    </row>
    <row r="25" spans="1:11" ht="12.75" customHeight="1" thickBot="1">
      <c r="A25" s="6"/>
      <c r="B25" s="6"/>
      <c r="C25" s="91" t="s">
        <v>46</v>
      </c>
      <c r="D25" s="91"/>
      <c r="E25" s="91"/>
      <c r="F25" s="90"/>
      <c r="G25" s="90"/>
      <c r="H25" s="6"/>
      <c r="I25" s="20" t="s">
        <v>16</v>
      </c>
      <c r="J25" s="9" t="s">
        <v>6</v>
      </c>
      <c r="K25" s="25">
        <v>0.96</v>
      </c>
    </row>
    <row r="26" spans="1:11" ht="12.75" customHeight="1">
      <c r="A26" s="6"/>
      <c r="B26" s="6"/>
      <c r="C26" s="92" t="s">
        <v>60</v>
      </c>
      <c r="D26" s="92" t="s">
        <v>68</v>
      </c>
      <c r="E26" s="93">
        <f>K20</f>
        <v>6.7183270053696438</v>
      </c>
      <c r="F26" s="90"/>
      <c r="G26" s="90"/>
      <c r="H26" s="6"/>
      <c r="I26" s="112" t="s">
        <v>64</v>
      </c>
      <c r="J26" s="113" t="s">
        <v>8</v>
      </c>
      <c r="K26" s="114">
        <f>K24*$K$25</f>
        <v>0.58046345326393722</v>
      </c>
    </row>
    <row r="27" spans="1:11" ht="12.75" customHeight="1">
      <c r="A27" s="6"/>
      <c r="B27" s="6"/>
      <c r="C27" s="92" t="s">
        <v>73</v>
      </c>
      <c r="D27" s="92" t="s">
        <v>68</v>
      </c>
      <c r="E27" s="93">
        <f>K26</f>
        <v>0.58046345326393722</v>
      </c>
      <c r="F27" s="90"/>
      <c r="G27" s="90"/>
      <c r="H27" s="6"/>
    </row>
    <row r="28" spans="1:11" ht="12.75" customHeight="1">
      <c r="A28" s="6"/>
      <c r="B28" s="6"/>
      <c r="C28" s="6"/>
      <c r="D28" s="6"/>
      <c r="E28" s="6"/>
      <c r="F28" s="90"/>
      <c r="G28" s="90"/>
      <c r="H28" s="6"/>
      <c r="I28" s="6"/>
      <c r="J28" s="6"/>
      <c r="K28" s="6"/>
    </row>
    <row r="29" spans="1:11" ht="12.75" customHeight="1">
      <c r="A29" s="6"/>
      <c r="B29" s="6"/>
      <c r="C29" s="94" t="s">
        <v>64</v>
      </c>
      <c r="D29" s="94" t="s">
        <v>8</v>
      </c>
      <c r="E29" s="95">
        <f>+K26</f>
        <v>0.58046345326393722</v>
      </c>
      <c r="F29" s="90"/>
      <c r="G29" s="90"/>
      <c r="H29" s="6"/>
      <c r="I29" s="6"/>
      <c r="J29" s="6"/>
      <c r="K29" s="6"/>
    </row>
    <row r="30" spans="1:11" ht="12.75" customHeight="1">
      <c r="A30" s="6"/>
      <c r="B30" s="6"/>
      <c r="C30" s="90"/>
      <c r="D30" s="90"/>
      <c r="E30" s="90"/>
      <c r="F30" s="90"/>
      <c r="G30" s="90"/>
      <c r="H30" s="6"/>
      <c r="I30" s="6"/>
      <c r="J30" s="6"/>
      <c r="K30" s="6"/>
    </row>
    <row r="31" spans="1:11" ht="12.75" customHeight="1">
      <c r="A31" s="6"/>
      <c r="B31" s="6"/>
      <c r="C31" s="96" t="s">
        <v>39</v>
      </c>
      <c r="D31" s="90"/>
      <c r="E31" s="146" t="s">
        <v>48</v>
      </c>
      <c r="F31" s="146"/>
      <c r="G31" s="146"/>
      <c r="H31" s="6"/>
      <c r="I31" s="6"/>
      <c r="J31" s="6"/>
      <c r="K31" s="6"/>
    </row>
    <row r="32" spans="1:11" ht="12.75" customHeight="1" thickBot="1">
      <c r="A32" s="6"/>
      <c r="B32" s="6"/>
      <c r="C32" s="91" t="s">
        <v>40</v>
      </c>
      <c r="D32" s="97"/>
      <c r="E32" s="98" t="s">
        <v>11</v>
      </c>
      <c r="F32" s="98" t="s">
        <v>10</v>
      </c>
      <c r="G32" s="98" t="s">
        <v>9</v>
      </c>
      <c r="H32" s="6"/>
      <c r="I32" s="6"/>
      <c r="J32" s="6"/>
      <c r="K32" s="6"/>
    </row>
    <row r="33" spans="1:11" ht="12.75" customHeight="1">
      <c r="A33" s="6"/>
      <c r="B33" s="6"/>
      <c r="C33" s="90" t="s">
        <v>60</v>
      </c>
      <c r="D33" s="90" t="s">
        <v>68</v>
      </c>
      <c r="E33" s="99">
        <v>6.0749622378646988</v>
      </c>
      <c r="F33" s="99">
        <v>29.375967388029633</v>
      </c>
      <c r="G33" s="99">
        <v>101.95333608616937</v>
      </c>
      <c r="H33" s="6"/>
      <c r="I33" s="6"/>
      <c r="J33" s="6"/>
      <c r="K33" s="6"/>
    </row>
    <row r="34" spans="1:11" ht="12.75" customHeight="1">
      <c r="A34" s="6"/>
      <c r="B34" s="6"/>
      <c r="C34" s="100" t="s">
        <v>76</v>
      </c>
      <c r="D34" s="100" t="s">
        <v>68</v>
      </c>
      <c r="E34" s="101">
        <v>0.49013879050905801</v>
      </c>
      <c r="F34" s="101">
        <v>2.6569520529121862</v>
      </c>
      <c r="G34" s="101">
        <v>7.9573401333295051</v>
      </c>
      <c r="H34" s="6"/>
      <c r="I34" s="6"/>
      <c r="J34" s="6"/>
      <c r="K34" s="6"/>
    </row>
    <row r="35" spans="1:11" ht="12.75" customHeight="1">
      <c r="A35" s="6"/>
      <c r="B35" s="6"/>
      <c r="C35" s="90" t="s">
        <v>45</v>
      </c>
      <c r="D35" s="90" t="s">
        <v>2</v>
      </c>
      <c r="E35" s="102">
        <f>+E34/E33*100</f>
        <v>8.0681783905431814</v>
      </c>
      <c r="F35" s="102">
        <f t="shared" ref="F35:G35" si="0">+F34/F33*100</f>
        <v>9.0446452973489588</v>
      </c>
      <c r="G35" s="102">
        <f t="shared" si="0"/>
        <v>7.8048845077556699</v>
      </c>
      <c r="H35" s="6"/>
      <c r="I35" s="6"/>
      <c r="J35" s="6"/>
      <c r="K35" s="6"/>
    </row>
    <row r="36" spans="1:11" ht="12.75" customHeight="1">
      <c r="A36" s="6"/>
      <c r="B36" s="6"/>
      <c r="C36" s="66"/>
      <c r="D36" s="66"/>
      <c r="E36" s="68">
        <v>0.120070977861936</v>
      </c>
      <c r="F36" s="68">
        <v>0.146673304938294</v>
      </c>
      <c r="G36" s="68">
        <v>0.17243852751951499</v>
      </c>
      <c r="H36" s="6"/>
      <c r="I36" s="6"/>
      <c r="J36" s="6"/>
      <c r="K36" s="6"/>
    </row>
    <row r="37" spans="1:11" ht="12.75" customHeight="1">
      <c r="C37" s="55" t="s">
        <v>50</v>
      </c>
      <c r="D37" s="55" t="s">
        <v>63</v>
      </c>
      <c r="E37" s="56">
        <v>3.7377987046833692</v>
      </c>
      <c r="F37" s="56">
        <v>8.8707642217193996</v>
      </c>
      <c r="G37" s="56">
        <v>17.323373891827632</v>
      </c>
    </row>
    <row r="38" spans="1:11" ht="12.75" customHeight="1">
      <c r="C38" s="55" t="s">
        <v>51</v>
      </c>
      <c r="D38" s="55" t="s">
        <v>34</v>
      </c>
      <c r="E38" s="57">
        <v>41.98967679796101</v>
      </c>
      <c r="F38" s="57">
        <v>44.130551061610163</v>
      </c>
      <c r="G38" s="57">
        <v>46.596166833112939</v>
      </c>
    </row>
    <row r="39" spans="1:11" ht="12.75" customHeight="1">
      <c r="C39" s="55" t="s">
        <v>44</v>
      </c>
      <c r="D39" s="55" t="s">
        <v>3</v>
      </c>
      <c r="E39" s="57">
        <v>59.851611161494191</v>
      </c>
      <c r="F39" s="57">
        <v>172.30208169207637</v>
      </c>
      <c r="G39" s="57">
        <v>430.02907549034865</v>
      </c>
    </row>
    <row r="40" spans="1:11" ht="12.75" customHeight="1">
      <c r="C40" s="55" t="s">
        <v>5</v>
      </c>
      <c r="D40" s="55" t="s">
        <v>6</v>
      </c>
      <c r="E40" s="57">
        <v>0.43316271467655099</v>
      </c>
      <c r="F40" s="57">
        <v>0.50145671202709297</v>
      </c>
      <c r="G40" s="57">
        <v>0.60925074067137996</v>
      </c>
    </row>
    <row r="41" spans="1:11" ht="12.75" customHeight="1">
      <c r="C41" s="55" t="s">
        <v>52</v>
      </c>
      <c r="D41" s="55" t="s">
        <v>6</v>
      </c>
      <c r="E41" s="57">
        <v>0.19045983979262801</v>
      </c>
      <c r="F41" s="57">
        <v>0.24539776914640199</v>
      </c>
      <c r="G41" s="57">
        <v>0.274800610298579</v>
      </c>
    </row>
    <row r="42" spans="1:11" ht="12.75" customHeight="1">
      <c r="C42" s="55" t="s">
        <v>53</v>
      </c>
      <c r="D42" s="55" t="s">
        <v>6</v>
      </c>
      <c r="E42" s="57">
        <v>0.19738431186064601</v>
      </c>
      <c r="F42" s="57">
        <v>0.43390960010754498</v>
      </c>
      <c r="G42" s="57">
        <v>0.722874530625922</v>
      </c>
    </row>
    <row r="43" spans="1:11" ht="12.75" customHeight="1">
      <c r="C43" s="55"/>
      <c r="D43" s="55"/>
      <c r="E43" s="58"/>
      <c r="F43" s="58"/>
      <c r="G43" s="58"/>
    </row>
    <row r="44" spans="1:11" ht="12.75" customHeight="1">
      <c r="C44" s="66"/>
      <c r="D44" s="66"/>
      <c r="E44" s="67"/>
      <c r="F44" s="67"/>
      <c r="G44" s="67"/>
    </row>
    <row r="45" spans="1:11" ht="12.75" customHeight="1">
      <c r="C45" s="66"/>
      <c r="D45" s="66"/>
      <c r="E45" s="68"/>
      <c r="F45" s="68"/>
      <c r="G45" s="68"/>
    </row>
    <row r="46" spans="1:11" ht="12.75" customHeight="1">
      <c r="C46" s="55"/>
      <c r="D46" s="55"/>
      <c r="E46" s="57"/>
      <c r="F46" s="57"/>
      <c r="G46" s="57"/>
    </row>
    <row r="47" spans="1:11" ht="12.75" customHeight="1"/>
    <row r="48" spans="1:11" ht="12.75" customHeight="1"/>
    <row r="49" ht="12.75" customHeight="1"/>
    <row r="50" ht="12.75" customHeight="1"/>
    <row r="51" ht="12.75" customHeight="1"/>
    <row r="101" spans="16:16">
      <c r="P101" s="65"/>
    </row>
    <row r="102" spans="16:16">
      <c r="P102" s="65"/>
    </row>
    <row r="103" spans="16:16">
      <c r="P103" s="65"/>
    </row>
  </sheetData>
  <mergeCells count="2">
    <mergeCell ref="F7:G7"/>
    <mergeCell ref="E31:G31"/>
  </mergeCell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52232" r:id="rId4" name="RUN_1">
          <controlPr defaultSize="0" autoLine="0" r:id="rId5">
            <anchor moveWithCells="1">
              <from>
                <xdr:col>8</xdr:col>
                <xdr:colOff>0</xdr:colOff>
                <xdr:row>5</xdr:row>
                <xdr:rowOff>152400</xdr:rowOff>
              </from>
              <to>
                <xdr:col>12</xdr:col>
                <xdr:colOff>121920</xdr:colOff>
                <xdr:row>8</xdr:row>
                <xdr:rowOff>83820</xdr:rowOff>
              </to>
            </anchor>
          </controlPr>
        </control>
      </mc:Choice>
      <mc:Fallback>
        <control shapeId="52232" r:id="rId4" name="RUN_1"/>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FC000"/>
    <pageSetUpPr fitToPage="1"/>
  </sheetPr>
  <dimension ref="A2:AG115"/>
  <sheetViews>
    <sheetView showGridLines="0" topLeftCell="A4" workbookViewId="0">
      <selection activeCell="B5" sqref="B5"/>
    </sheetView>
  </sheetViews>
  <sheetFormatPr defaultRowHeight="10.199999999999999"/>
  <cols>
    <col min="22" max="22" width="14.42578125" customWidth="1"/>
  </cols>
  <sheetData>
    <row r="2" spans="2:33" ht="19.2">
      <c r="B2" s="48" t="s">
        <v>41</v>
      </c>
      <c r="C2" s="47"/>
      <c r="D2" s="47"/>
      <c r="E2" s="47"/>
      <c r="F2" s="47"/>
      <c r="G2" s="47"/>
      <c r="H2" s="47"/>
      <c r="I2" s="47"/>
      <c r="J2" s="47"/>
      <c r="K2" s="47"/>
      <c r="L2" s="47"/>
      <c r="M2" s="47"/>
      <c r="N2" s="47"/>
      <c r="O2" s="47"/>
      <c r="P2" s="47"/>
      <c r="Q2" s="47"/>
      <c r="R2" s="47"/>
      <c r="S2" s="47"/>
      <c r="T2" s="47"/>
      <c r="U2" s="47"/>
      <c r="V2" s="47"/>
      <c r="W2" s="47"/>
      <c r="X2" s="47"/>
      <c r="Y2" s="47"/>
      <c r="Z2" s="47"/>
      <c r="AA2" s="47"/>
      <c r="AB2" s="47"/>
      <c r="AC2" s="47"/>
      <c r="AD2" s="47"/>
      <c r="AE2" s="47"/>
      <c r="AF2" s="47"/>
      <c r="AG2" s="47"/>
    </row>
    <row r="89" spans="1:1">
      <c r="A89" s="59"/>
    </row>
    <row r="115" spans="1:1">
      <c r="A115" s="59"/>
    </row>
  </sheetData>
  <pageMargins left="0.70866141732283472" right="0.70866141732283472" top="0.74803149606299213" bottom="0.74803149606299213" header="0.31496062992125984" footer="0.31496062992125984"/>
  <pageSetup scale="77"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rgb="FFFFC000"/>
  </sheetPr>
  <dimension ref="A2:AH116"/>
  <sheetViews>
    <sheetView showGridLines="0" zoomScale="60" zoomScaleNormal="60" workbookViewId="0"/>
  </sheetViews>
  <sheetFormatPr defaultRowHeight="10.199999999999999"/>
  <cols>
    <col min="1" max="1" width="2.28515625" customWidth="1"/>
    <col min="16" max="16" width="3.42578125" customWidth="1"/>
  </cols>
  <sheetData>
    <row r="2" spans="2:34" ht="19.2">
      <c r="B2" s="48" t="s">
        <v>79</v>
      </c>
      <c r="C2" s="47"/>
      <c r="D2" s="47"/>
      <c r="E2" s="47"/>
      <c r="F2" s="47"/>
      <c r="G2" s="47"/>
      <c r="H2" s="47"/>
      <c r="I2" s="47"/>
      <c r="J2" s="47"/>
      <c r="K2" s="47"/>
      <c r="L2" s="47"/>
      <c r="M2" s="47"/>
      <c r="N2" s="47"/>
      <c r="O2" s="47"/>
      <c r="P2" s="47"/>
      <c r="Q2" s="48"/>
      <c r="R2" s="47"/>
      <c r="S2" s="47"/>
      <c r="T2" s="47"/>
      <c r="U2" s="47"/>
      <c r="V2" s="47"/>
      <c r="W2" s="47"/>
      <c r="X2" s="47"/>
      <c r="Y2" s="47"/>
      <c r="Z2" s="47"/>
      <c r="AA2" s="47"/>
      <c r="AB2" s="47"/>
      <c r="AC2" s="47"/>
      <c r="AD2" s="47"/>
      <c r="AE2" s="47"/>
      <c r="AF2" s="47"/>
      <c r="AG2" s="47"/>
      <c r="AH2" s="47"/>
    </row>
    <row r="43" spans="1:1">
      <c r="A43" s="59"/>
    </row>
    <row r="90" spans="1:1">
      <c r="A90" s="59"/>
    </row>
    <row r="116" spans="1:1">
      <c r="A116" s="59"/>
    </row>
  </sheetData>
  <pageMargins left="0.70866141732283472" right="0.70866141732283472" top="0.74803149606299213" bottom="0.74803149606299213" header="0.31496062992125984" footer="0.31496062992125984"/>
  <pageSetup scale="90" fitToWidth="2" fitToHeight="4" orientation="landscape" r:id="rId1"/>
  <rowBreaks count="2" manualBreakCount="2">
    <brk id="43" max="33" man="1"/>
    <brk id="83" max="33" man="1"/>
  </rowBreaks>
  <colBreaks count="1" manualBreakCount="1">
    <brk id="15" min="1" max="121" man="1"/>
  </col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1:U2026"/>
  <sheetViews>
    <sheetView showGridLines="0" workbookViewId="0">
      <selection activeCell="G12" sqref="G12"/>
    </sheetView>
  </sheetViews>
  <sheetFormatPr defaultRowHeight="10.199999999999999"/>
  <cols>
    <col min="3" max="5" width="9.28515625" style="131"/>
  </cols>
  <sheetData>
    <row r="1" spans="3:21">
      <c r="C1" s="142" t="s">
        <v>81</v>
      </c>
      <c r="D1" s="142" t="s">
        <v>52</v>
      </c>
      <c r="E1" s="142" t="s">
        <v>88</v>
      </c>
    </row>
    <row r="2" spans="3:21">
      <c r="C2" s="143" t="s">
        <v>85</v>
      </c>
      <c r="D2" s="143" t="s">
        <v>84</v>
      </c>
      <c r="E2" s="143" t="s">
        <v>84</v>
      </c>
    </row>
    <row r="3" spans="3:21">
      <c r="C3" s="141">
        <v>10568</v>
      </c>
      <c r="D3" s="144">
        <v>0.16</v>
      </c>
      <c r="E3" s="144">
        <v>0.72</v>
      </c>
    </row>
    <row r="4" spans="3:21">
      <c r="C4" s="141">
        <v>10568.5</v>
      </c>
      <c r="D4" s="144">
        <v>0.16</v>
      </c>
      <c r="E4" s="144">
        <v>0.65</v>
      </c>
    </row>
    <row r="5" spans="3:21">
      <c r="C5" s="141">
        <v>10569</v>
      </c>
      <c r="D5" s="144">
        <v>0.15</v>
      </c>
      <c r="E5" s="144">
        <v>0.69</v>
      </c>
    </row>
    <row r="6" spans="3:21">
      <c r="C6" s="141">
        <v>10569.5</v>
      </c>
      <c r="D6" s="144">
        <v>0.16</v>
      </c>
      <c r="E6" s="144">
        <v>0.66</v>
      </c>
    </row>
    <row r="7" spans="3:21">
      <c r="C7" s="141">
        <v>10570</v>
      </c>
      <c r="D7" s="144">
        <v>0.16</v>
      </c>
      <c r="E7" s="144">
        <v>0.64</v>
      </c>
    </row>
    <row r="8" spans="3:21">
      <c r="C8" s="141">
        <v>10570.5</v>
      </c>
      <c r="D8" s="144">
        <v>0.15</v>
      </c>
      <c r="E8" s="144">
        <v>0.69</v>
      </c>
      <c r="U8" s="130" t="s">
        <v>89</v>
      </c>
    </row>
    <row r="9" spans="3:21">
      <c r="C9" s="141">
        <v>10571</v>
      </c>
      <c r="D9" s="144">
        <v>0.15</v>
      </c>
      <c r="E9" s="144">
        <v>0.68</v>
      </c>
    </row>
    <row r="10" spans="3:21">
      <c r="C10" s="141">
        <v>10571.5</v>
      </c>
      <c r="D10" s="144">
        <v>0.15</v>
      </c>
      <c r="E10" s="144">
        <v>0.69</v>
      </c>
    </row>
    <row r="11" spans="3:21">
      <c r="C11" s="141">
        <v>10572</v>
      </c>
      <c r="D11" s="144">
        <v>0.16</v>
      </c>
      <c r="E11" s="144">
        <v>0.64</v>
      </c>
    </row>
    <row r="12" spans="3:21">
      <c r="C12" s="141">
        <v>10572.5</v>
      </c>
      <c r="D12" s="144">
        <v>0.16</v>
      </c>
      <c r="E12" s="144">
        <v>0.63</v>
      </c>
    </row>
    <row r="13" spans="3:21">
      <c r="C13" s="141">
        <v>10573</v>
      </c>
      <c r="D13" s="144">
        <v>0.16</v>
      </c>
      <c r="E13" s="144">
        <v>0.62</v>
      </c>
    </row>
    <row r="14" spans="3:21">
      <c r="C14" s="141">
        <v>10573.5</v>
      </c>
      <c r="D14" s="144">
        <v>0.16</v>
      </c>
      <c r="E14" s="144">
        <v>0.62</v>
      </c>
    </row>
    <row r="15" spans="3:21">
      <c r="C15" s="141">
        <v>10574</v>
      </c>
      <c r="D15" s="144">
        <v>0.16</v>
      </c>
      <c r="E15" s="144">
        <v>0.62</v>
      </c>
    </row>
    <row r="16" spans="3:21">
      <c r="C16" s="141">
        <v>10574.5</v>
      </c>
      <c r="D16" s="144">
        <v>0.16</v>
      </c>
      <c r="E16" s="144">
        <v>0.67</v>
      </c>
    </row>
    <row r="17" spans="3:5">
      <c r="C17" s="141">
        <v>10575</v>
      </c>
      <c r="D17" s="144">
        <v>0.17</v>
      </c>
      <c r="E17" s="144">
        <v>0.62</v>
      </c>
    </row>
    <row r="18" spans="3:5">
      <c r="C18" s="141">
        <v>10575.5</v>
      </c>
      <c r="D18" s="144">
        <v>0.18</v>
      </c>
      <c r="E18" s="144">
        <v>0.57999999999999996</v>
      </c>
    </row>
    <row r="19" spans="3:5">
      <c r="C19" s="141">
        <v>10576</v>
      </c>
      <c r="D19" s="144">
        <v>0.18</v>
      </c>
      <c r="E19" s="144">
        <v>0.56999999999999995</v>
      </c>
    </row>
    <row r="20" spans="3:5">
      <c r="C20" s="141">
        <v>10576.5</v>
      </c>
      <c r="D20" s="144">
        <v>0.19</v>
      </c>
      <c r="E20" s="144">
        <v>0.55000000000000004</v>
      </c>
    </row>
    <row r="21" spans="3:5">
      <c r="C21" s="141">
        <v>10577</v>
      </c>
      <c r="D21" s="144">
        <v>0.19</v>
      </c>
      <c r="E21" s="144">
        <v>0.55000000000000004</v>
      </c>
    </row>
    <row r="22" spans="3:5">
      <c r="C22" s="141">
        <v>10577.5</v>
      </c>
      <c r="D22" s="144">
        <v>0.18</v>
      </c>
      <c r="E22" s="144">
        <v>0.57999999999999996</v>
      </c>
    </row>
    <row r="23" spans="3:5">
      <c r="C23" s="141">
        <v>10578</v>
      </c>
      <c r="D23" s="144">
        <v>0.18</v>
      </c>
      <c r="E23" s="144">
        <v>0.59</v>
      </c>
    </row>
    <row r="24" spans="3:5">
      <c r="C24" s="141">
        <v>10578.5</v>
      </c>
      <c r="D24" s="144">
        <v>0.17</v>
      </c>
      <c r="E24" s="144">
        <v>0.61</v>
      </c>
    </row>
    <row r="25" spans="3:5">
      <c r="C25" s="141">
        <v>10579</v>
      </c>
      <c r="D25" s="144">
        <v>0.17</v>
      </c>
      <c r="E25" s="144">
        <v>0.64</v>
      </c>
    </row>
    <row r="26" spans="3:5">
      <c r="C26" s="141">
        <v>10579.5</v>
      </c>
      <c r="D26" s="144">
        <v>0.17</v>
      </c>
      <c r="E26" s="144">
        <v>0.66</v>
      </c>
    </row>
    <row r="27" spans="3:5">
      <c r="C27" s="141">
        <v>10580</v>
      </c>
      <c r="D27" s="144">
        <v>0.17</v>
      </c>
      <c r="E27" s="144">
        <v>0.65</v>
      </c>
    </row>
    <row r="28" spans="3:5">
      <c r="C28" s="141">
        <v>10580.5</v>
      </c>
      <c r="D28" s="144">
        <v>0.18</v>
      </c>
      <c r="E28" s="144">
        <v>0.63</v>
      </c>
    </row>
    <row r="29" spans="3:5">
      <c r="C29" s="141">
        <v>10581</v>
      </c>
      <c r="D29" s="144">
        <v>0.17</v>
      </c>
      <c r="E29" s="144">
        <v>0.63</v>
      </c>
    </row>
    <row r="30" spans="3:5">
      <c r="C30" s="141">
        <v>10581.5</v>
      </c>
      <c r="D30" s="144">
        <v>0.17</v>
      </c>
      <c r="E30" s="144">
        <v>0.64</v>
      </c>
    </row>
    <row r="31" spans="3:5">
      <c r="C31" s="141">
        <v>10582</v>
      </c>
      <c r="D31" s="144">
        <v>0.17</v>
      </c>
      <c r="E31" s="144">
        <v>0.6</v>
      </c>
    </row>
    <row r="32" spans="3:5">
      <c r="C32" s="141">
        <v>10582.5</v>
      </c>
      <c r="D32" s="144">
        <v>0.18</v>
      </c>
      <c r="E32" s="144">
        <v>0.56000000000000005</v>
      </c>
    </row>
    <row r="33" spans="3:5">
      <c r="C33" s="141">
        <v>10583</v>
      </c>
      <c r="D33" s="144">
        <v>0.18</v>
      </c>
      <c r="E33" s="144">
        <v>0.51</v>
      </c>
    </row>
    <row r="34" spans="3:5">
      <c r="C34" s="141">
        <v>10583.5</v>
      </c>
      <c r="D34" s="144">
        <v>0.18</v>
      </c>
      <c r="E34" s="144">
        <v>0.47</v>
      </c>
    </row>
    <row r="35" spans="3:5">
      <c r="C35" s="141">
        <v>10584</v>
      </c>
      <c r="D35" s="144">
        <v>0.18</v>
      </c>
      <c r="E35" s="144">
        <v>0.43</v>
      </c>
    </row>
    <row r="36" spans="3:5">
      <c r="C36" s="141">
        <v>10584.5</v>
      </c>
      <c r="D36" s="144">
        <v>0.18</v>
      </c>
      <c r="E36" s="144">
        <v>0.41</v>
      </c>
    </row>
    <row r="37" spans="3:5">
      <c r="C37" s="141">
        <v>10585</v>
      </c>
      <c r="D37" s="144">
        <v>0.17</v>
      </c>
      <c r="E37" s="144">
        <v>0.41</v>
      </c>
    </row>
    <row r="38" spans="3:5">
      <c r="C38" s="141">
        <v>10585.5</v>
      </c>
      <c r="D38" s="144">
        <v>0.17</v>
      </c>
      <c r="E38" s="144">
        <v>0.41</v>
      </c>
    </row>
    <row r="39" spans="3:5">
      <c r="C39" s="141">
        <v>10586</v>
      </c>
      <c r="D39" s="144">
        <v>0.16</v>
      </c>
      <c r="E39" s="144">
        <v>0.45</v>
      </c>
    </row>
    <row r="40" spans="3:5">
      <c r="C40" s="141">
        <v>10586.5</v>
      </c>
      <c r="D40" s="144">
        <v>0.16</v>
      </c>
      <c r="E40" s="144">
        <v>0.43</v>
      </c>
    </row>
    <row r="41" spans="3:5">
      <c r="C41" s="141">
        <v>10587</v>
      </c>
      <c r="D41" s="144">
        <v>0.16</v>
      </c>
      <c r="E41" s="144">
        <v>0.43</v>
      </c>
    </row>
    <row r="42" spans="3:5">
      <c r="C42" s="141">
        <v>10587.5</v>
      </c>
      <c r="D42" s="144">
        <v>0.16</v>
      </c>
      <c r="E42" s="144">
        <v>0.41</v>
      </c>
    </row>
    <row r="43" spans="3:5">
      <c r="C43" s="141">
        <v>10588</v>
      </c>
      <c r="D43" s="144">
        <v>0.17</v>
      </c>
      <c r="E43" s="144">
        <v>0.38</v>
      </c>
    </row>
    <row r="44" spans="3:5">
      <c r="C44" s="141">
        <v>10588.5</v>
      </c>
      <c r="D44" s="144">
        <v>0.17</v>
      </c>
      <c r="E44" s="144">
        <v>0.38</v>
      </c>
    </row>
    <row r="45" spans="3:5">
      <c r="C45" s="141">
        <v>10589</v>
      </c>
      <c r="D45" s="144">
        <v>0.18</v>
      </c>
      <c r="E45" s="144">
        <v>0.36</v>
      </c>
    </row>
    <row r="46" spans="3:5">
      <c r="C46" s="141">
        <v>10589.5</v>
      </c>
      <c r="D46" s="144">
        <v>0.18</v>
      </c>
      <c r="E46" s="144">
        <v>0.35</v>
      </c>
    </row>
    <row r="47" spans="3:5">
      <c r="C47" s="141">
        <v>10590</v>
      </c>
      <c r="D47" s="144">
        <v>0.18</v>
      </c>
      <c r="E47" s="144">
        <v>0.35</v>
      </c>
    </row>
    <row r="48" spans="3:5">
      <c r="C48" s="141">
        <v>10590.5</v>
      </c>
      <c r="D48" s="144">
        <v>0.17</v>
      </c>
      <c r="E48" s="144">
        <v>0.35</v>
      </c>
    </row>
    <row r="49" spans="3:5">
      <c r="C49" s="141">
        <v>10591</v>
      </c>
      <c r="D49" s="144">
        <v>0.17</v>
      </c>
      <c r="E49" s="144">
        <v>0.36</v>
      </c>
    </row>
    <row r="50" spans="3:5">
      <c r="C50" s="141">
        <v>10591.5</v>
      </c>
      <c r="D50" s="144">
        <v>0.16</v>
      </c>
      <c r="E50" s="144">
        <v>0.37</v>
      </c>
    </row>
    <row r="51" spans="3:5">
      <c r="C51" s="141">
        <v>10592</v>
      </c>
      <c r="D51" s="144">
        <v>0.16</v>
      </c>
      <c r="E51" s="144">
        <v>0.37</v>
      </c>
    </row>
    <row r="52" spans="3:5">
      <c r="C52" s="141">
        <v>10592.5</v>
      </c>
      <c r="D52" s="144">
        <v>0.15</v>
      </c>
      <c r="E52" s="144">
        <v>0.4</v>
      </c>
    </row>
    <row r="53" spans="3:5">
      <c r="C53" s="141">
        <v>10593</v>
      </c>
      <c r="D53" s="144">
        <v>0.14000000000000001</v>
      </c>
      <c r="E53" s="144">
        <v>0.41</v>
      </c>
    </row>
    <row r="54" spans="3:5">
      <c r="C54" s="141">
        <v>10593.5</v>
      </c>
      <c r="D54" s="144">
        <v>0.15</v>
      </c>
      <c r="E54" s="144">
        <v>0.4</v>
      </c>
    </row>
    <row r="55" spans="3:5">
      <c r="C55" s="141">
        <v>10594</v>
      </c>
      <c r="D55" s="144">
        <v>0.14000000000000001</v>
      </c>
      <c r="E55" s="144">
        <v>0.42</v>
      </c>
    </row>
    <row r="56" spans="3:5">
      <c r="C56" s="141">
        <v>10594.5</v>
      </c>
      <c r="D56" s="144">
        <v>0.13</v>
      </c>
      <c r="E56" s="144">
        <v>0.42</v>
      </c>
    </row>
    <row r="57" spans="3:5">
      <c r="C57" s="141">
        <v>10595</v>
      </c>
      <c r="D57" s="144">
        <v>0.13</v>
      </c>
      <c r="E57" s="144">
        <v>0.43</v>
      </c>
    </row>
    <row r="58" spans="3:5">
      <c r="C58" s="141">
        <v>10595.5</v>
      </c>
      <c r="D58" s="144">
        <v>0.12</v>
      </c>
      <c r="E58" s="144">
        <v>0.44</v>
      </c>
    </row>
    <row r="59" spans="3:5">
      <c r="C59" s="141">
        <v>10596</v>
      </c>
      <c r="D59" s="144">
        <v>0.13</v>
      </c>
      <c r="E59" s="144">
        <v>0.4</v>
      </c>
    </row>
    <row r="60" spans="3:5">
      <c r="C60" s="141">
        <v>10596.5</v>
      </c>
      <c r="D60" s="144">
        <v>0.14000000000000001</v>
      </c>
      <c r="E60" s="144">
        <v>0.36</v>
      </c>
    </row>
    <row r="61" spans="3:5">
      <c r="C61" s="141">
        <v>10597</v>
      </c>
      <c r="D61" s="144">
        <v>0.16</v>
      </c>
      <c r="E61" s="144">
        <v>0.32</v>
      </c>
    </row>
    <row r="62" spans="3:5">
      <c r="C62" s="141">
        <v>10597.5</v>
      </c>
      <c r="D62" s="144">
        <v>0.16</v>
      </c>
      <c r="E62" s="144">
        <v>0.3</v>
      </c>
    </row>
    <row r="63" spans="3:5">
      <c r="C63" s="141">
        <v>10598</v>
      </c>
      <c r="D63" s="144">
        <v>0.15</v>
      </c>
      <c r="E63" s="144">
        <v>0.3</v>
      </c>
    </row>
    <row r="64" spans="3:5">
      <c r="C64" s="141">
        <v>10598.5</v>
      </c>
      <c r="D64" s="144">
        <v>0.14000000000000001</v>
      </c>
      <c r="E64" s="144">
        <v>0.31</v>
      </c>
    </row>
    <row r="65" spans="3:5">
      <c r="C65" s="141">
        <v>10599</v>
      </c>
      <c r="D65" s="144">
        <v>0.14000000000000001</v>
      </c>
      <c r="E65" s="144">
        <v>0.31</v>
      </c>
    </row>
    <row r="66" spans="3:5">
      <c r="C66" s="141">
        <v>10599.5</v>
      </c>
      <c r="D66" s="144">
        <v>0.14000000000000001</v>
      </c>
      <c r="E66" s="144">
        <v>0.3</v>
      </c>
    </row>
    <row r="67" spans="3:5">
      <c r="C67" s="141">
        <v>10600</v>
      </c>
      <c r="D67" s="144">
        <v>0.14000000000000001</v>
      </c>
      <c r="E67" s="144">
        <v>0.3</v>
      </c>
    </row>
    <row r="68" spans="3:5">
      <c r="C68" s="141">
        <v>10600.5</v>
      </c>
      <c r="D68" s="144">
        <v>0.14000000000000001</v>
      </c>
      <c r="E68" s="144">
        <v>0.3</v>
      </c>
    </row>
    <row r="69" spans="3:5">
      <c r="C69" s="141">
        <v>10601</v>
      </c>
      <c r="D69" s="144">
        <v>0.13</v>
      </c>
      <c r="E69" s="144">
        <v>0.32</v>
      </c>
    </row>
    <row r="70" spans="3:5">
      <c r="C70" s="141">
        <v>10601.5</v>
      </c>
      <c r="D70" s="144">
        <v>0.13</v>
      </c>
      <c r="E70" s="144">
        <v>0.33</v>
      </c>
    </row>
    <row r="71" spans="3:5">
      <c r="C71" s="141">
        <v>10602</v>
      </c>
      <c r="D71" s="144">
        <v>0.14000000000000001</v>
      </c>
      <c r="E71" s="144">
        <v>0.3</v>
      </c>
    </row>
    <row r="72" spans="3:5">
      <c r="C72" s="141">
        <v>10602.5</v>
      </c>
      <c r="D72" s="144">
        <v>0.15</v>
      </c>
      <c r="E72" s="144">
        <v>0.27</v>
      </c>
    </row>
    <row r="73" spans="3:5">
      <c r="C73" s="141">
        <v>10603</v>
      </c>
      <c r="D73" s="144">
        <v>0.16</v>
      </c>
      <c r="E73" s="144">
        <v>0.26</v>
      </c>
    </row>
    <row r="74" spans="3:5">
      <c r="C74" s="141">
        <v>10603.5</v>
      </c>
      <c r="D74" s="144">
        <v>0.17</v>
      </c>
      <c r="E74" s="144">
        <v>0.24</v>
      </c>
    </row>
    <row r="75" spans="3:5">
      <c r="C75" s="141">
        <v>10604</v>
      </c>
      <c r="D75" s="144">
        <v>0.18</v>
      </c>
      <c r="E75" s="144">
        <v>0.23</v>
      </c>
    </row>
    <row r="76" spans="3:5">
      <c r="C76" s="141">
        <v>10604.5</v>
      </c>
      <c r="D76" s="144">
        <v>0.19</v>
      </c>
      <c r="E76" s="144">
        <v>0.22</v>
      </c>
    </row>
    <row r="77" spans="3:5">
      <c r="C77" s="141">
        <v>10605</v>
      </c>
      <c r="D77" s="144">
        <v>0.2</v>
      </c>
      <c r="E77" s="144">
        <v>0.22</v>
      </c>
    </row>
    <row r="78" spans="3:5">
      <c r="C78" s="141">
        <v>10605.5</v>
      </c>
      <c r="D78" s="144">
        <v>0.2</v>
      </c>
      <c r="E78" s="144">
        <v>0.22</v>
      </c>
    </row>
    <row r="79" spans="3:5">
      <c r="C79" s="141">
        <v>10606</v>
      </c>
      <c r="D79" s="144">
        <v>0.19</v>
      </c>
      <c r="E79" s="144">
        <v>0.23</v>
      </c>
    </row>
    <row r="80" spans="3:5">
      <c r="C80" s="141">
        <v>10606.5</v>
      </c>
      <c r="D80" s="144">
        <v>0.19</v>
      </c>
      <c r="E80" s="144">
        <v>0.22</v>
      </c>
    </row>
    <row r="81" spans="3:5">
      <c r="C81" s="141">
        <v>10607</v>
      </c>
      <c r="D81" s="144">
        <v>0.19</v>
      </c>
      <c r="E81" s="144">
        <v>0.22</v>
      </c>
    </row>
    <row r="82" spans="3:5">
      <c r="C82" s="141">
        <v>10607.5</v>
      </c>
      <c r="D82" s="144">
        <v>0.19</v>
      </c>
      <c r="E82" s="144">
        <v>0.21</v>
      </c>
    </row>
    <row r="83" spans="3:5">
      <c r="C83" s="141">
        <v>10608</v>
      </c>
      <c r="D83" s="144">
        <v>0.2</v>
      </c>
      <c r="E83" s="144">
        <v>0.2</v>
      </c>
    </row>
    <row r="84" spans="3:5">
      <c r="C84" s="141">
        <v>10608.5</v>
      </c>
      <c r="D84" s="144">
        <v>0.21</v>
      </c>
      <c r="E84" s="144">
        <v>0.19</v>
      </c>
    </row>
    <row r="85" spans="3:5">
      <c r="C85" s="141">
        <v>10609</v>
      </c>
      <c r="D85" s="144">
        <v>0.2</v>
      </c>
      <c r="E85" s="144">
        <v>0.2</v>
      </c>
    </row>
    <row r="86" spans="3:5">
      <c r="C86" s="141">
        <v>10609.5</v>
      </c>
      <c r="D86" s="144">
        <v>0.19</v>
      </c>
      <c r="E86" s="144">
        <v>0.2</v>
      </c>
    </row>
    <row r="87" spans="3:5">
      <c r="C87" s="141">
        <v>10610</v>
      </c>
      <c r="D87" s="144">
        <v>0.19</v>
      </c>
      <c r="E87" s="144">
        <v>0.2</v>
      </c>
    </row>
    <row r="88" spans="3:5">
      <c r="C88" s="141">
        <v>10610.5</v>
      </c>
      <c r="D88" s="144">
        <v>0.19</v>
      </c>
      <c r="E88" s="144">
        <v>0.19</v>
      </c>
    </row>
    <row r="89" spans="3:5">
      <c r="C89" s="141">
        <v>10611</v>
      </c>
      <c r="D89" s="144">
        <v>0.2</v>
      </c>
      <c r="E89" s="144">
        <v>0.18</v>
      </c>
    </row>
    <row r="90" spans="3:5">
      <c r="C90" s="141">
        <v>10611.5</v>
      </c>
      <c r="D90" s="144">
        <v>0.2</v>
      </c>
      <c r="E90" s="144">
        <v>0.18</v>
      </c>
    </row>
    <row r="91" spans="3:5">
      <c r="C91" s="141">
        <v>10612</v>
      </c>
      <c r="D91" s="144">
        <v>0.2</v>
      </c>
      <c r="E91" s="144">
        <v>0.18</v>
      </c>
    </row>
    <row r="92" spans="3:5">
      <c r="C92" s="141">
        <v>10612.5</v>
      </c>
      <c r="D92" s="144">
        <v>0.2</v>
      </c>
      <c r="E92" s="144">
        <v>0.18</v>
      </c>
    </row>
    <row r="93" spans="3:5">
      <c r="C93" s="141">
        <v>10613</v>
      </c>
      <c r="D93" s="144">
        <v>0.2</v>
      </c>
      <c r="E93" s="144">
        <v>0.18</v>
      </c>
    </row>
    <row r="94" spans="3:5">
      <c r="C94" s="141">
        <v>10613.5</v>
      </c>
      <c r="D94" s="144">
        <v>0.2</v>
      </c>
      <c r="E94" s="144">
        <v>0.18</v>
      </c>
    </row>
    <row r="95" spans="3:5">
      <c r="C95" s="141">
        <v>10614</v>
      </c>
      <c r="D95" s="144">
        <v>0.19</v>
      </c>
      <c r="E95" s="144">
        <v>0.18</v>
      </c>
    </row>
    <row r="96" spans="3:5">
      <c r="C96" s="141">
        <v>10614.5</v>
      </c>
      <c r="D96" s="144">
        <v>0.2</v>
      </c>
      <c r="E96" s="144">
        <v>0.18</v>
      </c>
    </row>
    <row r="97" spans="3:5">
      <c r="C97" s="141">
        <v>10615</v>
      </c>
      <c r="D97" s="144">
        <v>0.19</v>
      </c>
      <c r="E97" s="144">
        <v>0.18</v>
      </c>
    </row>
    <row r="98" spans="3:5">
      <c r="C98" s="141">
        <v>10615.5</v>
      </c>
      <c r="D98" s="144">
        <v>0.19</v>
      </c>
      <c r="E98" s="144">
        <v>0.18</v>
      </c>
    </row>
    <row r="99" spans="3:5">
      <c r="C99" s="141">
        <v>10616</v>
      </c>
      <c r="D99" s="144">
        <v>0.2</v>
      </c>
      <c r="E99" s="144">
        <v>0.17</v>
      </c>
    </row>
    <row r="100" spans="3:5">
      <c r="C100" s="141">
        <v>10616.5</v>
      </c>
      <c r="D100" s="144">
        <v>0.2</v>
      </c>
      <c r="E100" s="144">
        <v>0.17</v>
      </c>
    </row>
    <row r="101" spans="3:5">
      <c r="C101" s="141">
        <v>10617</v>
      </c>
      <c r="D101" s="144">
        <v>0.2</v>
      </c>
      <c r="E101" s="144">
        <v>0.16</v>
      </c>
    </row>
    <row r="102" spans="3:5">
      <c r="C102" s="141">
        <v>10617.5</v>
      </c>
      <c r="D102" s="144">
        <v>0.2</v>
      </c>
      <c r="E102" s="144">
        <v>0.16</v>
      </c>
    </row>
    <row r="103" spans="3:5">
      <c r="C103" s="141">
        <v>10618</v>
      </c>
      <c r="D103" s="144">
        <v>0.2</v>
      </c>
      <c r="E103" s="144">
        <v>0.16</v>
      </c>
    </row>
    <row r="104" spans="3:5">
      <c r="C104" s="141">
        <v>10618.5</v>
      </c>
      <c r="D104" s="144">
        <v>0.2</v>
      </c>
      <c r="E104" s="144">
        <v>0.16</v>
      </c>
    </row>
    <row r="105" spans="3:5">
      <c r="C105" s="141">
        <v>10619</v>
      </c>
      <c r="D105" s="144">
        <v>0.21</v>
      </c>
      <c r="E105" s="144">
        <v>0.15</v>
      </c>
    </row>
    <row r="106" spans="3:5">
      <c r="C106" s="141">
        <v>10619.5</v>
      </c>
      <c r="D106" s="144">
        <v>0.21</v>
      </c>
      <c r="E106" s="144">
        <v>0.15</v>
      </c>
    </row>
    <row r="107" spans="3:5">
      <c r="C107" s="141">
        <v>10620</v>
      </c>
      <c r="D107" s="144">
        <v>0.21</v>
      </c>
      <c r="E107" s="144">
        <v>0.16</v>
      </c>
    </row>
    <row r="108" spans="3:5">
      <c r="C108" s="141">
        <v>10620.5</v>
      </c>
      <c r="D108" s="144">
        <v>0.2</v>
      </c>
      <c r="E108" s="144">
        <v>0.16</v>
      </c>
    </row>
    <row r="109" spans="3:5">
      <c r="C109" s="141">
        <v>10621</v>
      </c>
      <c r="D109" s="144">
        <v>0.2</v>
      </c>
      <c r="E109" s="144">
        <v>0.16</v>
      </c>
    </row>
    <row r="110" spans="3:5">
      <c r="C110" s="141">
        <v>10621.5</v>
      </c>
      <c r="D110" s="144">
        <v>0.2</v>
      </c>
      <c r="E110" s="144">
        <v>0.16</v>
      </c>
    </row>
    <row r="111" spans="3:5">
      <c r="C111" s="141">
        <v>10622</v>
      </c>
      <c r="D111" s="144">
        <v>0.2</v>
      </c>
      <c r="E111" s="144">
        <v>0.16</v>
      </c>
    </row>
    <row r="112" spans="3:5">
      <c r="C112" s="141">
        <v>10622.5</v>
      </c>
      <c r="D112" s="144">
        <v>0.2</v>
      </c>
      <c r="E112" s="144">
        <v>0.16</v>
      </c>
    </row>
    <row r="113" spans="3:5">
      <c r="C113" s="141">
        <v>10623</v>
      </c>
      <c r="D113" s="144">
        <v>0.2</v>
      </c>
      <c r="E113" s="144">
        <v>0.16</v>
      </c>
    </row>
    <row r="114" spans="3:5">
      <c r="C114" s="141">
        <v>10623.5</v>
      </c>
      <c r="D114" s="144">
        <v>0.2</v>
      </c>
      <c r="E114" s="144">
        <v>0.16</v>
      </c>
    </row>
    <row r="115" spans="3:5">
      <c r="C115" s="141">
        <v>10624</v>
      </c>
      <c r="D115" s="144">
        <v>0.2</v>
      </c>
      <c r="E115" s="144">
        <v>0.16</v>
      </c>
    </row>
    <row r="116" spans="3:5">
      <c r="C116" s="141">
        <v>10624.5</v>
      </c>
      <c r="D116" s="144">
        <v>0.21</v>
      </c>
      <c r="E116" s="144">
        <v>0.16</v>
      </c>
    </row>
    <row r="117" spans="3:5">
      <c r="C117" s="141">
        <v>10625</v>
      </c>
      <c r="D117" s="144">
        <v>0.21</v>
      </c>
      <c r="E117" s="144">
        <v>0.15</v>
      </c>
    </row>
    <row r="118" spans="3:5">
      <c r="C118" s="141">
        <v>10625.5</v>
      </c>
      <c r="D118" s="144">
        <v>0.21</v>
      </c>
      <c r="E118" s="144">
        <v>0.15</v>
      </c>
    </row>
    <row r="119" spans="3:5">
      <c r="C119" s="141">
        <v>10626</v>
      </c>
      <c r="D119" s="144">
        <v>0.2</v>
      </c>
      <c r="E119" s="144">
        <v>0.16</v>
      </c>
    </row>
    <row r="120" spans="3:5">
      <c r="C120" s="141">
        <v>10626.5</v>
      </c>
      <c r="D120" s="144">
        <v>0.21</v>
      </c>
      <c r="E120" s="144">
        <v>0.15</v>
      </c>
    </row>
    <row r="121" spans="3:5">
      <c r="C121" s="141">
        <v>10627</v>
      </c>
      <c r="D121" s="144">
        <v>0.21</v>
      </c>
      <c r="E121" s="144">
        <v>0.15</v>
      </c>
    </row>
    <row r="122" spans="3:5">
      <c r="C122" s="141">
        <v>10627.5</v>
      </c>
      <c r="D122" s="144">
        <v>0.2</v>
      </c>
      <c r="E122" s="144">
        <v>0.16</v>
      </c>
    </row>
    <row r="123" spans="3:5">
      <c r="C123" s="141">
        <v>10628</v>
      </c>
      <c r="D123" s="144">
        <v>0.2</v>
      </c>
      <c r="E123" s="144">
        <v>0.16</v>
      </c>
    </row>
    <row r="124" spans="3:5">
      <c r="C124" s="141">
        <v>10628.5</v>
      </c>
      <c r="D124" s="144">
        <v>0.2</v>
      </c>
      <c r="E124" s="144">
        <v>0.16</v>
      </c>
    </row>
    <row r="125" spans="3:5">
      <c r="C125" s="141">
        <v>10629</v>
      </c>
      <c r="D125" s="144">
        <v>0.21</v>
      </c>
      <c r="E125" s="144">
        <v>0.15</v>
      </c>
    </row>
    <row r="126" spans="3:5">
      <c r="C126" s="141">
        <v>10629.5</v>
      </c>
      <c r="D126" s="144">
        <v>0.21</v>
      </c>
      <c r="E126" s="144">
        <v>0.15</v>
      </c>
    </row>
    <row r="127" spans="3:5">
      <c r="C127" s="141">
        <v>10630</v>
      </c>
      <c r="D127" s="144">
        <v>0.21</v>
      </c>
      <c r="E127" s="144">
        <v>0.15</v>
      </c>
    </row>
    <row r="128" spans="3:5">
      <c r="C128" s="141">
        <v>10630.5</v>
      </c>
      <c r="D128" s="144">
        <v>0.21</v>
      </c>
      <c r="E128" s="144">
        <v>0.15</v>
      </c>
    </row>
    <row r="129" spans="3:5">
      <c r="C129" s="141">
        <v>10631</v>
      </c>
      <c r="D129" s="144">
        <v>0.21</v>
      </c>
      <c r="E129" s="144">
        <v>0.16</v>
      </c>
    </row>
    <row r="130" spans="3:5">
      <c r="C130" s="141">
        <v>10631.5</v>
      </c>
      <c r="D130" s="144">
        <v>0.21</v>
      </c>
      <c r="E130" s="144">
        <v>0.16</v>
      </c>
    </row>
    <row r="131" spans="3:5">
      <c r="C131" s="141">
        <v>10632</v>
      </c>
      <c r="D131" s="144">
        <v>0.21</v>
      </c>
      <c r="E131" s="144">
        <v>0.16</v>
      </c>
    </row>
    <row r="132" spans="3:5">
      <c r="C132" s="141">
        <v>10632.5</v>
      </c>
      <c r="D132" s="144">
        <v>0.21</v>
      </c>
      <c r="E132" s="144">
        <v>0.16</v>
      </c>
    </row>
    <row r="133" spans="3:5">
      <c r="C133" s="141">
        <v>10633</v>
      </c>
      <c r="D133" s="144">
        <v>0.2</v>
      </c>
      <c r="E133" s="144">
        <v>0.17</v>
      </c>
    </row>
    <row r="134" spans="3:5">
      <c r="C134" s="141">
        <v>10633.5</v>
      </c>
      <c r="D134" s="144">
        <v>0.21</v>
      </c>
      <c r="E134" s="144">
        <v>0.17</v>
      </c>
    </row>
    <row r="135" spans="3:5">
      <c r="C135" s="141">
        <v>10634</v>
      </c>
      <c r="D135" s="144">
        <v>0.21</v>
      </c>
      <c r="E135" s="144">
        <v>0.17</v>
      </c>
    </row>
    <row r="136" spans="3:5">
      <c r="C136" s="141">
        <v>10634.5</v>
      </c>
      <c r="D136" s="144">
        <v>0.21</v>
      </c>
      <c r="E136" s="144">
        <v>0.17</v>
      </c>
    </row>
    <row r="137" spans="3:5">
      <c r="C137" s="141">
        <v>10635</v>
      </c>
      <c r="D137" s="144">
        <v>0.2</v>
      </c>
      <c r="E137" s="144">
        <v>0.17</v>
      </c>
    </row>
    <row r="138" spans="3:5">
      <c r="C138" s="141">
        <v>10635.5</v>
      </c>
      <c r="D138" s="144">
        <v>0.21</v>
      </c>
      <c r="E138" s="144">
        <v>0.17</v>
      </c>
    </row>
    <row r="139" spans="3:5">
      <c r="C139" s="141">
        <v>10636</v>
      </c>
      <c r="D139" s="144">
        <v>0.21</v>
      </c>
      <c r="E139" s="144">
        <v>0.17</v>
      </c>
    </row>
    <row r="140" spans="3:5">
      <c r="C140" s="141">
        <v>10636.5</v>
      </c>
      <c r="D140" s="144">
        <v>0.21</v>
      </c>
      <c r="E140" s="144">
        <v>0.16</v>
      </c>
    </row>
    <row r="141" spans="3:5">
      <c r="C141" s="141">
        <v>10637</v>
      </c>
      <c r="D141" s="144">
        <v>0.22</v>
      </c>
      <c r="E141" s="144">
        <v>0.17</v>
      </c>
    </row>
    <row r="142" spans="3:5">
      <c r="C142" s="141">
        <v>10637.5</v>
      </c>
      <c r="D142" s="144">
        <v>0.22</v>
      </c>
      <c r="E142" s="144">
        <v>0.16</v>
      </c>
    </row>
    <row r="143" spans="3:5">
      <c r="C143" s="141">
        <v>10638</v>
      </c>
      <c r="D143" s="144">
        <v>0.22</v>
      </c>
      <c r="E143" s="144">
        <v>0.16</v>
      </c>
    </row>
    <row r="144" spans="3:5">
      <c r="C144" s="141">
        <v>10638.5</v>
      </c>
      <c r="D144" s="144">
        <v>0.21</v>
      </c>
      <c r="E144" s="144">
        <v>0.17</v>
      </c>
    </row>
    <row r="145" spans="3:5">
      <c r="C145" s="141">
        <v>10639</v>
      </c>
      <c r="D145" s="144">
        <v>0.21</v>
      </c>
      <c r="E145" s="144">
        <v>0.17</v>
      </c>
    </row>
    <row r="146" spans="3:5">
      <c r="C146" s="141">
        <v>10639.5</v>
      </c>
      <c r="D146" s="144">
        <v>0.22</v>
      </c>
      <c r="E146" s="144">
        <v>0.16</v>
      </c>
    </row>
    <row r="147" spans="3:5">
      <c r="C147" s="141">
        <v>10640</v>
      </c>
      <c r="D147" s="144">
        <v>0.22</v>
      </c>
      <c r="E147" s="144">
        <v>0.16</v>
      </c>
    </row>
    <row r="148" spans="3:5">
      <c r="C148" s="141">
        <v>10640.5</v>
      </c>
      <c r="D148" s="144">
        <v>0.22</v>
      </c>
      <c r="E148" s="144">
        <v>0.16</v>
      </c>
    </row>
    <row r="149" spans="3:5">
      <c r="C149" s="141">
        <v>10641</v>
      </c>
      <c r="D149" s="144">
        <v>0.22</v>
      </c>
      <c r="E149" s="144">
        <v>0.16</v>
      </c>
    </row>
    <row r="150" spans="3:5">
      <c r="C150" s="141">
        <v>10641.5</v>
      </c>
      <c r="D150" s="144">
        <v>0.22</v>
      </c>
      <c r="E150" s="144">
        <v>0.15</v>
      </c>
    </row>
    <row r="151" spans="3:5">
      <c r="C151" s="141">
        <v>10642</v>
      </c>
      <c r="D151" s="144">
        <v>0.23</v>
      </c>
      <c r="E151" s="144">
        <v>0.15</v>
      </c>
    </row>
    <row r="152" spans="3:5">
      <c r="C152" s="141">
        <v>10642.5</v>
      </c>
      <c r="D152" s="144">
        <v>0.22</v>
      </c>
      <c r="E152" s="144">
        <v>0.15</v>
      </c>
    </row>
    <row r="153" spans="3:5">
      <c r="C153" s="141">
        <v>10643</v>
      </c>
      <c r="D153" s="144">
        <v>0.22</v>
      </c>
      <c r="E153" s="144">
        <v>0.16</v>
      </c>
    </row>
    <row r="154" spans="3:5">
      <c r="C154" s="141">
        <v>10643.5</v>
      </c>
      <c r="D154" s="144">
        <v>0.22</v>
      </c>
      <c r="E154" s="144">
        <v>0.16</v>
      </c>
    </row>
    <row r="155" spans="3:5">
      <c r="C155" s="141">
        <v>10644</v>
      </c>
      <c r="D155" s="144">
        <v>0.22</v>
      </c>
      <c r="E155" s="144">
        <v>0.16</v>
      </c>
    </row>
    <row r="156" spans="3:5">
      <c r="C156" s="141">
        <v>10644.5</v>
      </c>
      <c r="D156" s="144">
        <v>0.21</v>
      </c>
      <c r="E156" s="144">
        <v>0.17</v>
      </c>
    </row>
    <row r="157" spans="3:5">
      <c r="C157" s="141">
        <v>10645</v>
      </c>
      <c r="D157" s="144">
        <v>0.21</v>
      </c>
      <c r="E157" s="144">
        <v>0.17</v>
      </c>
    </row>
    <row r="158" spans="3:5">
      <c r="C158" s="141">
        <v>10645.5</v>
      </c>
      <c r="D158" s="144">
        <v>0.21</v>
      </c>
      <c r="E158" s="144">
        <v>0.16</v>
      </c>
    </row>
    <row r="159" spans="3:5">
      <c r="C159" s="141">
        <v>10646</v>
      </c>
      <c r="D159" s="144">
        <v>0.22</v>
      </c>
      <c r="E159" s="144">
        <v>0.16</v>
      </c>
    </row>
    <row r="160" spans="3:5">
      <c r="C160" s="141">
        <v>10646.5</v>
      </c>
      <c r="D160" s="144">
        <v>0.22</v>
      </c>
      <c r="E160" s="144">
        <v>0.16</v>
      </c>
    </row>
    <row r="161" spans="3:5">
      <c r="C161" s="141">
        <v>10647</v>
      </c>
      <c r="D161" s="144">
        <v>0.22</v>
      </c>
      <c r="E161" s="144">
        <v>0.15</v>
      </c>
    </row>
    <row r="162" spans="3:5">
      <c r="C162" s="141">
        <v>10647.5</v>
      </c>
      <c r="D162" s="144">
        <v>0.22</v>
      </c>
      <c r="E162" s="144">
        <v>0.16</v>
      </c>
    </row>
    <row r="163" spans="3:5">
      <c r="C163" s="141">
        <v>10648</v>
      </c>
      <c r="D163" s="144">
        <v>0.21</v>
      </c>
      <c r="E163" s="144">
        <v>0.16</v>
      </c>
    </row>
    <row r="164" spans="3:5">
      <c r="C164" s="141">
        <v>10648.5</v>
      </c>
      <c r="D164" s="144">
        <v>0.21</v>
      </c>
      <c r="E164" s="144">
        <v>0.16</v>
      </c>
    </row>
    <row r="165" spans="3:5">
      <c r="C165" s="141">
        <v>10649</v>
      </c>
      <c r="D165" s="144">
        <v>0.21</v>
      </c>
      <c r="E165" s="144">
        <v>0.16</v>
      </c>
    </row>
    <row r="166" spans="3:5">
      <c r="C166" s="141">
        <v>10649.5</v>
      </c>
      <c r="D166" s="144">
        <v>0.21</v>
      </c>
      <c r="E166" s="144">
        <v>0.16</v>
      </c>
    </row>
    <row r="167" spans="3:5">
      <c r="C167" s="141">
        <v>10650</v>
      </c>
      <c r="D167" s="144">
        <v>0.22</v>
      </c>
      <c r="E167" s="144">
        <v>0.16</v>
      </c>
    </row>
    <row r="168" spans="3:5">
      <c r="C168" s="141">
        <v>10650.5</v>
      </c>
      <c r="D168" s="144">
        <v>0.22</v>
      </c>
      <c r="E168" s="144">
        <v>0.15</v>
      </c>
    </row>
    <row r="169" spans="3:5">
      <c r="C169" s="141">
        <v>10651</v>
      </c>
      <c r="D169" s="144">
        <v>0.21</v>
      </c>
      <c r="E169" s="144">
        <v>0.16</v>
      </c>
    </row>
    <row r="170" spans="3:5">
      <c r="C170" s="141">
        <v>10651.5</v>
      </c>
      <c r="D170" s="144">
        <v>0.21</v>
      </c>
      <c r="E170" s="144">
        <v>0.16</v>
      </c>
    </row>
    <row r="171" spans="3:5">
      <c r="C171" s="141">
        <v>10652</v>
      </c>
      <c r="D171" s="144">
        <v>0.22</v>
      </c>
      <c r="E171" s="144">
        <v>0.16</v>
      </c>
    </row>
    <row r="172" spans="3:5">
      <c r="C172" s="141">
        <v>10652.5</v>
      </c>
      <c r="D172" s="144">
        <v>0.23</v>
      </c>
      <c r="E172" s="144">
        <v>0.15</v>
      </c>
    </row>
    <row r="173" spans="3:5">
      <c r="C173" s="141">
        <v>10653</v>
      </c>
      <c r="D173" s="144">
        <v>0.23</v>
      </c>
      <c r="E173" s="144">
        <v>0.15</v>
      </c>
    </row>
    <row r="174" spans="3:5">
      <c r="C174" s="141">
        <v>10653.5</v>
      </c>
      <c r="D174" s="144">
        <v>0.23</v>
      </c>
      <c r="E174" s="144">
        <v>0.15</v>
      </c>
    </row>
    <row r="175" spans="3:5">
      <c r="C175" s="141">
        <v>10654</v>
      </c>
      <c r="D175" s="144">
        <v>0.23</v>
      </c>
      <c r="E175" s="144">
        <v>0.15</v>
      </c>
    </row>
    <row r="176" spans="3:5">
      <c r="C176" s="141">
        <v>10654.5</v>
      </c>
      <c r="D176" s="144">
        <v>0.23</v>
      </c>
      <c r="E176" s="144">
        <v>0.15</v>
      </c>
    </row>
    <row r="177" spans="3:5">
      <c r="C177" s="141">
        <v>10655</v>
      </c>
      <c r="D177" s="144">
        <v>0.24</v>
      </c>
      <c r="E177" s="144">
        <v>0.15</v>
      </c>
    </row>
    <row r="178" spans="3:5">
      <c r="C178" s="141">
        <v>10655.5</v>
      </c>
      <c r="D178" s="144">
        <v>0.24</v>
      </c>
      <c r="E178" s="144">
        <v>0.15</v>
      </c>
    </row>
    <row r="179" spans="3:5">
      <c r="C179" s="141">
        <v>10656</v>
      </c>
      <c r="D179" s="144">
        <v>0.24</v>
      </c>
      <c r="E179" s="144">
        <v>0.15</v>
      </c>
    </row>
    <row r="180" spans="3:5">
      <c r="C180" s="141">
        <v>10656.5</v>
      </c>
      <c r="D180" s="144">
        <v>0.24</v>
      </c>
      <c r="E180" s="144">
        <v>0.15</v>
      </c>
    </row>
    <row r="181" spans="3:5">
      <c r="C181" s="141">
        <v>10657</v>
      </c>
      <c r="D181" s="144">
        <v>0.24</v>
      </c>
      <c r="E181" s="144">
        <v>0.15</v>
      </c>
    </row>
    <row r="182" spans="3:5">
      <c r="C182" s="141">
        <v>10657.5</v>
      </c>
      <c r="D182" s="144">
        <v>0.23</v>
      </c>
      <c r="E182" s="144">
        <v>0.16</v>
      </c>
    </row>
    <row r="183" spans="3:5">
      <c r="C183" s="141">
        <v>10658</v>
      </c>
      <c r="D183" s="144">
        <v>0.22</v>
      </c>
      <c r="E183" s="144">
        <v>0.17</v>
      </c>
    </row>
    <row r="184" spans="3:5">
      <c r="C184" s="141">
        <v>10658.5</v>
      </c>
      <c r="D184" s="144">
        <v>0.22</v>
      </c>
      <c r="E184" s="144">
        <v>0.17</v>
      </c>
    </row>
    <row r="185" spans="3:5">
      <c r="C185" s="141">
        <v>10659</v>
      </c>
      <c r="D185" s="144">
        <v>0.22</v>
      </c>
      <c r="E185" s="144">
        <v>0.17</v>
      </c>
    </row>
    <row r="186" spans="3:5">
      <c r="C186" s="141">
        <v>10659.5</v>
      </c>
      <c r="D186" s="144">
        <v>0.22</v>
      </c>
      <c r="E186" s="144">
        <v>0.17</v>
      </c>
    </row>
    <row r="187" spans="3:5">
      <c r="C187" s="141">
        <v>10660</v>
      </c>
      <c r="D187" s="144">
        <v>0.22</v>
      </c>
      <c r="E187" s="144">
        <v>0.16</v>
      </c>
    </row>
    <row r="188" spans="3:5">
      <c r="C188" s="141">
        <v>10660.5</v>
      </c>
      <c r="D188" s="144">
        <v>0.22</v>
      </c>
      <c r="E188" s="144">
        <v>0.16</v>
      </c>
    </row>
    <row r="189" spans="3:5">
      <c r="C189" s="141">
        <v>10661</v>
      </c>
      <c r="D189" s="144">
        <v>0.22</v>
      </c>
      <c r="E189" s="144">
        <v>0.16</v>
      </c>
    </row>
    <row r="190" spans="3:5">
      <c r="C190" s="141">
        <v>10661.5</v>
      </c>
      <c r="D190" s="144">
        <v>0.22</v>
      </c>
      <c r="E190" s="144">
        <v>0.16</v>
      </c>
    </row>
    <row r="191" spans="3:5">
      <c r="C191" s="141">
        <v>10662</v>
      </c>
      <c r="D191" s="144">
        <v>0.21</v>
      </c>
      <c r="E191" s="144">
        <v>0.16</v>
      </c>
    </row>
    <row r="192" spans="3:5">
      <c r="C192" s="141">
        <v>10662.5</v>
      </c>
      <c r="D192" s="144">
        <v>0.21</v>
      </c>
      <c r="E192" s="144">
        <v>0.16</v>
      </c>
    </row>
    <row r="193" spans="3:5">
      <c r="C193" s="141">
        <v>10663</v>
      </c>
      <c r="D193" s="144">
        <v>0.2</v>
      </c>
      <c r="E193" s="144">
        <v>0.17</v>
      </c>
    </row>
    <row r="194" spans="3:5">
      <c r="C194" s="141">
        <v>10663.5</v>
      </c>
      <c r="D194" s="144">
        <v>0.21</v>
      </c>
      <c r="E194" s="144">
        <v>0.16</v>
      </c>
    </row>
    <row r="195" spans="3:5">
      <c r="C195" s="141">
        <v>10664</v>
      </c>
      <c r="D195" s="144">
        <v>0.21</v>
      </c>
      <c r="E195" s="144">
        <v>0.16</v>
      </c>
    </row>
    <row r="196" spans="3:5">
      <c r="C196" s="141">
        <v>10664.5</v>
      </c>
      <c r="D196" s="144">
        <v>0.21</v>
      </c>
      <c r="E196" s="144">
        <v>0.17</v>
      </c>
    </row>
    <row r="197" spans="3:5">
      <c r="C197" s="141">
        <v>10665</v>
      </c>
      <c r="D197" s="144">
        <v>0.2</v>
      </c>
      <c r="E197" s="144">
        <v>0.17</v>
      </c>
    </row>
    <row r="198" spans="3:5">
      <c r="C198" s="141">
        <v>10665.5</v>
      </c>
      <c r="D198" s="144">
        <v>0.21</v>
      </c>
      <c r="E198" s="144">
        <v>0.17</v>
      </c>
    </row>
    <row r="199" spans="3:5">
      <c r="C199" s="141">
        <v>10666</v>
      </c>
      <c r="D199" s="144">
        <v>0.22</v>
      </c>
      <c r="E199" s="144">
        <v>0.16</v>
      </c>
    </row>
    <row r="200" spans="3:5">
      <c r="C200" s="141">
        <v>10666.5</v>
      </c>
      <c r="D200" s="144">
        <v>0.23</v>
      </c>
      <c r="E200" s="144">
        <v>0.15</v>
      </c>
    </row>
    <row r="201" spans="3:5">
      <c r="C201" s="141">
        <v>10667</v>
      </c>
      <c r="D201" s="144">
        <v>0.23</v>
      </c>
      <c r="E201" s="144">
        <v>0.16</v>
      </c>
    </row>
    <row r="202" spans="3:5">
      <c r="C202" s="141">
        <v>10667.5</v>
      </c>
      <c r="D202" s="144">
        <v>0.22</v>
      </c>
      <c r="E202" s="144">
        <v>0.16</v>
      </c>
    </row>
    <row r="203" spans="3:5">
      <c r="C203" s="141">
        <v>10668</v>
      </c>
      <c r="D203" s="144">
        <v>0.22</v>
      </c>
      <c r="E203" s="144">
        <v>0.16</v>
      </c>
    </row>
    <row r="204" spans="3:5">
      <c r="C204" s="141">
        <v>10668.5</v>
      </c>
      <c r="D204" s="144">
        <v>0.22</v>
      </c>
      <c r="E204" s="144">
        <v>0.17</v>
      </c>
    </row>
    <row r="205" spans="3:5">
      <c r="C205" s="141">
        <v>10669</v>
      </c>
      <c r="D205" s="144">
        <v>0.22</v>
      </c>
      <c r="E205" s="144">
        <v>0.16</v>
      </c>
    </row>
    <row r="206" spans="3:5">
      <c r="C206" s="141">
        <v>10669.5</v>
      </c>
      <c r="D206" s="144">
        <v>0.21</v>
      </c>
      <c r="E206" s="144">
        <v>0.17</v>
      </c>
    </row>
    <row r="207" spans="3:5">
      <c r="C207" s="141">
        <v>10670</v>
      </c>
      <c r="D207" s="144">
        <v>0.21</v>
      </c>
      <c r="E207" s="144">
        <v>0.17</v>
      </c>
    </row>
    <row r="208" spans="3:5">
      <c r="C208" s="141">
        <v>10670.5</v>
      </c>
      <c r="D208" s="144">
        <v>0.22</v>
      </c>
      <c r="E208" s="144">
        <v>0.16</v>
      </c>
    </row>
    <row r="209" spans="3:5">
      <c r="C209" s="141">
        <v>10671</v>
      </c>
      <c r="D209" s="144">
        <v>0.22</v>
      </c>
      <c r="E209" s="144">
        <v>0.16</v>
      </c>
    </row>
    <row r="210" spans="3:5">
      <c r="C210" s="141">
        <v>10671.5</v>
      </c>
      <c r="D210" s="144">
        <v>0.22</v>
      </c>
      <c r="E210" s="144">
        <v>0.16</v>
      </c>
    </row>
    <row r="211" spans="3:5">
      <c r="C211" s="141">
        <v>10672</v>
      </c>
      <c r="D211" s="144">
        <v>0.21</v>
      </c>
      <c r="E211" s="144">
        <v>0.16</v>
      </c>
    </row>
    <row r="212" spans="3:5">
      <c r="C212" s="141">
        <v>10672.5</v>
      </c>
      <c r="D212" s="144">
        <v>0.22</v>
      </c>
      <c r="E212" s="144">
        <v>0.16</v>
      </c>
    </row>
    <row r="213" spans="3:5">
      <c r="C213" s="141">
        <v>10673</v>
      </c>
      <c r="D213" s="144">
        <v>0.22</v>
      </c>
      <c r="E213" s="144">
        <v>0.15</v>
      </c>
    </row>
    <row r="214" spans="3:5">
      <c r="C214" s="141">
        <v>10673.5</v>
      </c>
      <c r="D214" s="144">
        <v>0.22</v>
      </c>
      <c r="E214" s="144">
        <v>0.15</v>
      </c>
    </row>
    <row r="215" spans="3:5">
      <c r="C215" s="141">
        <v>10674</v>
      </c>
      <c r="D215" s="144">
        <v>0.22</v>
      </c>
      <c r="E215" s="144">
        <v>0.15</v>
      </c>
    </row>
    <row r="216" spans="3:5">
      <c r="C216" s="141">
        <v>10674.5</v>
      </c>
      <c r="D216" s="144">
        <v>0.22</v>
      </c>
      <c r="E216" s="144">
        <v>0.15</v>
      </c>
    </row>
    <row r="217" spans="3:5">
      <c r="C217" s="141">
        <v>10675</v>
      </c>
      <c r="D217" s="144">
        <v>0.22</v>
      </c>
      <c r="E217" s="144">
        <v>0.15</v>
      </c>
    </row>
    <row r="218" spans="3:5">
      <c r="C218" s="141">
        <v>10675.5</v>
      </c>
      <c r="D218" s="144">
        <v>0.22</v>
      </c>
      <c r="E218" s="144">
        <v>0.15</v>
      </c>
    </row>
    <row r="219" spans="3:5">
      <c r="C219" s="141">
        <v>10676</v>
      </c>
      <c r="D219" s="144">
        <v>0.23</v>
      </c>
      <c r="E219" s="144">
        <v>0.15</v>
      </c>
    </row>
    <row r="220" spans="3:5">
      <c r="C220" s="141">
        <v>10676.5</v>
      </c>
      <c r="D220" s="144">
        <v>0.22</v>
      </c>
      <c r="E220" s="144">
        <v>0.15</v>
      </c>
    </row>
    <row r="221" spans="3:5">
      <c r="C221" s="141">
        <v>10677</v>
      </c>
      <c r="D221" s="144">
        <v>0.23</v>
      </c>
      <c r="E221" s="144">
        <v>0.15</v>
      </c>
    </row>
    <row r="222" spans="3:5">
      <c r="C222" s="141">
        <v>10677.5</v>
      </c>
      <c r="D222" s="144">
        <v>0.23</v>
      </c>
      <c r="E222" s="144">
        <v>0.15</v>
      </c>
    </row>
    <row r="223" spans="3:5">
      <c r="C223" s="141">
        <v>10678</v>
      </c>
      <c r="D223" s="144">
        <v>0.23</v>
      </c>
      <c r="E223" s="144">
        <v>0.15</v>
      </c>
    </row>
    <row r="224" spans="3:5">
      <c r="C224" s="141">
        <v>10678.5</v>
      </c>
      <c r="D224" s="144">
        <v>0.22</v>
      </c>
      <c r="E224" s="144">
        <v>0.16</v>
      </c>
    </row>
    <row r="225" spans="3:5">
      <c r="C225" s="141">
        <v>10679</v>
      </c>
      <c r="D225" s="144">
        <v>0.23</v>
      </c>
      <c r="E225" s="144">
        <v>0.15</v>
      </c>
    </row>
    <row r="226" spans="3:5">
      <c r="C226" s="141">
        <v>10679.5</v>
      </c>
      <c r="D226" s="144">
        <v>0.23</v>
      </c>
      <c r="E226" s="144">
        <v>0.15</v>
      </c>
    </row>
    <row r="227" spans="3:5">
      <c r="C227" s="141">
        <v>10680</v>
      </c>
      <c r="D227" s="144">
        <v>0.24</v>
      </c>
      <c r="E227" s="144">
        <v>0.15</v>
      </c>
    </row>
    <row r="228" spans="3:5">
      <c r="C228" s="141">
        <v>10680.5</v>
      </c>
      <c r="D228" s="144">
        <v>0.24</v>
      </c>
      <c r="E228" s="144">
        <v>0.15</v>
      </c>
    </row>
    <row r="229" spans="3:5">
      <c r="C229" s="141">
        <v>10681</v>
      </c>
      <c r="D229" s="144">
        <v>0.24</v>
      </c>
      <c r="E229" s="144">
        <v>0.15</v>
      </c>
    </row>
    <row r="230" spans="3:5">
      <c r="C230" s="141">
        <v>10681.5</v>
      </c>
      <c r="D230" s="144">
        <v>0.24</v>
      </c>
      <c r="E230" s="144">
        <v>0.15</v>
      </c>
    </row>
    <row r="231" spans="3:5">
      <c r="C231" s="141">
        <v>10682</v>
      </c>
      <c r="D231" s="144">
        <v>0.23</v>
      </c>
      <c r="E231" s="144">
        <v>0.16</v>
      </c>
    </row>
    <row r="232" spans="3:5">
      <c r="C232" s="141">
        <v>10682.5</v>
      </c>
      <c r="D232" s="144">
        <v>0.23</v>
      </c>
      <c r="E232" s="144">
        <v>0.15</v>
      </c>
    </row>
    <row r="233" spans="3:5">
      <c r="C233" s="141">
        <v>10683</v>
      </c>
      <c r="D233" s="144">
        <v>0.22</v>
      </c>
      <c r="E233" s="144">
        <v>0.16</v>
      </c>
    </row>
    <row r="234" spans="3:5">
      <c r="C234" s="141">
        <v>10683.5</v>
      </c>
      <c r="D234" s="144">
        <v>0.22</v>
      </c>
      <c r="E234" s="144">
        <v>0.16</v>
      </c>
    </row>
    <row r="235" spans="3:5">
      <c r="C235" s="141">
        <v>10684</v>
      </c>
      <c r="D235" s="144">
        <v>0.22</v>
      </c>
      <c r="E235" s="144">
        <v>0.16</v>
      </c>
    </row>
    <row r="236" spans="3:5">
      <c r="C236" s="141">
        <v>10684.5</v>
      </c>
      <c r="D236" s="144">
        <v>0.22</v>
      </c>
      <c r="E236" s="144">
        <v>0.16</v>
      </c>
    </row>
    <row r="237" spans="3:5">
      <c r="C237" s="141">
        <v>10685</v>
      </c>
      <c r="D237" s="144">
        <v>0.22</v>
      </c>
      <c r="E237" s="144">
        <v>0.16</v>
      </c>
    </row>
    <row r="238" spans="3:5">
      <c r="C238" s="141">
        <v>10685.5</v>
      </c>
      <c r="D238" s="144">
        <v>0.23</v>
      </c>
      <c r="E238" s="144">
        <v>0.16</v>
      </c>
    </row>
    <row r="239" spans="3:5">
      <c r="C239" s="141">
        <v>10686</v>
      </c>
      <c r="D239" s="144">
        <v>0.23</v>
      </c>
      <c r="E239" s="144">
        <v>0.16</v>
      </c>
    </row>
    <row r="240" spans="3:5">
      <c r="C240" s="141">
        <v>10686.5</v>
      </c>
      <c r="D240" s="144">
        <v>0.23</v>
      </c>
      <c r="E240" s="144">
        <v>0.16</v>
      </c>
    </row>
    <row r="241" spans="3:5">
      <c r="C241" s="141">
        <v>10687</v>
      </c>
      <c r="D241" s="144">
        <v>0.23</v>
      </c>
      <c r="E241" s="144">
        <v>0.16</v>
      </c>
    </row>
    <row r="242" spans="3:5">
      <c r="C242" s="141">
        <v>10687.5</v>
      </c>
      <c r="D242" s="144">
        <v>0.23</v>
      </c>
      <c r="E242" s="144">
        <v>0.15</v>
      </c>
    </row>
    <row r="243" spans="3:5">
      <c r="C243" s="141">
        <v>10688</v>
      </c>
      <c r="D243" s="144">
        <v>0.23</v>
      </c>
      <c r="E243" s="144">
        <v>0.15</v>
      </c>
    </row>
    <row r="244" spans="3:5">
      <c r="C244" s="141">
        <v>10688.5</v>
      </c>
      <c r="D244" s="144">
        <v>0.23</v>
      </c>
      <c r="E244" s="144">
        <v>0.15</v>
      </c>
    </row>
    <row r="245" spans="3:5">
      <c r="C245" s="141">
        <v>10689</v>
      </c>
      <c r="D245" s="144">
        <v>0.22</v>
      </c>
      <c r="E245" s="144">
        <v>0.16</v>
      </c>
    </row>
    <row r="246" spans="3:5">
      <c r="C246" s="141">
        <v>10689.5</v>
      </c>
      <c r="D246" s="144">
        <v>0.23</v>
      </c>
      <c r="E246" s="144">
        <v>0.16</v>
      </c>
    </row>
    <row r="247" spans="3:5">
      <c r="C247" s="141">
        <v>10690</v>
      </c>
      <c r="D247" s="144">
        <v>0.23</v>
      </c>
      <c r="E247" s="144">
        <v>0.15</v>
      </c>
    </row>
    <row r="248" spans="3:5">
      <c r="C248" s="141">
        <v>10690.5</v>
      </c>
      <c r="D248" s="144">
        <v>0.23</v>
      </c>
      <c r="E248" s="144">
        <v>0.15</v>
      </c>
    </row>
    <row r="249" spans="3:5">
      <c r="C249" s="141">
        <v>10691</v>
      </c>
      <c r="D249" s="144">
        <v>0.23</v>
      </c>
      <c r="E249" s="144">
        <v>0.16</v>
      </c>
    </row>
    <row r="250" spans="3:5">
      <c r="C250" s="141">
        <v>10691.5</v>
      </c>
      <c r="D250" s="144">
        <v>0.23</v>
      </c>
      <c r="E250" s="144">
        <v>0.16</v>
      </c>
    </row>
    <row r="251" spans="3:5">
      <c r="C251" s="141">
        <v>10692</v>
      </c>
      <c r="D251" s="144">
        <v>0.22</v>
      </c>
      <c r="E251" s="144">
        <v>0.17</v>
      </c>
    </row>
    <row r="252" spans="3:5">
      <c r="C252" s="141">
        <v>10692.5</v>
      </c>
      <c r="D252" s="144">
        <v>0.22</v>
      </c>
      <c r="E252" s="144">
        <v>0.17</v>
      </c>
    </row>
    <row r="253" spans="3:5">
      <c r="C253" s="141">
        <v>10693</v>
      </c>
      <c r="D253" s="144">
        <v>0.23</v>
      </c>
      <c r="E253" s="144">
        <v>0.16</v>
      </c>
    </row>
    <row r="254" spans="3:5">
      <c r="C254" s="141">
        <v>10693.5</v>
      </c>
      <c r="D254" s="144">
        <v>0.23</v>
      </c>
      <c r="E254" s="144">
        <v>0.16</v>
      </c>
    </row>
    <row r="255" spans="3:5">
      <c r="C255" s="141">
        <v>10694</v>
      </c>
      <c r="D255" s="144">
        <v>0.24</v>
      </c>
      <c r="E255" s="144">
        <v>0.16</v>
      </c>
    </row>
    <row r="256" spans="3:5">
      <c r="C256" s="141">
        <v>10694.5</v>
      </c>
      <c r="D256" s="144">
        <v>0.24</v>
      </c>
      <c r="E256" s="144">
        <v>0.16</v>
      </c>
    </row>
    <row r="257" spans="3:5">
      <c r="C257" s="141">
        <v>10695</v>
      </c>
      <c r="D257" s="144">
        <v>0.24</v>
      </c>
      <c r="E257" s="144">
        <v>0.16</v>
      </c>
    </row>
    <row r="258" spans="3:5">
      <c r="C258" s="141">
        <v>10695.5</v>
      </c>
      <c r="D258" s="144">
        <v>0.25</v>
      </c>
      <c r="E258" s="144">
        <v>0.16</v>
      </c>
    </row>
    <row r="259" spans="3:5">
      <c r="C259" s="141">
        <v>10696</v>
      </c>
      <c r="D259" s="144">
        <v>0.24</v>
      </c>
      <c r="E259" s="144">
        <v>0.16</v>
      </c>
    </row>
    <row r="260" spans="3:5">
      <c r="C260" s="141">
        <v>10696.5</v>
      </c>
      <c r="D260" s="144">
        <v>0.24</v>
      </c>
      <c r="E260" s="144">
        <v>0.16</v>
      </c>
    </row>
    <row r="261" spans="3:5">
      <c r="C261" s="141">
        <v>10697</v>
      </c>
      <c r="D261" s="144">
        <v>0.24</v>
      </c>
      <c r="E261" s="144">
        <v>0.16</v>
      </c>
    </row>
    <row r="262" spans="3:5">
      <c r="C262" s="141">
        <v>10697.5</v>
      </c>
      <c r="D262" s="144">
        <v>0.24</v>
      </c>
      <c r="E262" s="144">
        <v>0.16</v>
      </c>
    </row>
    <row r="263" spans="3:5">
      <c r="C263" s="141">
        <v>10698</v>
      </c>
      <c r="D263" s="144">
        <v>0.24</v>
      </c>
      <c r="E263" s="144">
        <v>0.16</v>
      </c>
    </row>
    <row r="264" spans="3:5">
      <c r="C264" s="141">
        <v>10698.5</v>
      </c>
      <c r="D264" s="144">
        <v>0.23</v>
      </c>
      <c r="E264" s="144">
        <v>0.16</v>
      </c>
    </row>
    <row r="265" spans="3:5">
      <c r="C265" s="141">
        <v>10699</v>
      </c>
      <c r="D265" s="144">
        <v>0.23</v>
      </c>
      <c r="E265" s="144">
        <v>0.16</v>
      </c>
    </row>
    <row r="266" spans="3:5">
      <c r="C266" s="141">
        <v>10699.5</v>
      </c>
      <c r="D266" s="144">
        <v>0.23</v>
      </c>
      <c r="E266" s="144">
        <v>0.16</v>
      </c>
    </row>
    <row r="267" spans="3:5">
      <c r="C267" s="141">
        <v>10700</v>
      </c>
      <c r="D267" s="144">
        <v>0.24</v>
      </c>
      <c r="E267" s="144">
        <v>0.16</v>
      </c>
    </row>
    <row r="268" spans="3:5">
      <c r="C268" s="141">
        <v>10700.5</v>
      </c>
      <c r="D268" s="144">
        <v>0.24</v>
      </c>
      <c r="E268" s="144">
        <v>0.16</v>
      </c>
    </row>
    <row r="269" spans="3:5">
      <c r="C269" s="141">
        <v>10701</v>
      </c>
      <c r="D269" s="144">
        <v>0.24</v>
      </c>
      <c r="E269" s="144">
        <v>0.16</v>
      </c>
    </row>
    <row r="270" spans="3:5">
      <c r="C270" s="141">
        <v>10701.5</v>
      </c>
      <c r="D270" s="144">
        <v>0.24</v>
      </c>
      <c r="E270" s="144">
        <v>0.16</v>
      </c>
    </row>
    <row r="271" spans="3:5">
      <c r="C271" s="141">
        <v>10702</v>
      </c>
      <c r="D271" s="144">
        <v>0.23</v>
      </c>
      <c r="E271" s="144">
        <v>0.16</v>
      </c>
    </row>
    <row r="272" spans="3:5">
      <c r="C272" s="141">
        <v>10702.5</v>
      </c>
      <c r="D272" s="144">
        <v>0.23</v>
      </c>
      <c r="E272" s="144">
        <v>0.17</v>
      </c>
    </row>
    <row r="273" spans="3:5">
      <c r="C273" s="141">
        <v>10703</v>
      </c>
      <c r="D273" s="144">
        <v>0.23</v>
      </c>
      <c r="E273" s="144">
        <v>0.16</v>
      </c>
    </row>
    <row r="274" spans="3:5">
      <c r="C274" s="141">
        <v>10703.5</v>
      </c>
      <c r="D274" s="144">
        <v>0.24</v>
      </c>
      <c r="E274" s="144">
        <v>0.16</v>
      </c>
    </row>
    <row r="275" spans="3:5">
      <c r="C275" s="141">
        <v>10704</v>
      </c>
      <c r="D275" s="144">
        <v>0.24</v>
      </c>
      <c r="E275" s="144">
        <v>0.16</v>
      </c>
    </row>
    <row r="276" spans="3:5">
      <c r="C276" s="141">
        <v>10704.5</v>
      </c>
      <c r="D276" s="144">
        <v>0.23</v>
      </c>
      <c r="E276" s="144">
        <v>0.16</v>
      </c>
    </row>
    <row r="277" spans="3:5">
      <c r="C277" s="141">
        <v>10705</v>
      </c>
      <c r="D277" s="144">
        <v>0.23</v>
      </c>
      <c r="E277" s="144">
        <v>0.17</v>
      </c>
    </row>
    <row r="278" spans="3:5">
      <c r="C278" s="141">
        <v>10705.5</v>
      </c>
      <c r="D278" s="144">
        <v>0.23</v>
      </c>
      <c r="E278" s="144">
        <v>0.17</v>
      </c>
    </row>
    <row r="279" spans="3:5">
      <c r="C279" s="141">
        <v>10706</v>
      </c>
      <c r="D279" s="144">
        <v>0.23</v>
      </c>
      <c r="E279" s="144">
        <v>0.17</v>
      </c>
    </row>
    <row r="280" spans="3:5">
      <c r="C280" s="141">
        <v>10706.5</v>
      </c>
      <c r="D280" s="144">
        <v>0.23</v>
      </c>
      <c r="E280" s="144">
        <v>0.17</v>
      </c>
    </row>
    <row r="281" spans="3:5">
      <c r="C281" s="141">
        <v>10707</v>
      </c>
      <c r="D281" s="144">
        <v>0.24</v>
      </c>
      <c r="E281" s="144">
        <v>0.16</v>
      </c>
    </row>
    <row r="282" spans="3:5">
      <c r="C282" s="141">
        <v>10707.5</v>
      </c>
      <c r="D282" s="144">
        <v>0.23</v>
      </c>
      <c r="E282" s="144">
        <v>0.17</v>
      </c>
    </row>
    <row r="283" spans="3:5">
      <c r="C283" s="141">
        <v>10708</v>
      </c>
      <c r="D283" s="144">
        <v>0.23</v>
      </c>
      <c r="E283" s="144">
        <v>0.17</v>
      </c>
    </row>
    <row r="284" spans="3:5">
      <c r="C284" s="141">
        <v>10708.5</v>
      </c>
      <c r="D284" s="144">
        <v>0.23</v>
      </c>
      <c r="E284" s="144">
        <v>0.17</v>
      </c>
    </row>
    <row r="285" spans="3:5">
      <c r="C285" s="141">
        <v>10709</v>
      </c>
      <c r="D285" s="144">
        <v>0.22</v>
      </c>
      <c r="E285" s="144">
        <v>0.18</v>
      </c>
    </row>
    <row r="286" spans="3:5">
      <c r="C286" s="141">
        <v>10709.5</v>
      </c>
      <c r="D286" s="144">
        <v>0.22</v>
      </c>
      <c r="E286" s="144">
        <v>0.17</v>
      </c>
    </row>
    <row r="287" spans="3:5">
      <c r="C287" s="141">
        <v>10710</v>
      </c>
      <c r="D287" s="144">
        <v>0.23</v>
      </c>
      <c r="E287" s="144">
        <v>0.17</v>
      </c>
    </row>
    <row r="288" spans="3:5">
      <c r="C288" s="141">
        <v>10710.5</v>
      </c>
      <c r="D288" s="144">
        <v>0.23</v>
      </c>
      <c r="E288" s="144">
        <v>0.17</v>
      </c>
    </row>
    <row r="289" spans="3:5">
      <c r="C289" s="141">
        <v>10711</v>
      </c>
      <c r="D289" s="144">
        <v>0.23</v>
      </c>
      <c r="E289" s="144">
        <v>0.18</v>
      </c>
    </row>
    <row r="290" spans="3:5">
      <c r="C290" s="141">
        <v>10711.5</v>
      </c>
      <c r="D290" s="144">
        <v>0.23</v>
      </c>
      <c r="E290" s="144">
        <v>0.18</v>
      </c>
    </row>
    <row r="291" spans="3:5">
      <c r="C291" s="141">
        <v>10712</v>
      </c>
      <c r="D291" s="144">
        <v>0.23</v>
      </c>
      <c r="E291" s="144">
        <v>0.18</v>
      </c>
    </row>
    <row r="292" spans="3:5">
      <c r="C292" s="141">
        <v>10712.5</v>
      </c>
      <c r="D292" s="144">
        <v>0.23</v>
      </c>
      <c r="E292" s="144">
        <v>0.18</v>
      </c>
    </row>
    <row r="293" spans="3:5">
      <c r="C293" s="141">
        <v>10713</v>
      </c>
      <c r="D293" s="144">
        <v>0.23</v>
      </c>
      <c r="E293" s="144">
        <v>0.19</v>
      </c>
    </row>
    <row r="294" spans="3:5">
      <c r="C294" s="141">
        <v>10713.5</v>
      </c>
      <c r="D294" s="144">
        <v>0.22</v>
      </c>
      <c r="E294" s="144">
        <v>0.2</v>
      </c>
    </row>
    <row r="295" spans="3:5">
      <c r="C295" s="141">
        <v>10714</v>
      </c>
      <c r="D295" s="144">
        <v>0.22</v>
      </c>
      <c r="E295" s="144">
        <v>0.2</v>
      </c>
    </row>
    <row r="296" spans="3:5">
      <c r="C296" s="141">
        <v>10714.5</v>
      </c>
      <c r="D296" s="144">
        <v>0.22</v>
      </c>
      <c r="E296" s="144">
        <v>0.2</v>
      </c>
    </row>
    <row r="297" spans="3:5">
      <c r="C297" s="141">
        <v>10715</v>
      </c>
      <c r="D297" s="144">
        <v>0.22</v>
      </c>
      <c r="E297" s="144">
        <v>0.2</v>
      </c>
    </row>
    <row r="298" spans="3:5">
      <c r="C298" s="141">
        <v>10715.5</v>
      </c>
      <c r="D298" s="144">
        <v>0.22</v>
      </c>
      <c r="E298" s="144">
        <v>0.19</v>
      </c>
    </row>
    <row r="299" spans="3:5">
      <c r="C299" s="141">
        <v>10716</v>
      </c>
      <c r="D299" s="144">
        <v>0.23</v>
      </c>
      <c r="E299" s="144">
        <v>0.18</v>
      </c>
    </row>
    <row r="300" spans="3:5">
      <c r="C300" s="141">
        <v>10716.5</v>
      </c>
      <c r="D300" s="144">
        <v>0.23</v>
      </c>
      <c r="E300" s="144">
        <v>0.18</v>
      </c>
    </row>
    <row r="301" spans="3:5">
      <c r="C301" s="141">
        <v>10717</v>
      </c>
      <c r="D301" s="144">
        <v>0.24</v>
      </c>
      <c r="E301" s="144">
        <v>0.17</v>
      </c>
    </row>
    <row r="302" spans="3:5">
      <c r="C302" s="141">
        <v>10717.5</v>
      </c>
      <c r="D302" s="144">
        <v>0.23</v>
      </c>
      <c r="E302" s="144">
        <v>0.17</v>
      </c>
    </row>
    <row r="303" spans="3:5">
      <c r="C303" s="141">
        <v>10718</v>
      </c>
      <c r="D303" s="144">
        <v>0.24</v>
      </c>
      <c r="E303" s="144">
        <v>0.16</v>
      </c>
    </row>
    <row r="304" spans="3:5">
      <c r="C304" s="141">
        <v>10718.5</v>
      </c>
      <c r="D304" s="144">
        <v>0.25</v>
      </c>
      <c r="E304" s="144">
        <v>0.16</v>
      </c>
    </row>
    <row r="305" spans="3:5">
      <c r="C305" s="141">
        <v>10719</v>
      </c>
      <c r="D305" s="144">
        <v>0.24</v>
      </c>
      <c r="E305" s="144">
        <v>0.16</v>
      </c>
    </row>
    <row r="306" spans="3:5">
      <c r="C306" s="141">
        <v>10719.5</v>
      </c>
      <c r="D306" s="144">
        <v>0.24</v>
      </c>
      <c r="E306" s="144">
        <v>0.17</v>
      </c>
    </row>
    <row r="307" spans="3:5">
      <c r="C307" s="141">
        <v>10720</v>
      </c>
      <c r="D307" s="144">
        <v>0.24</v>
      </c>
      <c r="E307" s="144">
        <v>0.17</v>
      </c>
    </row>
    <row r="308" spans="3:5">
      <c r="C308" s="141">
        <v>10720.5</v>
      </c>
      <c r="D308" s="144">
        <v>0.24</v>
      </c>
      <c r="E308" s="144">
        <v>0.17</v>
      </c>
    </row>
    <row r="309" spans="3:5">
      <c r="C309" s="141">
        <v>10721</v>
      </c>
      <c r="D309" s="144">
        <v>0.24</v>
      </c>
      <c r="E309" s="144">
        <v>0.18</v>
      </c>
    </row>
    <row r="310" spans="3:5">
      <c r="C310" s="141">
        <v>10721.5</v>
      </c>
      <c r="D310" s="144">
        <v>0.24</v>
      </c>
      <c r="E310" s="144">
        <v>0.18</v>
      </c>
    </row>
    <row r="311" spans="3:5">
      <c r="C311" s="141">
        <v>10722</v>
      </c>
      <c r="D311" s="144">
        <v>0.23</v>
      </c>
      <c r="E311" s="144">
        <v>0.19</v>
      </c>
    </row>
    <row r="312" spans="3:5">
      <c r="C312" s="141">
        <v>10722.5</v>
      </c>
      <c r="D312" s="144">
        <v>0.22</v>
      </c>
      <c r="E312" s="144">
        <v>0.2</v>
      </c>
    </row>
    <row r="313" spans="3:5">
      <c r="C313" s="141">
        <v>10723</v>
      </c>
      <c r="D313" s="144">
        <v>0.23</v>
      </c>
      <c r="E313" s="144">
        <v>0.19</v>
      </c>
    </row>
    <row r="314" spans="3:5">
      <c r="C314" s="141">
        <v>10723.5</v>
      </c>
      <c r="D314" s="144">
        <v>0.23</v>
      </c>
      <c r="E314" s="144">
        <v>0.2</v>
      </c>
    </row>
    <row r="315" spans="3:5">
      <c r="C315" s="141">
        <v>10724</v>
      </c>
      <c r="D315" s="144">
        <v>0.23</v>
      </c>
      <c r="E315" s="144">
        <v>0.2</v>
      </c>
    </row>
    <row r="316" spans="3:5">
      <c r="C316" s="141">
        <v>10724.5</v>
      </c>
      <c r="D316" s="144">
        <v>0.23</v>
      </c>
      <c r="E316" s="144">
        <v>0.2</v>
      </c>
    </row>
    <row r="317" spans="3:5">
      <c r="C317" s="141">
        <v>10725</v>
      </c>
      <c r="D317" s="144">
        <v>0.23</v>
      </c>
      <c r="E317" s="144">
        <v>0.21</v>
      </c>
    </row>
    <row r="318" spans="3:5">
      <c r="C318" s="141">
        <v>10725.5</v>
      </c>
      <c r="D318" s="144">
        <v>0.23</v>
      </c>
      <c r="E318" s="144">
        <v>0.21</v>
      </c>
    </row>
    <row r="319" spans="3:5">
      <c r="C319" s="141">
        <v>10726</v>
      </c>
      <c r="D319" s="144">
        <v>0.21</v>
      </c>
      <c r="E319" s="144">
        <v>0.23</v>
      </c>
    </row>
    <row r="320" spans="3:5">
      <c r="C320" s="141">
        <v>10726.5</v>
      </c>
      <c r="D320" s="144">
        <v>0.21</v>
      </c>
      <c r="E320" s="144">
        <v>0.23</v>
      </c>
    </row>
    <row r="321" spans="3:5">
      <c r="C321" s="141">
        <v>10727</v>
      </c>
      <c r="D321" s="144">
        <v>0.2</v>
      </c>
      <c r="E321" s="144">
        <v>0.24</v>
      </c>
    </row>
    <row r="322" spans="3:5">
      <c r="C322" s="141">
        <v>10727.5</v>
      </c>
      <c r="D322" s="144">
        <v>0.21</v>
      </c>
      <c r="E322" s="144">
        <v>0.23</v>
      </c>
    </row>
    <row r="323" spans="3:5">
      <c r="C323" s="141">
        <v>10728</v>
      </c>
      <c r="D323" s="144">
        <v>0.21</v>
      </c>
      <c r="E323" s="144">
        <v>0.22</v>
      </c>
    </row>
    <row r="324" spans="3:5">
      <c r="C324" s="141">
        <v>10728.5</v>
      </c>
      <c r="D324" s="144">
        <v>0.22</v>
      </c>
      <c r="E324" s="144">
        <v>0.22</v>
      </c>
    </row>
    <row r="325" spans="3:5">
      <c r="C325" s="141">
        <v>10729</v>
      </c>
      <c r="D325" s="144">
        <v>0.21</v>
      </c>
      <c r="E325" s="144">
        <v>0.21</v>
      </c>
    </row>
    <row r="326" spans="3:5">
      <c r="C326" s="141">
        <v>10729.5</v>
      </c>
      <c r="D326" s="144">
        <v>0.21</v>
      </c>
      <c r="E326" s="144">
        <v>0.21</v>
      </c>
    </row>
    <row r="327" spans="3:5">
      <c r="C327" s="141">
        <v>10730</v>
      </c>
      <c r="D327" s="144">
        <v>0.21</v>
      </c>
      <c r="E327" s="144">
        <v>0.21</v>
      </c>
    </row>
    <row r="328" spans="3:5">
      <c r="C328" s="141">
        <v>10730.5</v>
      </c>
      <c r="D328" s="144">
        <v>0.21</v>
      </c>
      <c r="E328" s="144">
        <v>0.21</v>
      </c>
    </row>
    <row r="329" spans="3:5">
      <c r="C329" s="141">
        <v>10731</v>
      </c>
      <c r="D329" s="144">
        <v>0.21</v>
      </c>
      <c r="E329" s="144">
        <v>0.21</v>
      </c>
    </row>
    <row r="330" spans="3:5">
      <c r="C330" s="141">
        <v>10731.5</v>
      </c>
      <c r="D330" s="144">
        <v>0.21</v>
      </c>
      <c r="E330" s="144">
        <v>0.22</v>
      </c>
    </row>
    <row r="331" spans="3:5">
      <c r="C331" s="141">
        <v>10732</v>
      </c>
      <c r="D331" s="144">
        <v>0.22</v>
      </c>
      <c r="E331" s="144">
        <v>0.21</v>
      </c>
    </row>
    <row r="332" spans="3:5">
      <c r="C332" s="141">
        <v>10732.5</v>
      </c>
      <c r="D332" s="144">
        <v>0.21</v>
      </c>
      <c r="E332" s="144">
        <v>0.22</v>
      </c>
    </row>
    <row r="333" spans="3:5">
      <c r="C333" s="141">
        <v>10733</v>
      </c>
      <c r="D333" s="144">
        <v>0.21</v>
      </c>
      <c r="E333" s="144">
        <v>0.23</v>
      </c>
    </row>
    <row r="334" spans="3:5">
      <c r="C334" s="141">
        <v>10733.5</v>
      </c>
      <c r="D334" s="144">
        <v>0.21</v>
      </c>
      <c r="E334" s="144">
        <v>0.22</v>
      </c>
    </row>
    <row r="335" spans="3:5">
      <c r="C335" s="141">
        <v>10734</v>
      </c>
      <c r="D335" s="144">
        <v>0.21</v>
      </c>
      <c r="E335" s="144">
        <v>0.22</v>
      </c>
    </row>
    <row r="336" spans="3:5">
      <c r="C336" s="141">
        <v>10734.5</v>
      </c>
      <c r="D336" s="144">
        <v>0.21</v>
      </c>
      <c r="E336" s="144">
        <v>0.22</v>
      </c>
    </row>
    <row r="337" spans="3:5">
      <c r="C337" s="141">
        <v>10735</v>
      </c>
      <c r="D337" s="144">
        <v>0.21</v>
      </c>
      <c r="E337" s="144">
        <v>0.22</v>
      </c>
    </row>
    <row r="338" spans="3:5">
      <c r="C338" s="141">
        <v>10735.5</v>
      </c>
      <c r="D338" s="144">
        <v>0.22</v>
      </c>
      <c r="E338" s="144">
        <v>0.22</v>
      </c>
    </row>
    <row r="339" spans="3:5">
      <c r="C339" s="141">
        <v>10736</v>
      </c>
      <c r="D339" s="144">
        <v>0.22</v>
      </c>
      <c r="E339" s="144">
        <v>0.21</v>
      </c>
    </row>
    <row r="340" spans="3:5">
      <c r="C340" s="141">
        <v>10736.5</v>
      </c>
      <c r="D340" s="144">
        <v>0.23</v>
      </c>
      <c r="E340" s="144">
        <v>0.21</v>
      </c>
    </row>
    <row r="341" spans="3:5">
      <c r="C341" s="141">
        <v>10737</v>
      </c>
      <c r="D341" s="144">
        <v>0.23</v>
      </c>
      <c r="E341" s="144">
        <v>0.2</v>
      </c>
    </row>
    <row r="342" spans="3:5">
      <c r="C342" s="141">
        <v>10737.5</v>
      </c>
      <c r="D342" s="144">
        <v>0.23</v>
      </c>
      <c r="E342" s="144">
        <v>0.21</v>
      </c>
    </row>
    <row r="343" spans="3:5">
      <c r="C343" s="141">
        <v>10738</v>
      </c>
      <c r="D343" s="144">
        <v>0.23</v>
      </c>
      <c r="E343" s="144">
        <v>0.2</v>
      </c>
    </row>
    <row r="344" spans="3:5">
      <c r="C344" s="141">
        <v>10738.5</v>
      </c>
      <c r="D344" s="144">
        <v>0.23</v>
      </c>
      <c r="E344" s="144">
        <v>0.21</v>
      </c>
    </row>
    <row r="345" spans="3:5">
      <c r="C345" s="141">
        <v>10739</v>
      </c>
      <c r="D345" s="144">
        <v>0.23</v>
      </c>
      <c r="E345" s="144">
        <v>0.2</v>
      </c>
    </row>
    <row r="346" spans="3:5">
      <c r="C346" s="141">
        <v>10739.5</v>
      </c>
      <c r="D346" s="144">
        <v>0.23</v>
      </c>
      <c r="E346" s="144">
        <v>0.2</v>
      </c>
    </row>
    <row r="347" spans="3:5">
      <c r="C347" s="141">
        <v>10740</v>
      </c>
      <c r="D347" s="144">
        <v>0.23</v>
      </c>
      <c r="E347" s="144">
        <v>0.21</v>
      </c>
    </row>
    <row r="348" spans="3:5">
      <c r="C348" s="141">
        <v>10740.5</v>
      </c>
      <c r="D348" s="144">
        <v>0.23</v>
      </c>
      <c r="E348" s="144">
        <v>0.21</v>
      </c>
    </row>
    <row r="349" spans="3:5">
      <c r="C349" s="141">
        <v>10741</v>
      </c>
      <c r="D349" s="144">
        <v>0.23</v>
      </c>
      <c r="E349" s="144">
        <v>0.21</v>
      </c>
    </row>
    <row r="350" spans="3:5">
      <c r="C350" s="141">
        <v>10741.5</v>
      </c>
      <c r="D350" s="144">
        <v>0.23</v>
      </c>
      <c r="E350" s="144">
        <v>0.21</v>
      </c>
    </row>
    <row r="351" spans="3:5">
      <c r="C351" s="141">
        <v>10742</v>
      </c>
      <c r="D351" s="144">
        <v>0.23</v>
      </c>
      <c r="E351" s="144">
        <v>0.21</v>
      </c>
    </row>
    <row r="352" spans="3:5">
      <c r="C352" s="141">
        <v>10742.5</v>
      </c>
      <c r="D352" s="144">
        <v>0.23</v>
      </c>
      <c r="E352" s="144">
        <v>0.2</v>
      </c>
    </row>
    <row r="353" spans="3:5">
      <c r="C353" s="141">
        <v>10743</v>
      </c>
      <c r="D353" s="144">
        <v>0.24</v>
      </c>
      <c r="E353" s="144">
        <v>0.19</v>
      </c>
    </row>
    <row r="354" spans="3:5">
      <c r="C354" s="141">
        <v>10743.5</v>
      </c>
      <c r="D354" s="144">
        <v>0.25</v>
      </c>
      <c r="E354" s="144">
        <v>0.18</v>
      </c>
    </row>
    <row r="355" spans="3:5">
      <c r="C355" s="141">
        <v>10744</v>
      </c>
      <c r="D355" s="144">
        <v>0.25</v>
      </c>
      <c r="E355" s="144">
        <v>0.18</v>
      </c>
    </row>
    <row r="356" spans="3:5">
      <c r="C356" s="141">
        <v>10744.5</v>
      </c>
      <c r="D356" s="144">
        <v>0.24</v>
      </c>
      <c r="E356" s="144">
        <v>0.18</v>
      </c>
    </row>
    <row r="357" spans="3:5">
      <c r="C357" s="141">
        <v>10745</v>
      </c>
      <c r="D357" s="144">
        <v>0.24</v>
      </c>
      <c r="E357" s="144">
        <v>0.18</v>
      </c>
    </row>
    <row r="358" spans="3:5">
      <c r="C358" s="141">
        <v>10745.5</v>
      </c>
      <c r="D358" s="144">
        <v>0.24</v>
      </c>
      <c r="E358" s="144">
        <v>0.17</v>
      </c>
    </row>
    <row r="359" spans="3:5">
      <c r="C359" s="141">
        <v>10746</v>
      </c>
      <c r="D359" s="144">
        <v>0.25</v>
      </c>
      <c r="E359" s="144">
        <v>0.17</v>
      </c>
    </row>
    <row r="360" spans="3:5">
      <c r="C360" s="141">
        <v>10746.5</v>
      </c>
      <c r="D360" s="144">
        <v>0.25</v>
      </c>
      <c r="E360" s="144">
        <v>0.17</v>
      </c>
    </row>
    <row r="361" spans="3:5">
      <c r="C361" s="141">
        <v>10747</v>
      </c>
      <c r="D361" s="144">
        <v>0.24</v>
      </c>
      <c r="E361" s="144">
        <v>0.18</v>
      </c>
    </row>
    <row r="362" spans="3:5">
      <c r="C362" s="141">
        <v>10747.5</v>
      </c>
      <c r="D362" s="144">
        <v>0.23</v>
      </c>
      <c r="E362" s="144">
        <v>0.19</v>
      </c>
    </row>
    <row r="363" spans="3:5">
      <c r="C363" s="141">
        <v>10748</v>
      </c>
      <c r="D363" s="144">
        <v>0.23</v>
      </c>
      <c r="E363" s="144">
        <v>0.19</v>
      </c>
    </row>
    <row r="364" spans="3:5">
      <c r="C364" s="141">
        <v>10748.5</v>
      </c>
      <c r="D364" s="144">
        <v>0.23</v>
      </c>
      <c r="E364" s="144">
        <v>0.2</v>
      </c>
    </row>
    <row r="365" spans="3:5">
      <c r="C365" s="141">
        <v>10749</v>
      </c>
      <c r="D365" s="144">
        <v>0.22</v>
      </c>
      <c r="E365" s="144">
        <v>0.21</v>
      </c>
    </row>
    <row r="366" spans="3:5">
      <c r="C366" s="141">
        <v>10749.5</v>
      </c>
      <c r="D366" s="144">
        <v>0.22</v>
      </c>
      <c r="E366" s="144">
        <v>0.21</v>
      </c>
    </row>
    <row r="367" spans="3:5">
      <c r="C367" s="141">
        <v>10750</v>
      </c>
      <c r="D367" s="144">
        <v>0.23</v>
      </c>
      <c r="E367" s="144">
        <v>0.21</v>
      </c>
    </row>
    <row r="368" spans="3:5">
      <c r="C368" s="141">
        <v>10750.5</v>
      </c>
      <c r="D368" s="144">
        <v>0.23</v>
      </c>
      <c r="E368" s="144">
        <v>0.21</v>
      </c>
    </row>
    <row r="369" spans="3:5">
      <c r="C369" s="141">
        <v>10751</v>
      </c>
      <c r="D369" s="144">
        <v>0.23</v>
      </c>
      <c r="E369" s="144">
        <v>0.21</v>
      </c>
    </row>
    <row r="370" spans="3:5">
      <c r="C370" s="141">
        <v>10751.5</v>
      </c>
      <c r="D370" s="144">
        <v>0.23</v>
      </c>
      <c r="E370" s="144">
        <v>0.22</v>
      </c>
    </row>
    <row r="371" spans="3:5">
      <c r="C371" s="141">
        <v>10752</v>
      </c>
      <c r="D371" s="144">
        <v>0.23</v>
      </c>
      <c r="E371" s="144">
        <v>0.21</v>
      </c>
    </row>
    <row r="372" spans="3:5">
      <c r="C372" s="141">
        <v>10752.5</v>
      </c>
      <c r="D372" s="144">
        <v>0.24</v>
      </c>
      <c r="E372" s="144">
        <v>0.2</v>
      </c>
    </row>
    <row r="373" spans="3:5">
      <c r="C373" s="141">
        <v>10753</v>
      </c>
      <c r="D373" s="144">
        <v>0.24</v>
      </c>
      <c r="E373" s="144">
        <v>0.2</v>
      </c>
    </row>
    <row r="374" spans="3:5">
      <c r="C374" s="141">
        <v>10753.5</v>
      </c>
      <c r="D374" s="144">
        <v>0.24</v>
      </c>
      <c r="E374" s="144">
        <v>0.2</v>
      </c>
    </row>
    <row r="375" spans="3:5">
      <c r="C375" s="141">
        <v>10754</v>
      </c>
      <c r="D375" s="144">
        <v>0.23</v>
      </c>
      <c r="E375" s="144">
        <v>0.2</v>
      </c>
    </row>
    <row r="376" spans="3:5">
      <c r="C376" s="141">
        <v>10754.5</v>
      </c>
      <c r="D376" s="144">
        <v>0.24</v>
      </c>
      <c r="E376" s="144">
        <v>0.2</v>
      </c>
    </row>
    <row r="377" spans="3:5">
      <c r="C377" s="141">
        <v>10755</v>
      </c>
      <c r="D377" s="144">
        <v>0.24</v>
      </c>
      <c r="E377" s="144">
        <v>0.2</v>
      </c>
    </row>
    <row r="378" spans="3:5">
      <c r="C378" s="141">
        <v>10755.5</v>
      </c>
      <c r="D378" s="144">
        <v>0.24</v>
      </c>
      <c r="E378" s="144">
        <v>0.2</v>
      </c>
    </row>
    <row r="379" spans="3:5">
      <c r="C379" s="141">
        <v>10756</v>
      </c>
      <c r="D379" s="144">
        <v>0.25</v>
      </c>
      <c r="E379" s="144">
        <v>0.2</v>
      </c>
    </row>
    <row r="380" spans="3:5">
      <c r="C380" s="141">
        <v>10756.5</v>
      </c>
      <c r="D380" s="144">
        <v>0.25</v>
      </c>
      <c r="E380" s="144">
        <v>0.2</v>
      </c>
    </row>
    <row r="381" spans="3:5">
      <c r="C381" s="141">
        <v>10757</v>
      </c>
      <c r="D381" s="144">
        <v>0.25</v>
      </c>
      <c r="E381" s="144">
        <v>0.2</v>
      </c>
    </row>
    <row r="382" spans="3:5">
      <c r="C382" s="141">
        <v>10757.5</v>
      </c>
      <c r="D382" s="144">
        <v>0.24</v>
      </c>
      <c r="E382" s="144">
        <v>0.21</v>
      </c>
    </row>
    <row r="383" spans="3:5">
      <c r="C383" s="141">
        <v>10758</v>
      </c>
      <c r="D383" s="144">
        <v>0.24</v>
      </c>
      <c r="E383" s="144">
        <v>0.21</v>
      </c>
    </row>
    <row r="384" spans="3:5">
      <c r="C384" s="141">
        <v>10758.5</v>
      </c>
      <c r="D384" s="144">
        <v>0.23</v>
      </c>
      <c r="E384" s="144">
        <v>0.22</v>
      </c>
    </row>
    <row r="385" spans="3:5">
      <c r="C385" s="141">
        <v>10759</v>
      </c>
      <c r="D385" s="144">
        <v>0.23</v>
      </c>
      <c r="E385" s="144">
        <v>0.23</v>
      </c>
    </row>
    <row r="386" spans="3:5">
      <c r="C386" s="141">
        <v>10759.5</v>
      </c>
      <c r="D386" s="144">
        <v>0.22</v>
      </c>
      <c r="E386" s="144">
        <v>0.24</v>
      </c>
    </row>
    <row r="387" spans="3:5">
      <c r="C387" s="141">
        <v>10760</v>
      </c>
      <c r="D387" s="144">
        <v>0.2</v>
      </c>
      <c r="E387" s="144">
        <v>0.26</v>
      </c>
    </row>
    <row r="388" spans="3:5">
      <c r="C388" s="141">
        <v>10760.5</v>
      </c>
      <c r="D388" s="144">
        <v>0.19</v>
      </c>
      <c r="E388" s="144">
        <v>0.27</v>
      </c>
    </row>
    <row r="389" spans="3:5">
      <c r="C389" s="141">
        <v>10761</v>
      </c>
      <c r="D389" s="144">
        <v>0.2</v>
      </c>
      <c r="E389" s="144">
        <v>0.27</v>
      </c>
    </row>
    <row r="390" spans="3:5">
      <c r="C390" s="141">
        <v>10761.5</v>
      </c>
      <c r="D390" s="144">
        <v>0.21</v>
      </c>
      <c r="E390" s="144">
        <v>0.25</v>
      </c>
    </row>
    <row r="391" spans="3:5">
      <c r="C391" s="141">
        <v>10762</v>
      </c>
      <c r="D391" s="144">
        <v>0.24</v>
      </c>
      <c r="E391" s="144">
        <v>0.22</v>
      </c>
    </row>
    <row r="392" spans="3:5">
      <c r="C392" s="141">
        <v>10762.5</v>
      </c>
      <c r="D392" s="144">
        <v>0.23</v>
      </c>
      <c r="E392" s="144">
        <v>0.22</v>
      </c>
    </row>
    <row r="393" spans="3:5">
      <c r="C393" s="141">
        <v>10763</v>
      </c>
      <c r="D393" s="144">
        <v>0.23</v>
      </c>
      <c r="E393" s="144">
        <v>0.23</v>
      </c>
    </row>
    <row r="394" spans="3:5">
      <c r="C394" s="141">
        <v>10763.5</v>
      </c>
      <c r="D394" s="144">
        <v>0.22</v>
      </c>
      <c r="E394" s="144">
        <v>0.23</v>
      </c>
    </row>
    <row r="395" spans="3:5">
      <c r="C395" s="141">
        <v>10764</v>
      </c>
      <c r="D395" s="144">
        <v>0.23</v>
      </c>
      <c r="E395" s="144">
        <v>0.22</v>
      </c>
    </row>
    <row r="396" spans="3:5">
      <c r="C396" s="141">
        <v>10764.5</v>
      </c>
      <c r="D396" s="144">
        <v>0.23</v>
      </c>
      <c r="E396" s="144">
        <v>0.21</v>
      </c>
    </row>
    <row r="397" spans="3:5">
      <c r="C397" s="141">
        <v>10765</v>
      </c>
      <c r="D397" s="144">
        <v>0.23</v>
      </c>
      <c r="E397" s="144">
        <v>0.21</v>
      </c>
    </row>
    <row r="398" spans="3:5">
      <c r="C398" s="141">
        <v>10765.5</v>
      </c>
      <c r="D398" s="144">
        <v>0.24</v>
      </c>
      <c r="E398" s="144">
        <v>0.2</v>
      </c>
    </row>
    <row r="399" spans="3:5">
      <c r="C399" s="141">
        <v>10766</v>
      </c>
      <c r="D399" s="144">
        <v>0.23</v>
      </c>
      <c r="E399" s="144">
        <v>0.2</v>
      </c>
    </row>
    <row r="400" spans="3:5">
      <c r="C400" s="141">
        <v>10766.5</v>
      </c>
      <c r="D400" s="144">
        <v>0.23</v>
      </c>
      <c r="E400" s="144">
        <v>0.21</v>
      </c>
    </row>
    <row r="401" spans="3:5">
      <c r="C401" s="141">
        <v>10767</v>
      </c>
      <c r="D401" s="144">
        <v>0.23</v>
      </c>
      <c r="E401" s="144">
        <v>0.2</v>
      </c>
    </row>
    <row r="402" spans="3:5">
      <c r="C402" s="141">
        <v>10767.5</v>
      </c>
      <c r="D402" s="144">
        <v>0.23</v>
      </c>
      <c r="E402" s="144">
        <v>0.2</v>
      </c>
    </row>
    <row r="403" spans="3:5">
      <c r="C403" s="141">
        <v>10768</v>
      </c>
      <c r="D403" s="144">
        <v>0.23</v>
      </c>
      <c r="E403" s="144">
        <v>0.2</v>
      </c>
    </row>
    <row r="404" spans="3:5">
      <c r="C404" s="141">
        <v>10768.5</v>
      </c>
      <c r="D404" s="144">
        <v>0.24</v>
      </c>
      <c r="E404" s="144">
        <v>0.2</v>
      </c>
    </row>
    <row r="405" spans="3:5">
      <c r="C405" s="141">
        <v>10769</v>
      </c>
      <c r="D405" s="144">
        <v>0.25</v>
      </c>
      <c r="E405" s="144">
        <v>0.19</v>
      </c>
    </row>
    <row r="406" spans="3:5">
      <c r="C406" s="141">
        <v>10769.5</v>
      </c>
      <c r="D406" s="144">
        <v>0.25</v>
      </c>
      <c r="E406" s="144">
        <v>0.19</v>
      </c>
    </row>
    <row r="407" spans="3:5">
      <c r="C407" s="141">
        <v>10770</v>
      </c>
      <c r="D407" s="144">
        <v>0.25</v>
      </c>
      <c r="E407" s="144">
        <v>0.2</v>
      </c>
    </row>
    <row r="408" spans="3:5">
      <c r="C408" s="141">
        <v>10770.5</v>
      </c>
      <c r="D408" s="144">
        <v>0.25</v>
      </c>
      <c r="E408" s="144">
        <v>0.2</v>
      </c>
    </row>
    <row r="409" spans="3:5">
      <c r="C409" s="141">
        <v>10771</v>
      </c>
      <c r="D409" s="144">
        <v>0.25</v>
      </c>
      <c r="E409" s="144">
        <v>0.2</v>
      </c>
    </row>
    <row r="410" spans="3:5">
      <c r="C410" s="141">
        <v>10771.5</v>
      </c>
      <c r="D410" s="144">
        <v>0.25</v>
      </c>
      <c r="E410" s="144">
        <v>0.21</v>
      </c>
    </row>
    <row r="411" spans="3:5">
      <c r="C411" s="141">
        <v>10772</v>
      </c>
      <c r="D411" s="144">
        <v>0.25</v>
      </c>
      <c r="E411" s="144">
        <v>0.22</v>
      </c>
    </row>
    <row r="412" spans="3:5">
      <c r="C412" s="141">
        <v>10772.5</v>
      </c>
      <c r="D412" s="144">
        <v>0.24</v>
      </c>
      <c r="E412" s="144">
        <v>0.22</v>
      </c>
    </row>
    <row r="413" spans="3:5">
      <c r="C413" s="141">
        <v>10773</v>
      </c>
      <c r="D413" s="144">
        <v>0.24</v>
      </c>
      <c r="E413" s="144">
        <v>0.23</v>
      </c>
    </row>
    <row r="414" spans="3:5">
      <c r="C414" s="141">
        <v>10773.5</v>
      </c>
      <c r="D414" s="144">
        <v>0.23</v>
      </c>
      <c r="E414" s="144">
        <v>0.24</v>
      </c>
    </row>
    <row r="415" spans="3:5">
      <c r="C415" s="141">
        <v>10774</v>
      </c>
      <c r="D415" s="144">
        <v>0.23</v>
      </c>
      <c r="E415" s="144">
        <v>0.24</v>
      </c>
    </row>
    <row r="416" spans="3:5">
      <c r="C416" s="141">
        <v>10774.5</v>
      </c>
      <c r="D416" s="144">
        <v>0.23</v>
      </c>
      <c r="E416" s="144">
        <v>0.25</v>
      </c>
    </row>
    <row r="417" spans="3:5">
      <c r="C417" s="141">
        <v>10775</v>
      </c>
      <c r="D417" s="144">
        <v>0.22</v>
      </c>
      <c r="E417" s="144">
        <v>0.26</v>
      </c>
    </row>
    <row r="418" spans="3:5">
      <c r="C418" s="141">
        <v>10775.5</v>
      </c>
      <c r="D418" s="144">
        <v>0.23</v>
      </c>
      <c r="E418" s="144">
        <v>0.25</v>
      </c>
    </row>
    <row r="419" spans="3:5">
      <c r="C419" s="141">
        <v>10776</v>
      </c>
      <c r="D419" s="144">
        <v>0.24</v>
      </c>
      <c r="E419" s="144">
        <v>0.25</v>
      </c>
    </row>
    <row r="420" spans="3:5">
      <c r="C420" s="141">
        <v>10776.5</v>
      </c>
      <c r="D420" s="144">
        <v>0.23</v>
      </c>
      <c r="E420" s="144">
        <v>0.25</v>
      </c>
    </row>
    <row r="421" spans="3:5">
      <c r="C421" s="141">
        <v>10777</v>
      </c>
      <c r="D421" s="144">
        <v>0.23</v>
      </c>
      <c r="E421" s="144">
        <v>0.26</v>
      </c>
    </row>
    <row r="422" spans="3:5">
      <c r="C422" s="141">
        <v>10777.5</v>
      </c>
      <c r="D422" s="144">
        <v>0.23</v>
      </c>
      <c r="E422" s="144">
        <v>0.26</v>
      </c>
    </row>
    <row r="423" spans="3:5">
      <c r="C423" s="141">
        <v>10778</v>
      </c>
      <c r="D423" s="144">
        <v>0.22</v>
      </c>
      <c r="E423" s="144">
        <v>0.27</v>
      </c>
    </row>
    <row r="424" spans="3:5">
      <c r="C424" s="141">
        <v>10778.5</v>
      </c>
      <c r="D424" s="144">
        <v>0.22</v>
      </c>
      <c r="E424" s="144">
        <v>0.27</v>
      </c>
    </row>
    <row r="425" spans="3:5">
      <c r="C425" s="141">
        <v>10779</v>
      </c>
      <c r="D425" s="144">
        <v>0.23</v>
      </c>
      <c r="E425" s="144">
        <v>0.27</v>
      </c>
    </row>
    <row r="426" spans="3:5">
      <c r="C426" s="141">
        <v>10779.5</v>
      </c>
      <c r="D426" s="144">
        <v>0.24</v>
      </c>
      <c r="E426" s="144">
        <v>0.27</v>
      </c>
    </row>
    <row r="427" spans="3:5">
      <c r="C427" s="141">
        <v>10780</v>
      </c>
      <c r="D427" s="144">
        <v>0.24</v>
      </c>
      <c r="E427" s="144">
        <v>0.27</v>
      </c>
    </row>
    <row r="428" spans="3:5">
      <c r="C428" s="141">
        <v>10780.5</v>
      </c>
      <c r="D428" s="144">
        <v>0.24</v>
      </c>
      <c r="E428" s="144">
        <v>0.27</v>
      </c>
    </row>
    <row r="429" spans="3:5">
      <c r="C429" s="141">
        <v>10781</v>
      </c>
      <c r="D429" s="144">
        <v>0.24</v>
      </c>
      <c r="E429" s="144">
        <v>0.26</v>
      </c>
    </row>
    <row r="430" spans="3:5">
      <c r="C430" s="141">
        <v>10781.5</v>
      </c>
      <c r="D430" s="144">
        <v>0.24</v>
      </c>
      <c r="E430" s="144">
        <v>0.27</v>
      </c>
    </row>
    <row r="431" spans="3:5">
      <c r="C431" s="141">
        <v>10782</v>
      </c>
      <c r="D431" s="144">
        <v>0.23</v>
      </c>
      <c r="E431" s="144">
        <v>0.28999999999999998</v>
      </c>
    </row>
    <row r="432" spans="3:5">
      <c r="C432" s="141">
        <v>10782.5</v>
      </c>
      <c r="D432" s="144">
        <v>0.23</v>
      </c>
      <c r="E432" s="144">
        <v>0.3</v>
      </c>
    </row>
    <row r="433" spans="3:5">
      <c r="C433" s="141">
        <v>10783</v>
      </c>
      <c r="D433" s="144">
        <v>0.23</v>
      </c>
      <c r="E433" s="144">
        <v>0.3</v>
      </c>
    </row>
    <row r="434" spans="3:5">
      <c r="C434" s="141">
        <v>10783.5</v>
      </c>
      <c r="D434" s="144">
        <v>0.23</v>
      </c>
      <c r="E434" s="144">
        <v>0.3</v>
      </c>
    </row>
    <row r="435" spans="3:5">
      <c r="C435" s="141">
        <v>10784</v>
      </c>
      <c r="D435" s="144">
        <v>0.23</v>
      </c>
      <c r="E435" s="144">
        <v>0.3</v>
      </c>
    </row>
    <row r="436" spans="3:5">
      <c r="C436" s="141">
        <v>10784.5</v>
      </c>
      <c r="D436" s="144">
        <v>0.23</v>
      </c>
      <c r="E436" s="144">
        <v>0.3</v>
      </c>
    </row>
    <row r="437" spans="3:5">
      <c r="C437" s="141">
        <v>10785</v>
      </c>
      <c r="D437" s="144">
        <v>0.23</v>
      </c>
      <c r="E437" s="144">
        <v>0.31</v>
      </c>
    </row>
    <row r="438" spans="3:5">
      <c r="C438" s="141">
        <v>10785.5</v>
      </c>
      <c r="D438" s="144">
        <v>0.22</v>
      </c>
      <c r="E438" s="144">
        <v>0.32</v>
      </c>
    </row>
    <row r="439" spans="3:5">
      <c r="C439" s="141">
        <v>10786</v>
      </c>
      <c r="D439" s="144">
        <v>0.22</v>
      </c>
      <c r="E439" s="144">
        <v>0.32</v>
      </c>
    </row>
    <row r="440" spans="3:5">
      <c r="C440" s="141">
        <v>10786.5</v>
      </c>
      <c r="D440" s="144">
        <v>0.21</v>
      </c>
      <c r="E440" s="144">
        <v>0.33</v>
      </c>
    </row>
    <row r="441" spans="3:5">
      <c r="C441" s="141">
        <v>10787</v>
      </c>
      <c r="D441" s="144">
        <v>0.21</v>
      </c>
      <c r="E441" s="144">
        <v>0.34</v>
      </c>
    </row>
    <row r="442" spans="3:5">
      <c r="C442" s="141">
        <v>10787.5</v>
      </c>
      <c r="D442" s="144">
        <v>0.21</v>
      </c>
      <c r="E442" s="144">
        <v>0.34</v>
      </c>
    </row>
    <row r="443" spans="3:5">
      <c r="C443" s="141">
        <v>10788</v>
      </c>
      <c r="D443" s="144">
        <v>0.21</v>
      </c>
      <c r="E443" s="144">
        <v>0.35</v>
      </c>
    </row>
    <row r="444" spans="3:5">
      <c r="C444" s="141">
        <v>10788.5</v>
      </c>
      <c r="D444" s="144">
        <v>0.22</v>
      </c>
      <c r="E444" s="144">
        <v>0.34</v>
      </c>
    </row>
    <row r="445" spans="3:5">
      <c r="C445" s="141">
        <v>10789</v>
      </c>
      <c r="D445" s="144">
        <v>0.23</v>
      </c>
      <c r="E445" s="144">
        <v>0.34</v>
      </c>
    </row>
    <row r="446" spans="3:5">
      <c r="C446" s="141">
        <v>10789.5</v>
      </c>
      <c r="D446" s="144">
        <v>0.22</v>
      </c>
      <c r="E446" s="144">
        <v>0.35</v>
      </c>
    </row>
    <row r="447" spans="3:5">
      <c r="C447" s="141">
        <v>10790</v>
      </c>
      <c r="D447" s="144">
        <v>0.22</v>
      </c>
      <c r="E447" s="144">
        <v>0.34</v>
      </c>
    </row>
    <row r="448" spans="3:5">
      <c r="C448" s="141">
        <v>10790.5</v>
      </c>
      <c r="D448" s="144">
        <v>0.22</v>
      </c>
      <c r="E448" s="144">
        <v>0.36</v>
      </c>
    </row>
    <row r="449" spans="3:5">
      <c r="C449" s="141">
        <v>10791</v>
      </c>
      <c r="D449" s="144">
        <v>0.22</v>
      </c>
      <c r="E449" s="144">
        <v>0.35</v>
      </c>
    </row>
    <row r="450" spans="3:5">
      <c r="C450" s="141">
        <v>10791.5</v>
      </c>
      <c r="D450" s="144">
        <v>0.24</v>
      </c>
      <c r="E450" s="144">
        <v>0.33</v>
      </c>
    </row>
    <row r="451" spans="3:5">
      <c r="C451" s="141">
        <v>10792</v>
      </c>
      <c r="D451" s="144">
        <v>0.24</v>
      </c>
      <c r="E451" s="144">
        <v>0.34</v>
      </c>
    </row>
    <row r="452" spans="3:5">
      <c r="C452" s="141">
        <v>10792.5</v>
      </c>
      <c r="D452" s="144">
        <v>0.24</v>
      </c>
      <c r="E452" s="144">
        <v>0.35</v>
      </c>
    </row>
    <row r="453" spans="3:5">
      <c r="C453" s="141">
        <v>10793</v>
      </c>
      <c r="D453" s="144">
        <v>0.24</v>
      </c>
      <c r="E453" s="144">
        <v>0.37</v>
      </c>
    </row>
    <row r="454" spans="3:5">
      <c r="C454" s="141">
        <v>10793.5</v>
      </c>
      <c r="D454" s="144">
        <v>0.23</v>
      </c>
      <c r="E454" s="144">
        <v>0.4</v>
      </c>
    </row>
    <row r="455" spans="3:5">
      <c r="C455" s="141">
        <v>10794</v>
      </c>
      <c r="D455" s="144">
        <v>0.22</v>
      </c>
      <c r="E455" s="144">
        <v>0.42</v>
      </c>
    </row>
    <row r="456" spans="3:5">
      <c r="C456" s="141">
        <v>10794.5</v>
      </c>
      <c r="D456" s="144">
        <v>0.22</v>
      </c>
      <c r="E456" s="144">
        <v>0.42</v>
      </c>
    </row>
    <row r="457" spans="3:5">
      <c r="C457" s="141">
        <v>10795</v>
      </c>
      <c r="D457" s="144">
        <v>0.22</v>
      </c>
      <c r="E457" s="144">
        <v>0.45</v>
      </c>
    </row>
    <row r="458" spans="3:5">
      <c r="C458" s="141">
        <v>10795.5</v>
      </c>
      <c r="D458" s="144">
        <v>0.2</v>
      </c>
      <c r="E458" s="144">
        <v>0.48</v>
      </c>
    </row>
    <row r="459" spans="3:5">
      <c r="C459" s="141">
        <v>10796</v>
      </c>
      <c r="D459" s="144">
        <v>0.2</v>
      </c>
      <c r="E459" s="144">
        <v>0.5</v>
      </c>
    </row>
    <row r="460" spans="3:5">
      <c r="C460" s="141">
        <v>10796.5</v>
      </c>
      <c r="D460" s="144">
        <v>0.2</v>
      </c>
      <c r="E460" s="144">
        <v>0.51</v>
      </c>
    </row>
    <row r="461" spans="3:5">
      <c r="C461" s="141">
        <v>10797</v>
      </c>
      <c r="D461" s="144">
        <v>0.2</v>
      </c>
      <c r="E461" s="144">
        <v>0.51</v>
      </c>
    </row>
    <row r="462" spans="3:5">
      <c r="C462" s="141">
        <v>10797.5</v>
      </c>
      <c r="D462" s="144">
        <v>0.19</v>
      </c>
      <c r="E462" s="144">
        <v>0.53</v>
      </c>
    </row>
    <row r="463" spans="3:5">
      <c r="C463" s="141">
        <v>10798</v>
      </c>
      <c r="D463" s="144">
        <v>0.19</v>
      </c>
      <c r="E463" s="144">
        <v>0.53</v>
      </c>
    </row>
    <row r="464" spans="3:5">
      <c r="C464" s="141">
        <v>10798.5</v>
      </c>
      <c r="D464" s="144">
        <v>0.19</v>
      </c>
      <c r="E464" s="144">
        <v>0.52</v>
      </c>
    </row>
    <row r="465" spans="3:5">
      <c r="C465" s="141">
        <v>10799</v>
      </c>
      <c r="D465" s="144">
        <v>0.19</v>
      </c>
      <c r="E465" s="144">
        <v>0.52</v>
      </c>
    </row>
    <row r="466" spans="3:5">
      <c r="C466" s="141">
        <v>10799.5</v>
      </c>
      <c r="D466" s="144">
        <v>0.18</v>
      </c>
      <c r="E466" s="144">
        <v>0.54</v>
      </c>
    </row>
    <row r="467" spans="3:5">
      <c r="C467" s="141">
        <v>10800</v>
      </c>
      <c r="D467" s="144">
        <v>0.17</v>
      </c>
      <c r="E467" s="144">
        <v>0.55000000000000004</v>
      </c>
    </row>
    <row r="468" spans="3:5">
      <c r="C468" s="141">
        <v>10800.5</v>
      </c>
      <c r="D468" s="144">
        <v>0.18</v>
      </c>
      <c r="E468" s="144">
        <v>0.52</v>
      </c>
    </row>
    <row r="469" spans="3:5">
      <c r="C469" s="141">
        <v>10801</v>
      </c>
      <c r="D469" s="144">
        <v>0.18</v>
      </c>
      <c r="E469" s="144">
        <v>0.49</v>
      </c>
    </row>
    <row r="470" spans="3:5">
      <c r="C470" s="141">
        <v>10801.5</v>
      </c>
      <c r="D470" s="144">
        <v>0.19</v>
      </c>
      <c r="E470" s="144">
        <v>0.46</v>
      </c>
    </row>
    <row r="471" spans="3:5">
      <c r="C471" s="141">
        <v>10802</v>
      </c>
      <c r="D471" s="144">
        <v>0.2</v>
      </c>
      <c r="E471" s="144">
        <v>0.44</v>
      </c>
    </row>
    <row r="472" spans="3:5">
      <c r="C472" s="141">
        <v>10802.5</v>
      </c>
      <c r="D472" s="144">
        <v>0.21</v>
      </c>
      <c r="E472" s="144">
        <v>0.43</v>
      </c>
    </row>
    <row r="473" spans="3:5">
      <c r="C473" s="141">
        <v>10803</v>
      </c>
      <c r="D473" s="144">
        <v>0.2</v>
      </c>
      <c r="E473" s="144">
        <v>0.44</v>
      </c>
    </row>
    <row r="474" spans="3:5">
      <c r="C474" s="141">
        <v>10803.5</v>
      </c>
      <c r="D474" s="144">
        <v>0.21</v>
      </c>
      <c r="E474" s="144">
        <v>0.43</v>
      </c>
    </row>
    <row r="475" spans="3:5">
      <c r="C475" s="141">
        <v>10804</v>
      </c>
      <c r="D475" s="144">
        <v>0.21</v>
      </c>
      <c r="E475" s="144">
        <v>0.44</v>
      </c>
    </row>
    <row r="476" spans="3:5">
      <c r="C476" s="141">
        <v>10804.5</v>
      </c>
      <c r="D476" s="144">
        <v>0.2</v>
      </c>
      <c r="E476" s="144">
        <v>0.48</v>
      </c>
    </row>
    <row r="477" spans="3:5">
      <c r="C477" s="141">
        <v>10805</v>
      </c>
      <c r="D477" s="144">
        <v>0.19</v>
      </c>
      <c r="E477" s="144">
        <v>0.49</v>
      </c>
    </row>
    <row r="478" spans="3:5">
      <c r="C478" s="141">
        <v>10805.5</v>
      </c>
      <c r="D478" s="144">
        <v>0.19</v>
      </c>
      <c r="E478" s="144">
        <v>0.5</v>
      </c>
    </row>
    <row r="479" spans="3:5">
      <c r="C479" s="141">
        <v>10806</v>
      </c>
      <c r="D479" s="144">
        <v>0.18</v>
      </c>
      <c r="E479" s="144">
        <v>0.52</v>
      </c>
    </row>
    <row r="480" spans="3:5">
      <c r="C480" s="141">
        <v>10806.5</v>
      </c>
      <c r="D480" s="144">
        <v>0.18</v>
      </c>
      <c r="E480" s="144">
        <v>0.52</v>
      </c>
    </row>
    <row r="481" spans="3:5">
      <c r="C481" s="141">
        <v>10807</v>
      </c>
      <c r="D481" s="144">
        <v>0.18</v>
      </c>
      <c r="E481" s="144">
        <v>0.52</v>
      </c>
    </row>
    <row r="482" spans="3:5">
      <c r="C482" s="141">
        <v>10807.5</v>
      </c>
      <c r="D482" s="144">
        <v>0.19</v>
      </c>
      <c r="E482" s="144">
        <v>0.51</v>
      </c>
    </row>
    <row r="483" spans="3:5">
      <c r="C483" s="141">
        <v>10808</v>
      </c>
      <c r="D483" s="144">
        <v>0.19</v>
      </c>
      <c r="E483" s="144">
        <v>0.49</v>
      </c>
    </row>
    <row r="484" spans="3:5">
      <c r="C484" s="141">
        <v>10808.5</v>
      </c>
      <c r="D484" s="144">
        <v>0.2</v>
      </c>
      <c r="E484" s="144">
        <v>0.48</v>
      </c>
    </row>
    <row r="485" spans="3:5">
      <c r="C485" s="141">
        <v>10809</v>
      </c>
      <c r="D485" s="144">
        <v>0.2</v>
      </c>
      <c r="E485" s="144">
        <v>0.47</v>
      </c>
    </row>
    <row r="486" spans="3:5">
      <c r="C486" s="141">
        <v>10809.5</v>
      </c>
      <c r="D486" s="144">
        <v>0.21</v>
      </c>
      <c r="E486" s="144">
        <v>0.45</v>
      </c>
    </row>
    <row r="487" spans="3:5">
      <c r="C487" s="141">
        <v>10810</v>
      </c>
      <c r="D487" s="144">
        <v>0.21</v>
      </c>
      <c r="E487" s="144">
        <v>0.44</v>
      </c>
    </row>
    <row r="488" spans="3:5">
      <c r="C488" s="141">
        <v>10810.5</v>
      </c>
      <c r="D488" s="144">
        <v>0.2</v>
      </c>
      <c r="E488" s="144">
        <v>0.45</v>
      </c>
    </row>
    <row r="489" spans="3:5">
      <c r="C489" s="141">
        <v>10811</v>
      </c>
      <c r="D489" s="144">
        <v>0.19</v>
      </c>
      <c r="E489" s="144">
        <v>0.47</v>
      </c>
    </row>
    <row r="490" spans="3:5">
      <c r="C490" s="141">
        <v>10811.5</v>
      </c>
      <c r="D490" s="144">
        <v>0.19</v>
      </c>
      <c r="E490" s="144">
        <v>0.46</v>
      </c>
    </row>
    <row r="491" spans="3:5">
      <c r="C491" s="141">
        <v>10812</v>
      </c>
      <c r="D491" s="144">
        <v>0.2</v>
      </c>
      <c r="E491" s="144">
        <v>0.42</v>
      </c>
    </row>
    <row r="492" spans="3:5">
      <c r="C492" s="141">
        <v>10812.5</v>
      </c>
      <c r="D492" s="144">
        <v>0.2</v>
      </c>
      <c r="E492" s="144">
        <v>0.4</v>
      </c>
    </row>
    <row r="493" spans="3:5">
      <c r="C493" s="141">
        <v>10813</v>
      </c>
      <c r="D493" s="144">
        <v>0.2</v>
      </c>
      <c r="E493" s="144">
        <v>0.4</v>
      </c>
    </row>
    <row r="494" spans="3:5">
      <c r="C494" s="141">
        <v>10813.5</v>
      </c>
      <c r="D494" s="144">
        <v>0.19</v>
      </c>
      <c r="E494" s="144">
        <v>0.39</v>
      </c>
    </row>
    <row r="495" spans="3:5">
      <c r="C495" s="141">
        <v>10814</v>
      </c>
      <c r="D495" s="144">
        <v>0.19</v>
      </c>
      <c r="E495" s="144">
        <v>0.38</v>
      </c>
    </row>
    <row r="496" spans="3:5">
      <c r="C496" s="141">
        <v>10814.5</v>
      </c>
      <c r="D496" s="144">
        <v>0.2</v>
      </c>
      <c r="E496" s="144">
        <v>0.37</v>
      </c>
    </row>
    <row r="497" spans="3:5">
      <c r="C497" s="141">
        <v>10815</v>
      </c>
      <c r="D497" s="144">
        <v>0.21</v>
      </c>
      <c r="E497" s="144">
        <v>0.35</v>
      </c>
    </row>
    <row r="498" spans="3:5">
      <c r="C498" s="141">
        <v>10815.5</v>
      </c>
      <c r="D498" s="144">
        <v>0.2</v>
      </c>
      <c r="E498" s="144">
        <v>0.35</v>
      </c>
    </row>
    <row r="499" spans="3:5">
      <c r="C499" s="141">
        <v>10816</v>
      </c>
      <c r="D499" s="144">
        <v>0.21</v>
      </c>
      <c r="E499" s="144">
        <v>0.34</v>
      </c>
    </row>
    <row r="500" spans="3:5">
      <c r="C500" s="141">
        <v>10816.5</v>
      </c>
      <c r="D500" s="144">
        <v>0.21</v>
      </c>
      <c r="E500" s="144">
        <v>0.33</v>
      </c>
    </row>
    <row r="501" spans="3:5">
      <c r="C501" s="141">
        <v>10817</v>
      </c>
      <c r="D501" s="144">
        <v>0.21</v>
      </c>
      <c r="E501" s="144">
        <v>0.32</v>
      </c>
    </row>
    <row r="502" spans="3:5">
      <c r="C502" s="141">
        <v>10817.5</v>
      </c>
      <c r="D502" s="144">
        <v>0.2</v>
      </c>
      <c r="E502" s="144">
        <v>0.34</v>
      </c>
    </row>
    <row r="503" spans="3:5">
      <c r="C503" s="141">
        <v>10818</v>
      </c>
      <c r="D503" s="144">
        <v>0.2</v>
      </c>
      <c r="E503" s="144">
        <v>0.33</v>
      </c>
    </row>
    <row r="504" spans="3:5">
      <c r="C504" s="141">
        <v>10818.5</v>
      </c>
      <c r="D504" s="144">
        <v>0.2</v>
      </c>
      <c r="E504" s="144">
        <v>0.33</v>
      </c>
    </row>
    <row r="505" spans="3:5">
      <c r="C505" s="141">
        <v>10819</v>
      </c>
      <c r="D505" s="144">
        <v>0.19</v>
      </c>
      <c r="E505" s="144">
        <v>0.32</v>
      </c>
    </row>
    <row r="506" spans="3:5">
      <c r="C506" s="141">
        <v>10819.5</v>
      </c>
      <c r="D506" s="144">
        <v>0.2</v>
      </c>
      <c r="E506" s="144">
        <v>0.3</v>
      </c>
    </row>
    <row r="507" spans="3:5">
      <c r="C507" s="141">
        <v>10820</v>
      </c>
      <c r="D507" s="144">
        <v>0.21</v>
      </c>
      <c r="E507" s="144">
        <v>0.28000000000000003</v>
      </c>
    </row>
    <row r="508" spans="3:5">
      <c r="C508" s="141">
        <v>10820.5</v>
      </c>
      <c r="D508" s="144">
        <v>0.22</v>
      </c>
      <c r="E508" s="144">
        <v>0.27</v>
      </c>
    </row>
    <row r="509" spans="3:5">
      <c r="C509" s="141">
        <v>10821</v>
      </c>
      <c r="D509" s="144">
        <v>0.23</v>
      </c>
      <c r="E509" s="144">
        <v>0.26</v>
      </c>
    </row>
    <row r="510" spans="3:5">
      <c r="C510" s="141">
        <v>10821.5</v>
      </c>
      <c r="D510" s="144">
        <v>0.22</v>
      </c>
      <c r="E510" s="144">
        <v>0.27</v>
      </c>
    </row>
    <row r="511" spans="3:5">
      <c r="C511" s="141">
        <v>10822</v>
      </c>
      <c r="D511" s="144">
        <v>0.22</v>
      </c>
      <c r="E511" s="144">
        <v>0.27</v>
      </c>
    </row>
    <row r="512" spans="3:5">
      <c r="C512" s="141">
        <v>10822.5</v>
      </c>
      <c r="D512" s="144">
        <v>0.22</v>
      </c>
      <c r="E512" s="144">
        <v>0.27</v>
      </c>
    </row>
    <row r="513" spans="3:5">
      <c r="C513" s="141">
        <v>10823</v>
      </c>
      <c r="D513" s="144">
        <v>0.21</v>
      </c>
      <c r="E513" s="144">
        <v>0.28000000000000003</v>
      </c>
    </row>
    <row r="514" spans="3:5">
      <c r="C514" s="141">
        <v>10823.5</v>
      </c>
      <c r="D514" s="144">
        <v>0.22</v>
      </c>
      <c r="E514" s="144">
        <v>0.27</v>
      </c>
    </row>
    <row r="515" spans="3:5">
      <c r="C515" s="141">
        <v>10824</v>
      </c>
      <c r="D515" s="144">
        <v>0.23</v>
      </c>
      <c r="E515" s="144">
        <v>0.26</v>
      </c>
    </row>
    <row r="516" spans="3:5">
      <c r="C516" s="141">
        <v>10824.5</v>
      </c>
      <c r="D516" s="144">
        <v>0.23</v>
      </c>
      <c r="E516" s="144">
        <v>0.26</v>
      </c>
    </row>
    <row r="517" spans="3:5">
      <c r="C517" s="141">
        <v>10825</v>
      </c>
      <c r="D517" s="144">
        <v>0.22</v>
      </c>
      <c r="E517" s="144">
        <v>0.26</v>
      </c>
    </row>
    <row r="518" spans="3:5">
      <c r="C518" s="141">
        <v>10825.5</v>
      </c>
      <c r="D518" s="144">
        <v>0.22</v>
      </c>
      <c r="E518" s="144">
        <v>0.27</v>
      </c>
    </row>
    <row r="519" spans="3:5">
      <c r="C519" s="141">
        <v>10826</v>
      </c>
      <c r="D519" s="144">
        <v>0.23</v>
      </c>
      <c r="E519" s="144">
        <v>0.26</v>
      </c>
    </row>
    <row r="520" spans="3:5">
      <c r="C520" s="141">
        <v>10826.5</v>
      </c>
      <c r="D520" s="144">
        <v>0.23</v>
      </c>
      <c r="E520" s="144">
        <v>0.25</v>
      </c>
    </row>
    <row r="521" spans="3:5">
      <c r="C521" s="141">
        <v>10827</v>
      </c>
      <c r="D521" s="144">
        <v>0.23</v>
      </c>
      <c r="E521" s="144">
        <v>0.25</v>
      </c>
    </row>
    <row r="522" spans="3:5">
      <c r="C522" s="141">
        <v>10827.5</v>
      </c>
      <c r="D522" s="144">
        <v>0.24</v>
      </c>
      <c r="E522" s="144">
        <v>0.25</v>
      </c>
    </row>
    <row r="523" spans="3:5">
      <c r="C523" s="141">
        <v>10828</v>
      </c>
      <c r="D523" s="144">
        <v>0.24</v>
      </c>
      <c r="E523" s="144">
        <v>0.25</v>
      </c>
    </row>
    <row r="524" spans="3:5">
      <c r="C524" s="141">
        <v>10828.5</v>
      </c>
      <c r="D524" s="144">
        <v>0.24</v>
      </c>
      <c r="E524" s="144">
        <v>0.26</v>
      </c>
    </row>
    <row r="525" spans="3:5">
      <c r="C525" s="141">
        <v>10829</v>
      </c>
      <c r="D525" s="144">
        <v>0.23</v>
      </c>
      <c r="E525" s="144">
        <v>0.28000000000000003</v>
      </c>
    </row>
    <row r="526" spans="3:5">
      <c r="C526" s="141">
        <v>10829.5</v>
      </c>
      <c r="D526" s="144">
        <v>0.22</v>
      </c>
      <c r="E526" s="144">
        <v>0.31</v>
      </c>
    </row>
    <row r="527" spans="3:5">
      <c r="C527" s="141">
        <v>10830</v>
      </c>
      <c r="D527" s="144">
        <v>0.22</v>
      </c>
      <c r="E527" s="144">
        <v>0.32</v>
      </c>
    </row>
    <row r="528" spans="3:5">
      <c r="C528" s="141">
        <v>10830.5</v>
      </c>
      <c r="D528" s="144">
        <v>0.22</v>
      </c>
      <c r="E528" s="144">
        <v>0.33</v>
      </c>
    </row>
    <row r="529" spans="3:5">
      <c r="C529" s="141">
        <v>10831</v>
      </c>
      <c r="D529" s="144">
        <v>0.21</v>
      </c>
      <c r="E529" s="144">
        <v>0.36</v>
      </c>
    </row>
    <row r="530" spans="3:5">
      <c r="C530" s="141">
        <v>10831.5</v>
      </c>
      <c r="D530" s="144">
        <v>0.19</v>
      </c>
      <c r="E530" s="144">
        <v>0.41</v>
      </c>
    </row>
    <row r="531" spans="3:5">
      <c r="C531" s="141">
        <v>10832</v>
      </c>
      <c r="D531" s="144">
        <v>0.18</v>
      </c>
      <c r="E531" s="144">
        <v>0.42</v>
      </c>
    </row>
    <row r="532" spans="3:5">
      <c r="C532" s="141">
        <v>10832.5</v>
      </c>
      <c r="D532" s="144">
        <v>0.18</v>
      </c>
      <c r="E532" s="144">
        <v>0.42</v>
      </c>
    </row>
    <row r="533" spans="3:5">
      <c r="C533" s="141">
        <v>10833</v>
      </c>
      <c r="D533" s="144">
        <v>0.18</v>
      </c>
      <c r="E533" s="144">
        <v>0.42</v>
      </c>
    </row>
    <row r="534" spans="3:5">
      <c r="C534" s="141">
        <v>10833.5</v>
      </c>
      <c r="D534" s="144">
        <v>0.18</v>
      </c>
      <c r="E534" s="144">
        <v>0.43</v>
      </c>
    </row>
    <row r="535" spans="3:5">
      <c r="C535" s="141">
        <v>10834</v>
      </c>
      <c r="D535" s="144">
        <v>0.19</v>
      </c>
      <c r="E535" s="144">
        <v>0.41</v>
      </c>
    </row>
    <row r="536" spans="3:5">
      <c r="C536" s="141">
        <v>10834.5</v>
      </c>
      <c r="D536" s="144">
        <v>0.19</v>
      </c>
      <c r="E536" s="144">
        <v>0.4</v>
      </c>
    </row>
    <row r="537" spans="3:5">
      <c r="C537" s="141">
        <v>10835</v>
      </c>
      <c r="D537" s="144">
        <v>0.2</v>
      </c>
      <c r="E537" s="144">
        <v>0.39</v>
      </c>
    </row>
    <row r="538" spans="3:5">
      <c r="C538" s="141">
        <v>10835.5</v>
      </c>
      <c r="D538" s="144">
        <v>0.2</v>
      </c>
      <c r="E538" s="144">
        <v>0.37</v>
      </c>
    </row>
    <row r="539" spans="3:5">
      <c r="C539" s="141">
        <v>10836</v>
      </c>
      <c r="D539" s="144">
        <v>0.21</v>
      </c>
      <c r="E539" s="144">
        <v>0.35</v>
      </c>
    </row>
    <row r="540" spans="3:5">
      <c r="C540" s="141">
        <v>10836.5</v>
      </c>
      <c r="D540" s="144">
        <v>0.22</v>
      </c>
      <c r="E540" s="144">
        <v>0.33</v>
      </c>
    </row>
    <row r="541" spans="3:5">
      <c r="C541" s="141">
        <v>10837</v>
      </c>
      <c r="D541" s="144">
        <v>0.22</v>
      </c>
      <c r="E541" s="144">
        <v>0.32</v>
      </c>
    </row>
    <row r="542" spans="3:5">
      <c r="C542" s="141">
        <v>10837.5</v>
      </c>
      <c r="D542" s="144">
        <v>0.22</v>
      </c>
      <c r="E542" s="144">
        <v>0.31</v>
      </c>
    </row>
    <row r="543" spans="3:5">
      <c r="C543" s="141">
        <v>10838</v>
      </c>
      <c r="D543" s="144">
        <v>0.21</v>
      </c>
      <c r="E543" s="144">
        <v>0.31</v>
      </c>
    </row>
    <row r="544" spans="3:5">
      <c r="C544" s="141">
        <v>10838.5</v>
      </c>
      <c r="D544" s="144">
        <v>0.22</v>
      </c>
      <c r="E544" s="144">
        <v>0.28999999999999998</v>
      </c>
    </row>
    <row r="545" spans="3:5">
      <c r="C545" s="141">
        <v>10839</v>
      </c>
      <c r="D545" s="144">
        <v>0.23</v>
      </c>
      <c r="E545" s="144">
        <v>0.28000000000000003</v>
      </c>
    </row>
    <row r="546" spans="3:5">
      <c r="C546" s="141">
        <v>10839.5</v>
      </c>
      <c r="D546" s="144">
        <v>0.23</v>
      </c>
      <c r="E546" s="144">
        <v>0.27</v>
      </c>
    </row>
    <row r="547" spans="3:5">
      <c r="C547" s="141">
        <v>10840</v>
      </c>
      <c r="D547" s="144">
        <v>0.22</v>
      </c>
      <c r="E547" s="144">
        <v>0.28000000000000003</v>
      </c>
    </row>
    <row r="548" spans="3:5">
      <c r="C548" s="141">
        <v>10840.5</v>
      </c>
      <c r="D548" s="144">
        <v>0.21</v>
      </c>
      <c r="E548" s="144">
        <v>0.3</v>
      </c>
    </row>
    <row r="549" spans="3:5">
      <c r="C549" s="141">
        <v>10841</v>
      </c>
      <c r="D549" s="144">
        <v>0.19</v>
      </c>
      <c r="E549" s="144">
        <v>0.34</v>
      </c>
    </row>
    <row r="550" spans="3:5">
      <c r="C550" s="141">
        <v>10841.5</v>
      </c>
      <c r="D550" s="144">
        <v>0.18</v>
      </c>
      <c r="E550" s="144">
        <v>0.37</v>
      </c>
    </row>
    <row r="551" spans="3:5">
      <c r="C551" s="141">
        <v>10842</v>
      </c>
      <c r="D551" s="144">
        <v>0.19</v>
      </c>
      <c r="E551" s="144">
        <v>0.35</v>
      </c>
    </row>
    <row r="552" spans="3:5">
      <c r="C552" s="141">
        <v>10842.5</v>
      </c>
      <c r="D552" s="144">
        <v>0.19</v>
      </c>
      <c r="E552" s="144">
        <v>0.36</v>
      </c>
    </row>
    <row r="553" spans="3:5">
      <c r="C553" s="141">
        <v>10843</v>
      </c>
      <c r="D553" s="144">
        <v>0.18</v>
      </c>
      <c r="E553" s="144">
        <v>0.37</v>
      </c>
    </row>
    <row r="554" spans="3:5">
      <c r="C554" s="141">
        <v>10843.5</v>
      </c>
      <c r="D554" s="144">
        <v>0.18</v>
      </c>
      <c r="E554" s="144">
        <v>0.36</v>
      </c>
    </row>
    <row r="555" spans="3:5">
      <c r="C555" s="141">
        <v>10844</v>
      </c>
      <c r="D555" s="144">
        <v>0.18</v>
      </c>
      <c r="E555" s="144">
        <v>0.36</v>
      </c>
    </row>
    <row r="556" spans="3:5">
      <c r="C556" s="141">
        <v>10844.5</v>
      </c>
      <c r="D556" s="144">
        <v>0.18</v>
      </c>
      <c r="E556" s="144">
        <v>0.33</v>
      </c>
    </row>
    <row r="557" spans="3:5">
      <c r="C557" s="141">
        <v>10845</v>
      </c>
      <c r="D557" s="144">
        <v>0.17</v>
      </c>
      <c r="E557" s="144">
        <v>0.33</v>
      </c>
    </row>
    <row r="558" spans="3:5">
      <c r="C558" s="141">
        <v>10845.5</v>
      </c>
      <c r="D558" s="144">
        <v>0.17</v>
      </c>
      <c r="E558" s="144">
        <v>0.34</v>
      </c>
    </row>
    <row r="559" spans="3:5">
      <c r="C559" s="141">
        <v>10846</v>
      </c>
      <c r="D559" s="144">
        <v>0.18</v>
      </c>
      <c r="E559" s="144">
        <v>0.37</v>
      </c>
    </row>
    <row r="560" spans="3:5">
      <c r="C560" s="141">
        <v>10846.5</v>
      </c>
      <c r="D560" s="144">
        <v>0.18</v>
      </c>
      <c r="E560" s="144">
        <v>0.36</v>
      </c>
    </row>
    <row r="561" spans="3:5">
      <c r="C561" s="141">
        <v>10847</v>
      </c>
      <c r="D561" s="144">
        <v>0.2</v>
      </c>
      <c r="E561" s="144">
        <v>0.33</v>
      </c>
    </row>
    <row r="562" spans="3:5">
      <c r="C562" s="141">
        <v>10847.5</v>
      </c>
      <c r="D562" s="144">
        <v>0.2</v>
      </c>
      <c r="E562" s="144">
        <v>0.33</v>
      </c>
    </row>
    <row r="563" spans="3:5">
      <c r="C563" s="141">
        <v>10848</v>
      </c>
      <c r="D563" s="144">
        <v>0.2</v>
      </c>
      <c r="E563" s="144">
        <v>0.33</v>
      </c>
    </row>
    <row r="564" spans="3:5">
      <c r="C564" s="141">
        <v>10848.5</v>
      </c>
      <c r="D564" s="144">
        <v>0.21</v>
      </c>
      <c r="E564" s="144">
        <v>0.33</v>
      </c>
    </row>
    <row r="565" spans="3:5">
      <c r="C565" s="141">
        <v>10849</v>
      </c>
      <c r="D565" s="144">
        <v>0.22</v>
      </c>
      <c r="E565" s="144">
        <v>0.32</v>
      </c>
    </row>
    <row r="566" spans="3:5">
      <c r="C566" s="141">
        <v>10849.5</v>
      </c>
      <c r="D566" s="144">
        <v>0.22</v>
      </c>
      <c r="E566" s="144">
        <v>0.32</v>
      </c>
    </row>
    <row r="567" spans="3:5">
      <c r="C567" s="141">
        <v>10850</v>
      </c>
      <c r="D567" s="144">
        <v>0.21</v>
      </c>
      <c r="E567" s="144">
        <v>0.34</v>
      </c>
    </row>
    <row r="568" spans="3:5">
      <c r="C568" s="141">
        <v>10850.5</v>
      </c>
      <c r="D568" s="144">
        <v>0.22</v>
      </c>
      <c r="E568" s="144">
        <v>0.34</v>
      </c>
    </row>
    <row r="569" spans="3:5">
      <c r="C569" s="141">
        <v>10851</v>
      </c>
      <c r="D569" s="144">
        <v>0.21</v>
      </c>
      <c r="E569" s="144">
        <v>0.36</v>
      </c>
    </row>
    <row r="570" spans="3:5">
      <c r="C570" s="141">
        <v>10851.5</v>
      </c>
      <c r="D570" s="144">
        <v>0.21</v>
      </c>
      <c r="E570" s="144">
        <v>0.36</v>
      </c>
    </row>
    <row r="571" spans="3:5">
      <c r="C571" s="141">
        <v>10852</v>
      </c>
      <c r="D571" s="144">
        <v>0.21</v>
      </c>
      <c r="E571" s="144">
        <v>0.38</v>
      </c>
    </row>
    <row r="572" spans="3:5">
      <c r="C572" s="141">
        <v>10852.5</v>
      </c>
      <c r="D572" s="144">
        <v>0.21</v>
      </c>
      <c r="E572" s="144">
        <v>0.39</v>
      </c>
    </row>
    <row r="573" spans="3:5">
      <c r="C573" s="141">
        <v>10853</v>
      </c>
      <c r="D573" s="144">
        <v>0.21</v>
      </c>
      <c r="E573" s="144">
        <v>0.4</v>
      </c>
    </row>
    <row r="574" spans="3:5">
      <c r="C574" s="141">
        <v>10853.5</v>
      </c>
      <c r="D574" s="144">
        <v>0.2</v>
      </c>
      <c r="E574" s="144">
        <v>0.43</v>
      </c>
    </row>
    <row r="575" spans="3:5">
      <c r="C575" s="141">
        <v>10854</v>
      </c>
      <c r="D575" s="144">
        <v>0.18</v>
      </c>
      <c r="E575" s="144">
        <v>0.48</v>
      </c>
    </row>
    <row r="576" spans="3:5">
      <c r="C576" s="141">
        <v>10854.5</v>
      </c>
      <c r="D576" s="144">
        <v>0.18</v>
      </c>
      <c r="E576" s="144">
        <v>0.45</v>
      </c>
    </row>
    <row r="577" spans="3:5">
      <c r="C577" s="141">
        <v>10855</v>
      </c>
      <c r="D577" s="144">
        <v>0.19</v>
      </c>
      <c r="E577" s="144">
        <v>0.45</v>
      </c>
    </row>
    <row r="578" spans="3:5">
      <c r="C578" s="141">
        <v>10855.5</v>
      </c>
      <c r="D578" s="144">
        <v>0.18</v>
      </c>
      <c r="E578" s="144">
        <v>0.46</v>
      </c>
    </row>
    <row r="579" spans="3:5">
      <c r="C579" s="141">
        <v>10856</v>
      </c>
      <c r="D579" s="144">
        <v>0.18</v>
      </c>
      <c r="E579" s="144">
        <v>0.48</v>
      </c>
    </row>
    <row r="580" spans="3:5">
      <c r="C580" s="141">
        <v>10856.5</v>
      </c>
      <c r="D580" s="144">
        <v>0.17</v>
      </c>
      <c r="E580" s="144">
        <v>0.48</v>
      </c>
    </row>
    <row r="581" spans="3:5">
      <c r="C581" s="141">
        <v>10857</v>
      </c>
      <c r="D581" s="144">
        <v>0.18</v>
      </c>
      <c r="E581" s="144">
        <v>0.47</v>
      </c>
    </row>
    <row r="582" spans="3:5">
      <c r="C582" s="141">
        <v>10857.5</v>
      </c>
      <c r="D582" s="144">
        <v>0.18</v>
      </c>
      <c r="E582" s="144">
        <v>0.45</v>
      </c>
    </row>
    <row r="583" spans="3:5">
      <c r="C583" s="141">
        <v>10858</v>
      </c>
      <c r="D583" s="144">
        <v>0.17</v>
      </c>
      <c r="E583" s="144">
        <v>0.44</v>
      </c>
    </row>
    <row r="584" spans="3:5">
      <c r="C584" s="141">
        <v>10858.5</v>
      </c>
      <c r="D584" s="144">
        <v>0.17</v>
      </c>
      <c r="E584" s="144">
        <v>0.44</v>
      </c>
    </row>
    <row r="585" spans="3:5">
      <c r="C585" s="141">
        <v>10859</v>
      </c>
      <c r="D585" s="144">
        <v>0.18</v>
      </c>
      <c r="E585" s="144">
        <v>0.46</v>
      </c>
    </row>
    <row r="586" spans="3:5">
      <c r="C586" s="141">
        <v>10859.5</v>
      </c>
      <c r="D586" s="144">
        <v>0.19</v>
      </c>
      <c r="E586" s="144">
        <v>0.44</v>
      </c>
    </row>
    <row r="587" spans="3:5">
      <c r="C587" s="141">
        <v>10860</v>
      </c>
      <c r="D587" s="144">
        <v>0.2</v>
      </c>
      <c r="E587" s="144">
        <v>0.42</v>
      </c>
    </row>
    <row r="588" spans="3:5">
      <c r="C588" s="141">
        <v>10860.5</v>
      </c>
      <c r="D588" s="144">
        <v>0.2</v>
      </c>
      <c r="E588" s="144">
        <v>0.41</v>
      </c>
    </row>
    <row r="589" spans="3:5">
      <c r="C589" s="141">
        <v>10861</v>
      </c>
      <c r="D589" s="144">
        <v>0.18</v>
      </c>
      <c r="E589" s="144">
        <v>0.44</v>
      </c>
    </row>
    <row r="590" spans="3:5">
      <c r="C590" s="141">
        <v>10861.5</v>
      </c>
      <c r="D590" s="144">
        <v>0.17</v>
      </c>
      <c r="E590" s="144">
        <v>0.42</v>
      </c>
    </row>
    <row r="591" spans="3:5">
      <c r="C591" s="141">
        <v>10862</v>
      </c>
      <c r="D591" s="144">
        <v>0.17</v>
      </c>
      <c r="E591" s="144">
        <v>0.47</v>
      </c>
    </row>
    <row r="592" spans="3:5">
      <c r="C592" s="141">
        <v>10862.5</v>
      </c>
      <c r="D592" s="144">
        <v>0.17</v>
      </c>
      <c r="E592" s="144">
        <v>0.39</v>
      </c>
    </row>
    <row r="593" spans="3:5">
      <c r="C593" s="141">
        <v>10863</v>
      </c>
      <c r="D593" s="144">
        <v>0.18</v>
      </c>
      <c r="E593" s="144">
        <v>0.37</v>
      </c>
    </row>
    <row r="594" spans="3:5">
      <c r="C594" s="141">
        <v>10863.5</v>
      </c>
      <c r="D594" s="144">
        <v>0.19</v>
      </c>
      <c r="E594" s="144">
        <v>0.36</v>
      </c>
    </row>
    <row r="595" spans="3:5">
      <c r="C595" s="141">
        <v>10864</v>
      </c>
      <c r="D595" s="144">
        <v>0.21</v>
      </c>
      <c r="E595" s="144">
        <v>0.3</v>
      </c>
    </row>
    <row r="596" spans="3:5">
      <c r="C596" s="141">
        <v>10864.5</v>
      </c>
      <c r="D596" s="144">
        <v>0.23</v>
      </c>
      <c r="E596" s="144">
        <v>0.25</v>
      </c>
    </row>
    <row r="597" spans="3:5">
      <c r="C597" s="141">
        <v>10865</v>
      </c>
      <c r="D597" s="144">
        <v>0.25</v>
      </c>
      <c r="E597" s="144">
        <v>0.21</v>
      </c>
    </row>
    <row r="598" spans="3:5">
      <c r="C598" s="141">
        <v>10865.5</v>
      </c>
      <c r="D598" s="144">
        <v>0.25</v>
      </c>
      <c r="E598" s="144">
        <v>0.2</v>
      </c>
    </row>
    <row r="599" spans="3:5">
      <c r="C599" s="141">
        <v>10866</v>
      </c>
      <c r="D599" s="144">
        <v>0.26</v>
      </c>
      <c r="E599" s="144">
        <v>0.19</v>
      </c>
    </row>
    <row r="600" spans="3:5">
      <c r="C600" s="141">
        <v>10866.5</v>
      </c>
      <c r="D600" s="144">
        <v>0.24</v>
      </c>
      <c r="E600" s="144">
        <v>0.2</v>
      </c>
    </row>
    <row r="601" spans="3:5">
      <c r="C601" s="141">
        <v>10867</v>
      </c>
      <c r="D601" s="144">
        <v>0.24</v>
      </c>
      <c r="E601" s="144">
        <v>0.2</v>
      </c>
    </row>
    <row r="602" spans="3:5">
      <c r="C602" s="141">
        <v>10867.5</v>
      </c>
      <c r="D602" s="144">
        <v>0.25</v>
      </c>
      <c r="E602" s="144">
        <v>0.2</v>
      </c>
    </row>
    <row r="603" spans="3:5">
      <c r="C603" s="141">
        <v>10868</v>
      </c>
      <c r="D603" s="144">
        <v>0.25</v>
      </c>
      <c r="E603" s="144">
        <v>0.2</v>
      </c>
    </row>
    <row r="604" spans="3:5">
      <c r="C604" s="141">
        <v>10868.5</v>
      </c>
      <c r="D604" s="144">
        <v>0.25</v>
      </c>
      <c r="E604" s="144">
        <v>0.2</v>
      </c>
    </row>
    <row r="605" spans="3:5">
      <c r="C605" s="141">
        <v>10869</v>
      </c>
      <c r="D605" s="144">
        <v>0.24</v>
      </c>
      <c r="E605" s="144">
        <v>0.21</v>
      </c>
    </row>
    <row r="606" spans="3:5">
      <c r="C606" s="141">
        <v>10869.5</v>
      </c>
      <c r="D606" s="144">
        <v>0.23</v>
      </c>
      <c r="E606" s="144">
        <v>0.23</v>
      </c>
    </row>
    <row r="607" spans="3:5">
      <c r="C607" s="141">
        <v>10870</v>
      </c>
      <c r="D607" s="144">
        <v>0.23</v>
      </c>
      <c r="E607" s="144">
        <v>0.25</v>
      </c>
    </row>
    <row r="608" spans="3:5">
      <c r="C608" s="141">
        <v>10870.5</v>
      </c>
      <c r="D608" s="144">
        <v>0.22</v>
      </c>
      <c r="E608" s="144">
        <v>0.27</v>
      </c>
    </row>
    <row r="609" spans="3:5">
      <c r="C609" s="141">
        <v>10871</v>
      </c>
      <c r="D609" s="144">
        <v>0.23</v>
      </c>
      <c r="E609" s="144">
        <v>0.28000000000000003</v>
      </c>
    </row>
    <row r="610" spans="3:5">
      <c r="C610" s="141">
        <v>10871.5</v>
      </c>
      <c r="D610" s="144">
        <v>0.22</v>
      </c>
      <c r="E610" s="144">
        <v>0.3</v>
      </c>
    </row>
    <row r="611" spans="3:5">
      <c r="C611" s="141">
        <v>10872</v>
      </c>
      <c r="D611" s="144">
        <v>0.21</v>
      </c>
      <c r="E611" s="144">
        <v>0.34</v>
      </c>
    </row>
    <row r="612" spans="3:5">
      <c r="C612" s="141">
        <v>10872.5</v>
      </c>
      <c r="D612" s="144">
        <v>0.2</v>
      </c>
      <c r="E612" s="144">
        <v>0.38</v>
      </c>
    </row>
    <row r="613" spans="3:5">
      <c r="C613" s="141">
        <v>10873</v>
      </c>
      <c r="D613" s="144">
        <v>0.2</v>
      </c>
      <c r="E613" s="144">
        <v>0.4</v>
      </c>
    </row>
    <row r="614" spans="3:5">
      <c r="C614" s="141">
        <v>10873.5</v>
      </c>
      <c r="D614" s="144">
        <v>0.19</v>
      </c>
      <c r="E614" s="144">
        <v>0.42</v>
      </c>
    </row>
    <row r="615" spans="3:5">
      <c r="C615" s="141">
        <v>10874</v>
      </c>
      <c r="D615" s="144">
        <v>0.19</v>
      </c>
      <c r="E615" s="144">
        <v>0.42</v>
      </c>
    </row>
    <row r="616" spans="3:5">
      <c r="C616" s="141">
        <v>10874.5</v>
      </c>
      <c r="D616" s="144">
        <v>0.19</v>
      </c>
      <c r="E616" s="144">
        <v>0.41</v>
      </c>
    </row>
    <row r="617" spans="3:5">
      <c r="C617" s="141">
        <v>10875</v>
      </c>
      <c r="D617" s="144">
        <v>0.19</v>
      </c>
      <c r="E617" s="144">
        <v>0.41</v>
      </c>
    </row>
    <row r="618" spans="3:5">
      <c r="C618" s="141">
        <v>10875.5</v>
      </c>
      <c r="D618" s="144">
        <v>0.2</v>
      </c>
      <c r="E618" s="144">
        <v>0.38</v>
      </c>
    </row>
    <row r="619" spans="3:5">
      <c r="C619" s="141">
        <v>10876</v>
      </c>
      <c r="D619" s="144">
        <v>0.2</v>
      </c>
      <c r="E619" s="144">
        <v>0.35</v>
      </c>
    </row>
    <row r="620" spans="3:5">
      <c r="C620" s="141">
        <v>10876.5</v>
      </c>
      <c r="D620" s="144">
        <v>0.22</v>
      </c>
      <c r="E620" s="144">
        <v>0.32</v>
      </c>
    </row>
    <row r="621" spans="3:5">
      <c r="C621" s="141">
        <v>10877</v>
      </c>
      <c r="D621" s="144">
        <v>0.22</v>
      </c>
      <c r="E621" s="144">
        <v>0.32</v>
      </c>
    </row>
    <row r="622" spans="3:5">
      <c r="C622" s="141">
        <v>10877.5</v>
      </c>
      <c r="D622" s="144">
        <v>0.21</v>
      </c>
      <c r="E622" s="144">
        <v>0.32</v>
      </c>
    </row>
    <row r="623" spans="3:5">
      <c r="C623" s="141">
        <v>10878</v>
      </c>
      <c r="D623" s="144">
        <v>0.2</v>
      </c>
      <c r="E623" s="144">
        <v>0.34</v>
      </c>
    </row>
    <row r="624" spans="3:5">
      <c r="C624" s="141">
        <v>10878.5</v>
      </c>
      <c r="D624" s="144">
        <v>0.2</v>
      </c>
      <c r="E624" s="144">
        <v>0.36</v>
      </c>
    </row>
    <row r="625" spans="3:5">
      <c r="C625" s="141">
        <v>10879</v>
      </c>
      <c r="D625" s="144">
        <v>0.18</v>
      </c>
      <c r="E625" s="144">
        <v>0.4</v>
      </c>
    </row>
    <row r="626" spans="3:5">
      <c r="C626" s="141">
        <v>10879.5</v>
      </c>
      <c r="D626" s="144">
        <v>0.18</v>
      </c>
      <c r="E626" s="144">
        <v>0.44</v>
      </c>
    </row>
    <row r="627" spans="3:5">
      <c r="C627" s="141">
        <v>10880</v>
      </c>
      <c r="D627" s="144">
        <v>0.18</v>
      </c>
      <c r="E627" s="144">
        <v>0.45</v>
      </c>
    </row>
    <row r="628" spans="3:5">
      <c r="C628" s="141">
        <v>10880.5</v>
      </c>
      <c r="D628" s="144">
        <v>0.18</v>
      </c>
      <c r="E628" s="144">
        <v>0.44</v>
      </c>
    </row>
    <row r="629" spans="3:5">
      <c r="C629" s="141">
        <v>10881</v>
      </c>
      <c r="D629" s="144">
        <v>0.18</v>
      </c>
      <c r="E629" s="144">
        <v>0.44</v>
      </c>
    </row>
    <row r="630" spans="3:5">
      <c r="C630" s="141">
        <v>10881.5</v>
      </c>
      <c r="D630" s="144">
        <v>0.18</v>
      </c>
      <c r="E630" s="144">
        <v>0.45</v>
      </c>
    </row>
    <row r="631" spans="3:5">
      <c r="C631" s="141">
        <v>10882</v>
      </c>
      <c r="D631" s="144">
        <v>0.18</v>
      </c>
      <c r="E631" s="144">
        <v>0.44</v>
      </c>
    </row>
    <row r="632" spans="3:5">
      <c r="C632" s="141">
        <v>10882.5</v>
      </c>
      <c r="D632" s="144">
        <v>0.19</v>
      </c>
      <c r="E632" s="144">
        <v>0.42</v>
      </c>
    </row>
    <row r="633" spans="3:5">
      <c r="C633" s="141">
        <v>10883</v>
      </c>
      <c r="D633" s="144">
        <v>0.2</v>
      </c>
      <c r="E633" s="144">
        <v>0.34</v>
      </c>
    </row>
    <row r="634" spans="3:5">
      <c r="C634" s="141">
        <v>10883.5</v>
      </c>
      <c r="D634" s="144">
        <v>0.2</v>
      </c>
      <c r="E634" s="144">
        <v>0.37</v>
      </c>
    </row>
    <row r="635" spans="3:5">
      <c r="C635" s="141">
        <v>10884</v>
      </c>
      <c r="D635" s="144">
        <v>0.21</v>
      </c>
      <c r="E635" s="144">
        <v>0.34</v>
      </c>
    </row>
    <row r="636" spans="3:5">
      <c r="C636" s="141">
        <v>10884.5</v>
      </c>
      <c r="D636" s="144">
        <v>0.21</v>
      </c>
      <c r="E636" s="144">
        <v>0.36</v>
      </c>
    </row>
    <row r="637" spans="3:5">
      <c r="C637" s="141">
        <v>10885</v>
      </c>
      <c r="D637" s="144">
        <v>0.21</v>
      </c>
      <c r="E637" s="144">
        <v>0.32</v>
      </c>
    </row>
    <row r="638" spans="3:5">
      <c r="C638" s="141">
        <v>10885.5</v>
      </c>
      <c r="D638" s="144">
        <v>0.22</v>
      </c>
      <c r="E638" s="144">
        <v>0.31</v>
      </c>
    </row>
    <row r="639" spans="3:5">
      <c r="C639" s="141">
        <v>10886</v>
      </c>
      <c r="D639" s="144">
        <v>0.21</v>
      </c>
      <c r="E639" s="144">
        <v>0.31</v>
      </c>
    </row>
    <row r="640" spans="3:5">
      <c r="C640" s="141">
        <v>10886.5</v>
      </c>
      <c r="D640" s="144">
        <v>0.22</v>
      </c>
      <c r="E640" s="144">
        <v>0.3</v>
      </c>
    </row>
    <row r="641" spans="3:5">
      <c r="C641" s="141">
        <v>10887</v>
      </c>
      <c r="D641" s="144">
        <v>0.21</v>
      </c>
      <c r="E641" s="144">
        <v>0.31</v>
      </c>
    </row>
    <row r="642" spans="3:5">
      <c r="C642" s="141">
        <v>10887.5</v>
      </c>
      <c r="D642" s="144">
        <v>0.21</v>
      </c>
      <c r="E642" s="144">
        <v>0.31</v>
      </c>
    </row>
    <row r="643" spans="3:5">
      <c r="C643" s="141">
        <v>10888</v>
      </c>
      <c r="D643" s="144">
        <v>0.21</v>
      </c>
      <c r="E643" s="144">
        <v>0.31</v>
      </c>
    </row>
    <row r="644" spans="3:5">
      <c r="C644" s="141">
        <v>10888.5</v>
      </c>
      <c r="D644" s="144">
        <v>0.22</v>
      </c>
      <c r="E644" s="144">
        <v>0.31</v>
      </c>
    </row>
    <row r="645" spans="3:5">
      <c r="C645" s="141">
        <v>10889</v>
      </c>
      <c r="D645" s="144">
        <v>0.22</v>
      </c>
      <c r="E645" s="144">
        <v>0.33</v>
      </c>
    </row>
    <row r="646" spans="3:5">
      <c r="C646" s="141">
        <v>10889.5</v>
      </c>
      <c r="D646" s="144">
        <v>0.21</v>
      </c>
      <c r="E646" s="144">
        <v>0.36</v>
      </c>
    </row>
    <row r="647" spans="3:5">
      <c r="C647" s="141">
        <v>10890</v>
      </c>
      <c r="D647" s="144">
        <v>0.2</v>
      </c>
      <c r="E647" s="144">
        <v>0.39</v>
      </c>
    </row>
    <row r="648" spans="3:5">
      <c r="C648" s="141">
        <v>10890.5</v>
      </c>
      <c r="D648" s="144">
        <v>0.2</v>
      </c>
      <c r="E648" s="144">
        <v>0.41</v>
      </c>
    </row>
    <row r="649" spans="3:5">
      <c r="C649" s="141">
        <v>10891</v>
      </c>
      <c r="D649" s="144">
        <v>0.19</v>
      </c>
      <c r="E649" s="144">
        <v>0.45</v>
      </c>
    </row>
    <row r="650" spans="3:5">
      <c r="C650" s="141">
        <v>10891.5</v>
      </c>
      <c r="D650" s="144">
        <v>0.18</v>
      </c>
      <c r="E650" s="144">
        <v>0.52</v>
      </c>
    </row>
    <row r="651" spans="3:5">
      <c r="C651" s="141">
        <v>10892</v>
      </c>
      <c r="D651" s="144">
        <v>0.17</v>
      </c>
      <c r="E651" s="144">
        <v>0.59</v>
      </c>
    </row>
    <row r="652" spans="3:5">
      <c r="C652" s="141">
        <v>10892.5</v>
      </c>
      <c r="D652" s="144">
        <v>0.16</v>
      </c>
      <c r="E652" s="144">
        <v>0.56999999999999995</v>
      </c>
    </row>
    <row r="653" spans="3:5">
      <c r="C653" s="141">
        <v>10893</v>
      </c>
      <c r="D653" s="144">
        <v>0.17</v>
      </c>
      <c r="E653" s="144">
        <v>0.64</v>
      </c>
    </row>
    <row r="654" spans="3:5">
      <c r="C654" s="141">
        <v>10893.5</v>
      </c>
      <c r="D654" s="144">
        <v>0.17</v>
      </c>
      <c r="E654" s="144">
        <v>0.65</v>
      </c>
    </row>
    <row r="655" spans="3:5">
      <c r="C655" s="141">
        <v>10894</v>
      </c>
      <c r="D655" s="144">
        <v>0.16</v>
      </c>
      <c r="E655" s="144">
        <v>0.7</v>
      </c>
    </row>
    <row r="656" spans="3:5">
      <c r="C656" s="141">
        <v>10894.5</v>
      </c>
      <c r="D656" s="144">
        <v>0.16</v>
      </c>
      <c r="E656" s="144">
        <v>0.62</v>
      </c>
    </row>
    <row r="657" spans="3:5">
      <c r="C657" s="141">
        <v>10895</v>
      </c>
      <c r="D657" s="144">
        <v>0.17</v>
      </c>
      <c r="E657" s="144">
        <v>0.68</v>
      </c>
    </row>
    <row r="658" spans="3:5">
      <c r="C658" s="141">
        <v>10895.5</v>
      </c>
      <c r="D658" s="144">
        <v>0.17</v>
      </c>
      <c r="E658" s="144">
        <v>0.57999999999999996</v>
      </c>
    </row>
    <row r="659" spans="3:5">
      <c r="C659" s="141">
        <v>10896</v>
      </c>
      <c r="D659" s="144">
        <v>0.18</v>
      </c>
      <c r="E659" s="144">
        <v>0.51</v>
      </c>
    </row>
    <row r="660" spans="3:5">
      <c r="C660" s="141">
        <v>10896.5</v>
      </c>
      <c r="D660" s="144">
        <v>0.18</v>
      </c>
      <c r="E660" s="144">
        <v>0.52</v>
      </c>
    </row>
    <row r="661" spans="3:5">
      <c r="C661" s="141">
        <v>10897</v>
      </c>
      <c r="D661" s="144">
        <v>0.18</v>
      </c>
      <c r="E661" s="144">
        <v>0.56999999999999995</v>
      </c>
    </row>
    <row r="662" spans="3:5">
      <c r="C662" s="141">
        <v>10897.5</v>
      </c>
      <c r="D662" s="144">
        <v>0.18</v>
      </c>
      <c r="E662" s="144">
        <v>0.56999999999999995</v>
      </c>
    </row>
    <row r="663" spans="3:5">
      <c r="C663" s="141">
        <v>10898</v>
      </c>
      <c r="D663" s="144">
        <v>0.18</v>
      </c>
      <c r="E663" s="144">
        <v>0.51</v>
      </c>
    </row>
    <row r="664" spans="3:5">
      <c r="C664" s="141">
        <v>10898.5</v>
      </c>
      <c r="D664" s="144">
        <v>0.18</v>
      </c>
      <c r="E664" s="144">
        <v>0.5</v>
      </c>
    </row>
    <row r="665" spans="3:5">
      <c r="C665" s="141">
        <v>10899</v>
      </c>
      <c r="D665" s="144">
        <v>0.17</v>
      </c>
      <c r="E665" s="144">
        <v>0.53</v>
      </c>
    </row>
    <row r="666" spans="3:5">
      <c r="C666" s="141">
        <v>10899.5</v>
      </c>
      <c r="D666" s="144">
        <v>0.17</v>
      </c>
      <c r="E666" s="144">
        <v>0.53</v>
      </c>
    </row>
    <row r="667" spans="3:5">
      <c r="C667" s="141">
        <v>10900</v>
      </c>
      <c r="D667" s="144">
        <v>0.17</v>
      </c>
      <c r="E667" s="144">
        <v>0.54</v>
      </c>
    </row>
    <row r="668" spans="3:5">
      <c r="C668" s="141">
        <v>10900.5</v>
      </c>
      <c r="D668" s="144">
        <v>0.17</v>
      </c>
      <c r="E668" s="144">
        <v>0.52</v>
      </c>
    </row>
    <row r="669" spans="3:5">
      <c r="C669" s="141">
        <v>10901</v>
      </c>
      <c r="D669" s="144">
        <v>0.17</v>
      </c>
      <c r="E669" s="144">
        <v>0.51</v>
      </c>
    </row>
    <row r="670" spans="3:5">
      <c r="C670" s="141">
        <v>10901.5</v>
      </c>
      <c r="D670" s="144">
        <v>0.17</v>
      </c>
      <c r="E670" s="144">
        <v>0.54</v>
      </c>
    </row>
    <row r="671" spans="3:5">
      <c r="C671" s="141">
        <v>10902</v>
      </c>
      <c r="D671" s="144">
        <v>0.18</v>
      </c>
      <c r="E671" s="144">
        <v>0.53</v>
      </c>
    </row>
    <row r="672" spans="3:5">
      <c r="C672" s="141">
        <v>10902.5</v>
      </c>
      <c r="D672" s="144">
        <v>0.19</v>
      </c>
      <c r="E672" s="144">
        <v>0.56000000000000005</v>
      </c>
    </row>
    <row r="673" spans="3:5">
      <c r="C673" s="141">
        <v>10903</v>
      </c>
      <c r="D673" s="144">
        <v>0.19</v>
      </c>
      <c r="E673" s="144">
        <v>0.49</v>
      </c>
    </row>
    <row r="674" spans="3:5">
      <c r="C674" s="141">
        <v>10903.5</v>
      </c>
      <c r="D674" s="144">
        <v>0.19</v>
      </c>
      <c r="E674" s="144">
        <v>0.52</v>
      </c>
    </row>
    <row r="675" spans="3:5">
      <c r="C675" s="141">
        <v>10904</v>
      </c>
      <c r="D675" s="144">
        <v>0.18</v>
      </c>
      <c r="E675" s="144">
        <v>0.61</v>
      </c>
    </row>
    <row r="676" spans="3:5">
      <c r="C676" s="141">
        <v>10904.5</v>
      </c>
      <c r="D676" s="144">
        <v>0.18</v>
      </c>
      <c r="E676" s="144">
        <v>0.64</v>
      </c>
    </row>
    <row r="677" spans="3:5">
      <c r="C677" s="141">
        <v>10905</v>
      </c>
      <c r="D677" s="144">
        <v>0.17</v>
      </c>
      <c r="E677" s="144">
        <v>0.59</v>
      </c>
    </row>
    <row r="678" spans="3:5">
      <c r="C678" s="141">
        <v>10905.5</v>
      </c>
      <c r="D678" s="144">
        <v>0.18</v>
      </c>
      <c r="E678" s="144">
        <v>0.57999999999999996</v>
      </c>
    </row>
    <row r="679" spans="3:5">
      <c r="C679" s="141">
        <v>10906</v>
      </c>
      <c r="D679" s="144">
        <v>0.18</v>
      </c>
      <c r="E679" s="144">
        <v>0.57999999999999996</v>
      </c>
    </row>
    <row r="680" spans="3:5">
      <c r="C680" s="141">
        <v>10906.5</v>
      </c>
      <c r="D680" s="144">
        <v>0.17</v>
      </c>
      <c r="E680" s="144">
        <v>0.62</v>
      </c>
    </row>
    <row r="681" spans="3:5">
      <c r="C681" s="141">
        <v>10907</v>
      </c>
      <c r="D681" s="144">
        <v>0.17</v>
      </c>
      <c r="E681" s="144">
        <v>0.75</v>
      </c>
    </row>
    <row r="682" spans="3:5">
      <c r="C682" s="141">
        <v>10907.5</v>
      </c>
      <c r="D682" s="144">
        <v>0.17</v>
      </c>
      <c r="E682" s="144">
        <v>0.73</v>
      </c>
    </row>
    <row r="683" spans="3:5">
      <c r="C683" s="141">
        <v>10908</v>
      </c>
      <c r="D683" s="144">
        <v>0.17</v>
      </c>
      <c r="E683" s="144">
        <v>0.72</v>
      </c>
    </row>
    <row r="684" spans="3:5">
      <c r="C684" s="141">
        <v>10908.5</v>
      </c>
      <c r="D684" s="144">
        <v>0.17</v>
      </c>
      <c r="E684" s="144">
        <v>0.73</v>
      </c>
    </row>
    <row r="685" spans="3:5">
      <c r="C685" s="141">
        <v>10909</v>
      </c>
      <c r="D685" s="144">
        <v>0.17</v>
      </c>
      <c r="E685" s="144">
        <v>0.7</v>
      </c>
    </row>
    <row r="686" spans="3:5">
      <c r="C686" s="141">
        <v>10909.5</v>
      </c>
      <c r="D686" s="144">
        <v>0.18</v>
      </c>
      <c r="E686" s="144">
        <v>0.65</v>
      </c>
    </row>
    <row r="687" spans="3:5">
      <c r="C687" s="141">
        <v>10910</v>
      </c>
      <c r="D687" s="144">
        <v>0.18</v>
      </c>
      <c r="E687" s="144">
        <v>0.64</v>
      </c>
    </row>
    <row r="688" spans="3:5">
      <c r="C688" s="141">
        <v>10910.5</v>
      </c>
      <c r="D688" s="144">
        <v>0.19</v>
      </c>
      <c r="E688" s="144">
        <v>0.61</v>
      </c>
    </row>
    <row r="689" spans="3:5">
      <c r="C689" s="141">
        <v>10911</v>
      </c>
      <c r="D689" s="144">
        <v>0.2</v>
      </c>
      <c r="E689" s="144">
        <v>0.56999999999999995</v>
      </c>
    </row>
    <row r="690" spans="3:5">
      <c r="C690" s="141">
        <v>10911.5</v>
      </c>
      <c r="D690" s="144">
        <v>0.19</v>
      </c>
      <c r="E690" s="144">
        <v>0.56999999999999995</v>
      </c>
    </row>
    <row r="691" spans="3:5">
      <c r="C691" s="141">
        <v>10912</v>
      </c>
      <c r="D691" s="144">
        <v>0.19</v>
      </c>
      <c r="E691" s="144">
        <v>0.56999999999999995</v>
      </c>
    </row>
    <row r="692" spans="3:5">
      <c r="C692" s="141">
        <v>10912.5</v>
      </c>
      <c r="D692" s="144">
        <v>0.19</v>
      </c>
      <c r="E692" s="144">
        <v>0.56999999999999995</v>
      </c>
    </row>
    <row r="693" spans="3:5">
      <c r="C693" s="141">
        <v>10913</v>
      </c>
      <c r="D693" s="144">
        <v>0.2</v>
      </c>
      <c r="E693" s="144">
        <v>0.56000000000000005</v>
      </c>
    </row>
    <row r="694" spans="3:5">
      <c r="C694" s="141">
        <v>10913.5</v>
      </c>
      <c r="D694" s="144">
        <v>0.19</v>
      </c>
      <c r="E694" s="144">
        <v>0.57999999999999996</v>
      </c>
    </row>
    <row r="695" spans="3:5">
      <c r="C695" s="141">
        <v>10914</v>
      </c>
      <c r="D695" s="144">
        <v>0.19</v>
      </c>
      <c r="E695" s="144">
        <v>0.57999999999999996</v>
      </c>
    </row>
    <row r="696" spans="3:5">
      <c r="C696" s="141">
        <v>10914.5</v>
      </c>
      <c r="D696" s="144">
        <v>0.19</v>
      </c>
      <c r="E696" s="144">
        <v>0.57999999999999996</v>
      </c>
    </row>
    <row r="697" spans="3:5">
      <c r="C697" s="141">
        <v>10915</v>
      </c>
      <c r="D697" s="144">
        <v>0.18</v>
      </c>
      <c r="E697" s="144">
        <v>0.61</v>
      </c>
    </row>
    <row r="698" spans="3:5">
      <c r="C698" s="141">
        <v>10915.5</v>
      </c>
      <c r="D698" s="144">
        <v>0.17</v>
      </c>
      <c r="E698" s="144">
        <v>0.62</v>
      </c>
    </row>
    <row r="699" spans="3:5">
      <c r="C699" s="141">
        <v>10916</v>
      </c>
      <c r="D699" s="144">
        <v>0.17</v>
      </c>
      <c r="E699" s="144">
        <v>0.56000000000000005</v>
      </c>
    </row>
    <row r="700" spans="3:5">
      <c r="C700" s="141">
        <v>10916.5</v>
      </c>
      <c r="D700" s="144">
        <v>0.18</v>
      </c>
      <c r="E700" s="144">
        <v>0.51</v>
      </c>
    </row>
    <row r="701" spans="3:5">
      <c r="C701" s="141">
        <v>10917</v>
      </c>
      <c r="D701" s="144">
        <v>0.19</v>
      </c>
      <c r="E701" s="144">
        <v>0.56000000000000005</v>
      </c>
    </row>
    <row r="702" spans="3:5">
      <c r="C702" s="141">
        <v>10917.5</v>
      </c>
      <c r="D702" s="144">
        <v>0.19</v>
      </c>
      <c r="E702" s="144">
        <v>0.53</v>
      </c>
    </row>
    <row r="703" spans="3:5">
      <c r="C703" s="141">
        <v>10918</v>
      </c>
      <c r="D703" s="144">
        <v>0.19</v>
      </c>
      <c r="E703" s="144">
        <v>0.53</v>
      </c>
    </row>
    <row r="704" spans="3:5">
      <c r="C704" s="141">
        <v>10918.5</v>
      </c>
      <c r="D704" s="144">
        <v>0.19</v>
      </c>
      <c r="E704" s="144">
        <v>0.47</v>
      </c>
    </row>
    <row r="705" spans="3:5">
      <c r="C705" s="141">
        <v>10919</v>
      </c>
      <c r="D705" s="144">
        <v>0.19</v>
      </c>
      <c r="E705" s="144">
        <v>0.53</v>
      </c>
    </row>
    <row r="706" spans="3:5">
      <c r="C706" s="141">
        <v>10919.5</v>
      </c>
      <c r="D706" s="144">
        <v>0.19</v>
      </c>
      <c r="E706" s="144">
        <v>0.5</v>
      </c>
    </row>
    <row r="707" spans="3:5">
      <c r="C707" s="141">
        <v>10920</v>
      </c>
      <c r="D707" s="144">
        <v>0.21</v>
      </c>
      <c r="E707" s="144">
        <v>0.46</v>
      </c>
    </row>
    <row r="708" spans="3:5">
      <c r="C708" s="141">
        <v>10920.5</v>
      </c>
      <c r="D708" s="144">
        <v>0.21</v>
      </c>
      <c r="E708" s="144">
        <v>0.45</v>
      </c>
    </row>
    <row r="709" spans="3:5">
      <c r="C709" s="141">
        <v>10921</v>
      </c>
      <c r="D709" s="144">
        <v>0.21</v>
      </c>
      <c r="E709" s="144">
        <v>0.44</v>
      </c>
    </row>
    <row r="710" spans="3:5">
      <c r="C710" s="141">
        <v>10921.5</v>
      </c>
      <c r="D710" s="144">
        <v>0.21</v>
      </c>
      <c r="E710" s="144">
        <v>0.44</v>
      </c>
    </row>
    <row r="711" spans="3:5">
      <c r="C711" s="141">
        <v>10922</v>
      </c>
      <c r="D711" s="144">
        <v>0.21</v>
      </c>
      <c r="E711" s="144">
        <v>0.44</v>
      </c>
    </row>
    <row r="712" spans="3:5">
      <c r="C712" s="141">
        <v>10922.5</v>
      </c>
      <c r="D712" s="144">
        <v>0.21</v>
      </c>
      <c r="E712" s="144">
        <v>0.44</v>
      </c>
    </row>
    <row r="713" spans="3:5">
      <c r="C713" s="141">
        <v>10923</v>
      </c>
      <c r="D713" s="144">
        <v>0.21</v>
      </c>
      <c r="E713" s="144">
        <v>0.4</v>
      </c>
    </row>
    <row r="714" spans="3:5">
      <c r="C714" s="141">
        <v>10923.5</v>
      </c>
      <c r="D714" s="144">
        <v>0.2</v>
      </c>
      <c r="E714" s="144">
        <v>0.42</v>
      </c>
    </row>
    <row r="715" spans="3:5">
      <c r="C715" s="141">
        <v>10924</v>
      </c>
      <c r="D715" s="144">
        <v>0.2</v>
      </c>
      <c r="E715" s="144">
        <v>0.47</v>
      </c>
    </row>
    <row r="716" spans="3:5">
      <c r="C716" s="141">
        <v>10924.5</v>
      </c>
      <c r="D716" s="144">
        <v>0.2</v>
      </c>
      <c r="E716" s="144">
        <v>0.48</v>
      </c>
    </row>
    <row r="717" spans="3:5">
      <c r="C717" s="141">
        <v>10925</v>
      </c>
      <c r="D717" s="144">
        <v>0.19</v>
      </c>
      <c r="E717" s="144">
        <v>0.44</v>
      </c>
    </row>
    <row r="718" spans="3:5">
      <c r="C718" s="141">
        <v>10925.5</v>
      </c>
      <c r="D718" s="144">
        <v>0.18</v>
      </c>
      <c r="E718" s="144">
        <v>0.46</v>
      </c>
    </row>
    <row r="719" spans="3:5">
      <c r="C719" s="141">
        <v>10926</v>
      </c>
      <c r="D719" s="144">
        <v>0.18</v>
      </c>
      <c r="E719" s="144">
        <v>0.48</v>
      </c>
    </row>
    <row r="720" spans="3:5">
      <c r="C720" s="141">
        <v>10926.5</v>
      </c>
      <c r="D720" s="144">
        <v>0.18</v>
      </c>
      <c r="E720" s="144">
        <v>0.55000000000000004</v>
      </c>
    </row>
    <row r="721" spans="3:5">
      <c r="C721" s="141">
        <v>10927</v>
      </c>
      <c r="D721" s="144">
        <v>0.18</v>
      </c>
      <c r="E721" s="144">
        <v>0.54</v>
      </c>
    </row>
    <row r="722" spans="3:5">
      <c r="C722" s="141">
        <v>10927.5</v>
      </c>
      <c r="D722" s="144">
        <v>0.19</v>
      </c>
      <c r="E722" s="144">
        <v>0.54</v>
      </c>
    </row>
    <row r="723" spans="3:5">
      <c r="C723" s="141">
        <v>10928</v>
      </c>
      <c r="D723" s="144">
        <v>0.19</v>
      </c>
      <c r="E723" s="144">
        <v>0.53</v>
      </c>
    </row>
    <row r="724" spans="3:5">
      <c r="C724" s="141">
        <v>10928.5</v>
      </c>
      <c r="D724" s="144">
        <v>0.19</v>
      </c>
      <c r="E724" s="144">
        <v>0.52</v>
      </c>
    </row>
    <row r="725" spans="3:5">
      <c r="C725" s="141">
        <v>10929</v>
      </c>
      <c r="D725" s="144">
        <v>0.19</v>
      </c>
      <c r="E725" s="144">
        <v>0.53</v>
      </c>
    </row>
    <row r="726" spans="3:5">
      <c r="C726" s="141">
        <v>10929.5</v>
      </c>
      <c r="D726" s="144">
        <v>0.19</v>
      </c>
      <c r="E726" s="144">
        <v>0.54</v>
      </c>
    </row>
    <row r="727" spans="3:5">
      <c r="C727" s="141">
        <v>10930</v>
      </c>
      <c r="D727" s="144">
        <v>0.18</v>
      </c>
      <c r="E727" s="144">
        <v>0.55000000000000004</v>
      </c>
    </row>
    <row r="728" spans="3:5">
      <c r="C728" s="141">
        <v>10930.5</v>
      </c>
      <c r="D728" s="144">
        <v>0.19</v>
      </c>
      <c r="E728" s="144">
        <v>0.54</v>
      </c>
    </row>
    <row r="729" spans="3:5">
      <c r="C729" s="141">
        <v>10931</v>
      </c>
      <c r="D729" s="144">
        <v>0.19</v>
      </c>
      <c r="E729" s="144">
        <v>0.52</v>
      </c>
    </row>
    <row r="730" spans="3:5">
      <c r="C730" s="141">
        <v>10931.5</v>
      </c>
      <c r="D730" s="144">
        <v>0.2</v>
      </c>
      <c r="E730" s="144">
        <v>0.52</v>
      </c>
    </row>
    <row r="731" spans="3:5">
      <c r="C731" s="141">
        <v>10932</v>
      </c>
      <c r="D731" s="144">
        <v>0.19</v>
      </c>
      <c r="E731" s="144">
        <v>0.52</v>
      </c>
    </row>
    <row r="732" spans="3:5">
      <c r="C732" s="141">
        <v>10932.5</v>
      </c>
      <c r="D732" s="144">
        <v>0.18</v>
      </c>
      <c r="E732" s="144">
        <v>0.54</v>
      </c>
    </row>
    <row r="733" spans="3:5">
      <c r="C733" s="141">
        <v>10933</v>
      </c>
      <c r="D733" s="144">
        <v>0.19</v>
      </c>
      <c r="E733" s="144">
        <v>0.48</v>
      </c>
    </row>
    <row r="734" spans="3:5">
      <c r="C734" s="141">
        <v>10933.5</v>
      </c>
      <c r="D734" s="144">
        <v>0.18</v>
      </c>
      <c r="E734" s="144">
        <v>0.49</v>
      </c>
    </row>
    <row r="735" spans="3:5">
      <c r="C735" s="141">
        <v>10934</v>
      </c>
      <c r="D735" s="144">
        <v>0.18</v>
      </c>
      <c r="E735" s="144">
        <v>0.56000000000000005</v>
      </c>
    </row>
    <row r="736" spans="3:5">
      <c r="C736" s="141">
        <v>10934.5</v>
      </c>
      <c r="D736" s="144">
        <v>0.19</v>
      </c>
      <c r="E736" s="144">
        <v>0.55000000000000004</v>
      </c>
    </row>
    <row r="737" spans="3:5">
      <c r="C737" s="141">
        <v>10935</v>
      </c>
      <c r="D737" s="144">
        <v>0.19</v>
      </c>
      <c r="E737" s="144">
        <v>0.55000000000000004</v>
      </c>
    </row>
    <row r="738" spans="3:5">
      <c r="C738" s="141">
        <v>10935.5</v>
      </c>
      <c r="D738" s="144">
        <v>0.18</v>
      </c>
      <c r="E738" s="144">
        <v>0.56999999999999995</v>
      </c>
    </row>
    <row r="739" spans="3:5">
      <c r="C739" s="141">
        <v>10936</v>
      </c>
      <c r="D739" s="144">
        <v>0.18</v>
      </c>
      <c r="E739" s="144">
        <v>0.57999999999999996</v>
      </c>
    </row>
    <row r="740" spans="3:5">
      <c r="C740" s="141">
        <v>10936.5</v>
      </c>
      <c r="D740" s="144">
        <v>0.19</v>
      </c>
      <c r="E740" s="144">
        <v>0.56000000000000005</v>
      </c>
    </row>
    <row r="741" spans="3:5">
      <c r="C741" s="141">
        <v>10937</v>
      </c>
      <c r="D741" s="144">
        <v>0.2</v>
      </c>
      <c r="E741" s="144">
        <v>0.53</v>
      </c>
    </row>
    <row r="742" spans="3:5">
      <c r="C742" s="141">
        <v>10937.5</v>
      </c>
      <c r="D742" s="144">
        <v>0.2</v>
      </c>
      <c r="E742" s="144">
        <v>0.53</v>
      </c>
    </row>
    <row r="743" spans="3:5">
      <c r="C743" s="141">
        <v>10938</v>
      </c>
      <c r="D743" s="144">
        <v>0.21</v>
      </c>
      <c r="E743" s="144">
        <v>0.52</v>
      </c>
    </row>
    <row r="744" spans="3:5">
      <c r="C744" s="141">
        <v>10938.5</v>
      </c>
      <c r="D744" s="144">
        <v>0.21</v>
      </c>
      <c r="E744" s="144">
        <v>0.51</v>
      </c>
    </row>
    <row r="745" spans="3:5">
      <c r="C745" s="141">
        <v>10939</v>
      </c>
      <c r="D745" s="144">
        <v>0.2</v>
      </c>
      <c r="E745" s="144">
        <v>0.53</v>
      </c>
    </row>
    <row r="746" spans="3:5">
      <c r="C746" s="141">
        <v>10939.5</v>
      </c>
      <c r="D746" s="144">
        <v>0.2</v>
      </c>
      <c r="E746" s="144">
        <v>0.54</v>
      </c>
    </row>
    <row r="747" spans="3:5">
      <c r="C747" s="141">
        <v>10940</v>
      </c>
      <c r="D747" s="144">
        <v>0.2</v>
      </c>
      <c r="E747" s="144">
        <v>0.52</v>
      </c>
    </row>
    <row r="748" spans="3:5">
      <c r="C748" s="141">
        <v>10940.5</v>
      </c>
      <c r="D748" s="144">
        <v>0.2</v>
      </c>
      <c r="E748" s="144">
        <v>0.54</v>
      </c>
    </row>
    <row r="749" spans="3:5">
      <c r="C749" s="141">
        <v>10941</v>
      </c>
      <c r="D749" s="144">
        <v>0.19</v>
      </c>
      <c r="E749" s="144">
        <v>0.56000000000000005</v>
      </c>
    </row>
    <row r="750" spans="3:5">
      <c r="C750" s="141">
        <v>10941.5</v>
      </c>
      <c r="D750" s="144">
        <v>0.19</v>
      </c>
      <c r="E750" s="144">
        <v>0.56999999999999995</v>
      </c>
    </row>
    <row r="751" spans="3:5">
      <c r="C751" s="141">
        <v>10942</v>
      </c>
      <c r="D751" s="144">
        <v>0.19</v>
      </c>
      <c r="E751" s="144">
        <v>0.57999999999999996</v>
      </c>
    </row>
    <row r="752" spans="3:5">
      <c r="C752" s="141">
        <v>10942.5</v>
      </c>
      <c r="D752" s="144">
        <v>0.18</v>
      </c>
      <c r="E752" s="144">
        <v>0.6</v>
      </c>
    </row>
    <row r="753" spans="3:5">
      <c r="C753" s="141">
        <v>10943</v>
      </c>
      <c r="D753" s="144">
        <v>0.18</v>
      </c>
      <c r="E753" s="144">
        <v>0.63</v>
      </c>
    </row>
    <row r="754" spans="3:5">
      <c r="C754" s="141">
        <v>10943.5</v>
      </c>
      <c r="D754" s="144">
        <v>0.18</v>
      </c>
      <c r="E754" s="144">
        <v>0.64</v>
      </c>
    </row>
    <row r="755" spans="3:5">
      <c r="C755" s="141">
        <v>10944</v>
      </c>
      <c r="D755" s="144">
        <v>0.17</v>
      </c>
      <c r="E755" s="144">
        <v>0.57999999999999996</v>
      </c>
    </row>
    <row r="756" spans="3:5">
      <c r="C756" s="141">
        <v>10944.5</v>
      </c>
      <c r="D756" s="144">
        <v>0.17</v>
      </c>
      <c r="E756" s="144">
        <v>0.68</v>
      </c>
    </row>
    <row r="757" spans="3:5">
      <c r="C757" s="141">
        <v>10945</v>
      </c>
      <c r="D757" s="144">
        <v>0.16</v>
      </c>
      <c r="E757" s="144">
        <v>0.7</v>
      </c>
    </row>
    <row r="758" spans="3:5">
      <c r="C758" s="141">
        <v>10945.5</v>
      </c>
      <c r="D758" s="144">
        <v>0.17</v>
      </c>
      <c r="E758" s="144">
        <v>0.68</v>
      </c>
    </row>
    <row r="759" spans="3:5">
      <c r="C759" s="141">
        <v>10946</v>
      </c>
      <c r="D759" s="144">
        <v>0.17</v>
      </c>
      <c r="E759" s="144">
        <v>0.68</v>
      </c>
    </row>
    <row r="760" spans="3:5">
      <c r="C760" s="141">
        <v>10946.5</v>
      </c>
      <c r="D760" s="144">
        <v>0.17</v>
      </c>
      <c r="E760" s="144">
        <v>0.67</v>
      </c>
    </row>
    <row r="761" spans="3:5">
      <c r="C761" s="141">
        <v>10947</v>
      </c>
      <c r="D761" s="144">
        <v>0.17</v>
      </c>
      <c r="E761" s="144">
        <v>0.57999999999999996</v>
      </c>
    </row>
    <row r="762" spans="3:5">
      <c r="C762" s="141">
        <v>10947.5</v>
      </c>
      <c r="D762" s="144">
        <v>0.17</v>
      </c>
      <c r="E762" s="144">
        <v>0.55000000000000004</v>
      </c>
    </row>
    <row r="763" spans="3:5">
      <c r="C763" s="141">
        <v>10948</v>
      </c>
      <c r="D763" s="144">
        <v>0.19</v>
      </c>
      <c r="E763" s="144">
        <v>0.57999999999999996</v>
      </c>
    </row>
    <row r="764" spans="3:5">
      <c r="C764" s="141">
        <v>10948.5</v>
      </c>
      <c r="D764" s="144">
        <v>0.2</v>
      </c>
      <c r="E764" s="144">
        <v>0.54</v>
      </c>
    </row>
    <row r="765" spans="3:5">
      <c r="C765" s="141">
        <v>10949</v>
      </c>
      <c r="D765" s="144">
        <v>0.2</v>
      </c>
      <c r="E765" s="144">
        <v>0.53</v>
      </c>
    </row>
    <row r="766" spans="3:5">
      <c r="C766" s="141">
        <v>10949.5</v>
      </c>
      <c r="D766" s="144">
        <v>0.19</v>
      </c>
      <c r="E766" s="144">
        <v>0.48</v>
      </c>
    </row>
    <row r="767" spans="3:5">
      <c r="C767" s="141">
        <v>10950</v>
      </c>
      <c r="D767" s="144">
        <v>0.19</v>
      </c>
      <c r="E767" s="144">
        <v>0.54</v>
      </c>
    </row>
    <row r="768" spans="3:5">
      <c r="C768" s="141">
        <v>10950.5</v>
      </c>
      <c r="D768" s="144">
        <v>0.19</v>
      </c>
      <c r="E768" s="144">
        <v>0.54</v>
      </c>
    </row>
    <row r="769" spans="3:5">
      <c r="C769" s="141">
        <v>10951</v>
      </c>
      <c r="D769" s="144">
        <v>0.19</v>
      </c>
      <c r="E769" s="144">
        <v>0.55000000000000004</v>
      </c>
    </row>
    <row r="770" spans="3:5">
      <c r="C770" s="141">
        <v>10951.5</v>
      </c>
      <c r="D770" s="144">
        <v>0.19</v>
      </c>
      <c r="E770" s="144">
        <v>0.53</v>
      </c>
    </row>
    <row r="771" spans="3:5">
      <c r="C771" s="141">
        <v>10952</v>
      </c>
      <c r="D771" s="144">
        <v>0.19</v>
      </c>
      <c r="E771" s="144">
        <v>0.53</v>
      </c>
    </row>
    <row r="772" spans="3:5">
      <c r="C772" s="141">
        <v>10952.5</v>
      </c>
      <c r="D772" s="144">
        <v>0.2</v>
      </c>
      <c r="E772" s="144">
        <v>0.51</v>
      </c>
    </row>
    <row r="773" spans="3:5">
      <c r="C773" s="141">
        <v>10953</v>
      </c>
      <c r="D773" s="144">
        <v>0.21</v>
      </c>
      <c r="E773" s="144">
        <v>0.48</v>
      </c>
    </row>
    <row r="774" spans="3:5">
      <c r="C774" s="141">
        <v>10953.5</v>
      </c>
      <c r="D774" s="144">
        <v>0.22</v>
      </c>
      <c r="E774" s="144">
        <v>0.46</v>
      </c>
    </row>
    <row r="775" spans="3:5">
      <c r="C775" s="141">
        <v>10954</v>
      </c>
      <c r="D775" s="144">
        <v>0.22</v>
      </c>
      <c r="E775" s="144">
        <v>0.44</v>
      </c>
    </row>
    <row r="776" spans="3:5">
      <c r="C776" s="141">
        <v>10954.5</v>
      </c>
      <c r="D776" s="144">
        <v>0.22</v>
      </c>
      <c r="E776" s="144">
        <v>0.44</v>
      </c>
    </row>
    <row r="777" spans="3:5">
      <c r="C777" s="141">
        <v>10955</v>
      </c>
      <c r="D777" s="144">
        <v>0.21</v>
      </c>
      <c r="E777" s="144">
        <v>0.46</v>
      </c>
    </row>
    <row r="778" spans="3:5">
      <c r="C778" s="141">
        <v>10955.5</v>
      </c>
      <c r="D778" s="144">
        <v>0.21</v>
      </c>
      <c r="E778" s="144">
        <v>0.47</v>
      </c>
    </row>
    <row r="779" spans="3:5">
      <c r="C779" s="141">
        <v>10956</v>
      </c>
      <c r="D779" s="144">
        <v>0.21</v>
      </c>
      <c r="E779" s="144">
        <v>0.49</v>
      </c>
    </row>
    <row r="780" spans="3:5">
      <c r="C780" s="141">
        <v>10956.5</v>
      </c>
      <c r="D780" s="144">
        <v>0.2</v>
      </c>
      <c r="E780" s="144">
        <v>0.5</v>
      </c>
    </row>
    <row r="781" spans="3:5">
      <c r="C781" s="141">
        <v>10957</v>
      </c>
      <c r="D781" s="144">
        <v>0.2</v>
      </c>
      <c r="E781" s="144">
        <v>0.52</v>
      </c>
    </row>
    <row r="782" spans="3:5">
      <c r="C782" s="141">
        <v>10957.5</v>
      </c>
      <c r="D782" s="144">
        <v>0.19</v>
      </c>
      <c r="E782" s="144">
        <v>0.54</v>
      </c>
    </row>
    <row r="783" spans="3:5">
      <c r="C783" s="141">
        <v>10958</v>
      </c>
      <c r="D783" s="144">
        <v>0.19</v>
      </c>
      <c r="E783" s="144">
        <v>0.55000000000000004</v>
      </c>
    </row>
    <row r="784" spans="3:5">
      <c r="C784" s="141">
        <v>10958.5</v>
      </c>
      <c r="D784" s="144">
        <v>0.19</v>
      </c>
      <c r="E784" s="144">
        <v>0.55000000000000004</v>
      </c>
    </row>
    <row r="785" spans="3:5">
      <c r="C785" s="141">
        <v>10959</v>
      </c>
      <c r="D785" s="144">
        <v>0.19</v>
      </c>
      <c r="E785" s="144">
        <v>0.55000000000000004</v>
      </c>
    </row>
    <row r="786" spans="3:5">
      <c r="C786" s="141">
        <v>10959.5</v>
      </c>
      <c r="D786" s="144">
        <v>0.18</v>
      </c>
      <c r="E786" s="144">
        <v>0.51</v>
      </c>
    </row>
    <row r="787" spans="3:5">
      <c r="C787" s="141">
        <v>10960</v>
      </c>
      <c r="D787" s="144">
        <v>0.18</v>
      </c>
      <c r="E787" s="144">
        <v>0.55000000000000004</v>
      </c>
    </row>
    <row r="788" spans="3:5">
      <c r="C788" s="141">
        <v>10960.5</v>
      </c>
      <c r="D788" s="144">
        <v>0.19</v>
      </c>
      <c r="E788" s="144">
        <v>0.52</v>
      </c>
    </row>
    <row r="789" spans="3:5">
      <c r="C789" s="141">
        <v>10961</v>
      </c>
      <c r="D789" s="144">
        <v>0.2</v>
      </c>
      <c r="E789" s="144">
        <v>0.49</v>
      </c>
    </row>
    <row r="790" spans="3:5">
      <c r="C790" s="141">
        <v>10961.5</v>
      </c>
      <c r="D790" s="144">
        <v>0.2</v>
      </c>
      <c r="E790" s="144">
        <v>0.47</v>
      </c>
    </row>
    <row r="791" spans="3:5">
      <c r="C791" s="141">
        <v>10962</v>
      </c>
      <c r="D791" s="144">
        <v>0.22</v>
      </c>
      <c r="E791" s="144">
        <v>0.42</v>
      </c>
    </row>
    <row r="792" spans="3:5">
      <c r="C792" s="141">
        <v>10962.5</v>
      </c>
      <c r="D792" s="144">
        <v>0.23</v>
      </c>
      <c r="E792" s="144">
        <v>0.37</v>
      </c>
    </row>
    <row r="793" spans="3:5">
      <c r="C793" s="141">
        <v>10963</v>
      </c>
      <c r="D793" s="144">
        <v>0.23</v>
      </c>
      <c r="E793" s="144">
        <v>0.36</v>
      </c>
    </row>
    <row r="794" spans="3:5">
      <c r="C794" s="141">
        <v>10963.5</v>
      </c>
      <c r="D794" s="144">
        <v>0.23</v>
      </c>
      <c r="E794" s="144">
        <v>0.36</v>
      </c>
    </row>
    <row r="795" spans="3:5">
      <c r="C795" s="141">
        <v>10964</v>
      </c>
      <c r="D795" s="144">
        <v>0.23</v>
      </c>
      <c r="E795" s="144">
        <v>0.36</v>
      </c>
    </row>
    <row r="796" spans="3:5">
      <c r="C796" s="141">
        <v>10964.5</v>
      </c>
      <c r="D796" s="144">
        <v>0.23</v>
      </c>
      <c r="E796" s="144">
        <v>0.35</v>
      </c>
    </row>
    <row r="797" spans="3:5">
      <c r="C797" s="141">
        <v>10965</v>
      </c>
      <c r="D797" s="144">
        <v>0.24</v>
      </c>
      <c r="E797" s="144">
        <v>0.34</v>
      </c>
    </row>
    <row r="798" spans="3:5">
      <c r="C798" s="141">
        <v>10965.5</v>
      </c>
      <c r="D798" s="144">
        <v>0.24</v>
      </c>
      <c r="E798" s="144">
        <v>0.33</v>
      </c>
    </row>
    <row r="799" spans="3:5">
      <c r="C799" s="141">
        <v>10966</v>
      </c>
      <c r="D799" s="144">
        <v>0.23</v>
      </c>
      <c r="E799" s="144">
        <v>0.34</v>
      </c>
    </row>
    <row r="800" spans="3:5">
      <c r="C800" s="141">
        <v>10966.5</v>
      </c>
      <c r="D800" s="144">
        <v>0.23</v>
      </c>
      <c r="E800" s="144">
        <v>0.35</v>
      </c>
    </row>
    <row r="801" spans="3:5">
      <c r="C801" s="141">
        <v>10967</v>
      </c>
      <c r="D801" s="144">
        <v>0.23</v>
      </c>
      <c r="E801" s="144">
        <v>0.36</v>
      </c>
    </row>
    <row r="802" spans="3:5">
      <c r="C802" s="141">
        <v>10967.5</v>
      </c>
      <c r="D802" s="144">
        <v>0.22</v>
      </c>
      <c r="E802" s="144">
        <v>0.36</v>
      </c>
    </row>
    <row r="803" spans="3:5">
      <c r="C803" s="141">
        <v>10968</v>
      </c>
      <c r="D803" s="144">
        <v>0.22</v>
      </c>
      <c r="E803" s="144">
        <v>0.36</v>
      </c>
    </row>
    <row r="804" spans="3:5">
      <c r="C804" s="141">
        <v>10968.5</v>
      </c>
      <c r="D804" s="144">
        <v>0.22</v>
      </c>
      <c r="E804" s="144">
        <v>0.36</v>
      </c>
    </row>
    <row r="805" spans="3:5">
      <c r="C805" s="141">
        <v>10969</v>
      </c>
      <c r="D805" s="144">
        <v>0.22</v>
      </c>
      <c r="E805" s="144">
        <v>0.37</v>
      </c>
    </row>
    <row r="806" spans="3:5">
      <c r="C806" s="141">
        <v>10969.5</v>
      </c>
      <c r="D806" s="144">
        <v>0.22</v>
      </c>
      <c r="E806" s="144">
        <v>0.37</v>
      </c>
    </row>
    <row r="807" spans="3:5">
      <c r="C807" s="141">
        <v>10970</v>
      </c>
      <c r="D807" s="144">
        <v>0.22</v>
      </c>
      <c r="E807" s="144">
        <v>0.37</v>
      </c>
    </row>
    <row r="808" spans="3:5">
      <c r="C808" s="141">
        <v>10970.5</v>
      </c>
      <c r="D808" s="144">
        <v>0.23</v>
      </c>
      <c r="E808" s="144">
        <v>0.37</v>
      </c>
    </row>
    <row r="809" spans="3:5">
      <c r="C809" s="141">
        <v>10971</v>
      </c>
      <c r="D809" s="144">
        <v>0.22</v>
      </c>
      <c r="E809" s="144">
        <v>0.38</v>
      </c>
    </row>
    <row r="810" spans="3:5">
      <c r="C810" s="141">
        <v>10971.5</v>
      </c>
      <c r="D810" s="144">
        <v>0.22</v>
      </c>
      <c r="E810" s="144">
        <v>0.39</v>
      </c>
    </row>
    <row r="811" spans="3:5">
      <c r="C811" s="141">
        <v>10972</v>
      </c>
      <c r="D811" s="144">
        <v>0.22</v>
      </c>
      <c r="E811" s="144">
        <v>0.4</v>
      </c>
    </row>
    <row r="812" spans="3:5">
      <c r="C812" s="141">
        <v>10972.5</v>
      </c>
      <c r="D812" s="144">
        <v>0.22</v>
      </c>
      <c r="E812" s="144">
        <v>0.4</v>
      </c>
    </row>
    <row r="813" spans="3:5">
      <c r="C813" s="141">
        <v>10973</v>
      </c>
      <c r="D813" s="144">
        <v>0.21</v>
      </c>
      <c r="E813" s="144">
        <v>0.42</v>
      </c>
    </row>
    <row r="814" spans="3:5">
      <c r="C814" s="141">
        <v>10973.5</v>
      </c>
      <c r="D814" s="144">
        <v>0.2</v>
      </c>
      <c r="E814" s="144">
        <v>0.44</v>
      </c>
    </row>
    <row r="815" spans="3:5">
      <c r="C815" s="141">
        <v>10974</v>
      </c>
      <c r="D815" s="144">
        <v>0.19</v>
      </c>
      <c r="E815" s="144">
        <v>0.46</v>
      </c>
    </row>
    <row r="816" spans="3:5">
      <c r="C816" s="141">
        <v>10974.5</v>
      </c>
      <c r="D816" s="144">
        <v>0.19</v>
      </c>
      <c r="E816" s="144">
        <v>0.48</v>
      </c>
    </row>
    <row r="817" spans="3:5">
      <c r="C817" s="141">
        <v>10975</v>
      </c>
      <c r="D817" s="144">
        <v>0.19</v>
      </c>
      <c r="E817" s="144">
        <v>0.48</v>
      </c>
    </row>
    <row r="818" spans="3:5">
      <c r="C818" s="141">
        <v>10975.5</v>
      </c>
      <c r="D818" s="144">
        <v>0.19</v>
      </c>
      <c r="E818" s="144">
        <v>0.49</v>
      </c>
    </row>
    <row r="819" spans="3:5">
      <c r="C819" s="141">
        <v>10976</v>
      </c>
      <c r="D819" s="144">
        <v>0.19</v>
      </c>
      <c r="E819" s="144">
        <v>0.49</v>
      </c>
    </row>
    <row r="820" spans="3:5">
      <c r="C820" s="141">
        <v>10976.5</v>
      </c>
      <c r="D820" s="144">
        <v>0.19</v>
      </c>
      <c r="E820" s="144">
        <v>0.48</v>
      </c>
    </row>
    <row r="821" spans="3:5">
      <c r="C821" s="141">
        <v>10977</v>
      </c>
      <c r="D821" s="144">
        <v>0.2</v>
      </c>
      <c r="E821" s="144">
        <v>0.46</v>
      </c>
    </row>
    <row r="822" spans="3:5">
      <c r="C822" s="141">
        <v>10977.5</v>
      </c>
      <c r="D822" s="144">
        <v>0.2</v>
      </c>
      <c r="E822" s="144">
        <v>0.39</v>
      </c>
    </row>
    <row r="823" spans="3:5">
      <c r="C823" s="141">
        <v>10978</v>
      </c>
      <c r="D823" s="144">
        <v>0.21</v>
      </c>
      <c r="E823" s="144">
        <v>0.43</v>
      </c>
    </row>
    <row r="824" spans="3:5">
      <c r="C824" s="141">
        <v>10978.5</v>
      </c>
      <c r="D824" s="144">
        <v>0.21</v>
      </c>
      <c r="E824" s="144">
        <v>0.42</v>
      </c>
    </row>
    <row r="825" spans="3:5">
      <c r="C825" s="141">
        <v>10979</v>
      </c>
      <c r="D825" s="144">
        <v>0.21</v>
      </c>
      <c r="E825" s="144">
        <v>0.42</v>
      </c>
    </row>
    <row r="826" spans="3:5">
      <c r="C826" s="141">
        <v>10979.5</v>
      </c>
      <c r="D826" s="144">
        <v>0.21</v>
      </c>
      <c r="E826" s="144">
        <v>0.37</v>
      </c>
    </row>
    <row r="827" spans="3:5">
      <c r="C827" s="141">
        <v>10980</v>
      </c>
      <c r="D827" s="144">
        <v>0.21</v>
      </c>
      <c r="E827" s="144">
        <v>0.42</v>
      </c>
    </row>
    <row r="828" spans="3:5">
      <c r="C828" s="141">
        <v>10980.5</v>
      </c>
      <c r="D828" s="144">
        <v>0.21</v>
      </c>
      <c r="E828" s="144">
        <v>0.43</v>
      </c>
    </row>
    <row r="829" spans="3:5">
      <c r="C829" s="141">
        <v>10981</v>
      </c>
      <c r="D829" s="144">
        <v>0.2</v>
      </c>
      <c r="E829" s="144">
        <v>0.44</v>
      </c>
    </row>
    <row r="830" spans="3:5">
      <c r="C830" s="141">
        <v>10981.5</v>
      </c>
      <c r="D830" s="144">
        <v>0.2</v>
      </c>
      <c r="E830" s="144">
        <v>0.45</v>
      </c>
    </row>
    <row r="831" spans="3:5">
      <c r="C831" s="141">
        <v>10982</v>
      </c>
      <c r="D831" s="144">
        <v>0.2</v>
      </c>
      <c r="E831" s="144">
        <v>0.45</v>
      </c>
    </row>
    <row r="832" spans="3:5">
      <c r="C832" s="141">
        <v>10982.5</v>
      </c>
      <c r="D832" s="144">
        <v>0.2</v>
      </c>
      <c r="E832" s="144">
        <v>0.45</v>
      </c>
    </row>
    <row r="833" spans="3:5">
      <c r="C833" s="141">
        <v>10983</v>
      </c>
      <c r="D833" s="144">
        <v>0.21</v>
      </c>
      <c r="E833" s="144">
        <v>0.44</v>
      </c>
    </row>
    <row r="834" spans="3:5">
      <c r="C834" s="141">
        <v>10983.5</v>
      </c>
      <c r="D834" s="144">
        <v>0.2</v>
      </c>
      <c r="E834" s="144">
        <v>0.45</v>
      </c>
    </row>
    <row r="835" spans="3:5">
      <c r="C835" s="141">
        <v>10984</v>
      </c>
      <c r="D835" s="144">
        <v>0.21</v>
      </c>
      <c r="E835" s="144">
        <v>0.43</v>
      </c>
    </row>
    <row r="836" spans="3:5">
      <c r="C836" s="141">
        <v>10984.5</v>
      </c>
      <c r="D836" s="144">
        <v>0.22</v>
      </c>
      <c r="E836" s="144">
        <v>0.41</v>
      </c>
    </row>
    <row r="837" spans="3:5">
      <c r="C837" s="141">
        <v>10985</v>
      </c>
      <c r="D837" s="144">
        <v>0.22</v>
      </c>
      <c r="E837" s="144">
        <v>0.41</v>
      </c>
    </row>
    <row r="838" spans="3:5">
      <c r="C838" s="141">
        <v>10985.5</v>
      </c>
      <c r="D838" s="144">
        <v>0.22</v>
      </c>
      <c r="E838" s="144">
        <v>0.4</v>
      </c>
    </row>
    <row r="839" spans="3:5">
      <c r="C839" s="141">
        <v>10986</v>
      </c>
      <c r="D839" s="144">
        <v>0.21</v>
      </c>
      <c r="E839" s="144">
        <v>0.41</v>
      </c>
    </row>
    <row r="840" spans="3:5">
      <c r="C840" s="141">
        <v>10986.5</v>
      </c>
      <c r="D840" s="144">
        <v>0.21</v>
      </c>
      <c r="E840" s="144">
        <v>0.42</v>
      </c>
    </row>
    <row r="841" spans="3:5">
      <c r="C841" s="141">
        <v>10987</v>
      </c>
      <c r="D841" s="144">
        <v>0.21</v>
      </c>
      <c r="E841" s="144">
        <v>0.42</v>
      </c>
    </row>
    <row r="842" spans="3:5">
      <c r="C842" s="141">
        <v>10987.5</v>
      </c>
      <c r="D842" s="144">
        <v>0.21</v>
      </c>
      <c r="E842" s="144">
        <v>0.41</v>
      </c>
    </row>
    <row r="843" spans="3:5">
      <c r="C843" s="141">
        <v>10988</v>
      </c>
      <c r="D843" s="144">
        <v>0.21</v>
      </c>
      <c r="E843" s="144">
        <v>0.4</v>
      </c>
    </row>
    <row r="844" spans="3:5">
      <c r="C844" s="141">
        <v>10988.5</v>
      </c>
      <c r="D844" s="144">
        <v>0.2</v>
      </c>
      <c r="E844" s="144">
        <v>0.4</v>
      </c>
    </row>
    <row r="845" spans="3:5">
      <c r="C845" s="141">
        <v>10989</v>
      </c>
      <c r="D845" s="144">
        <v>0.21</v>
      </c>
      <c r="E845" s="144">
        <v>0.39</v>
      </c>
    </row>
    <row r="846" spans="3:5">
      <c r="C846" s="141">
        <v>10989.5</v>
      </c>
      <c r="D846" s="144">
        <v>0.22</v>
      </c>
      <c r="E846" s="144">
        <v>0.37</v>
      </c>
    </row>
    <row r="847" spans="3:5">
      <c r="C847" s="141">
        <v>10990</v>
      </c>
      <c r="D847" s="144">
        <v>0.23</v>
      </c>
      <c r="E847" s="144">
        <v>0.35</v>
      </c>
    </row>
    <row r="848" spans="3:5">
      <c r="C848" s="141">
        <v>10990.5</v>
      </c>
      <c r="D848" s="144">
        <v>0.22</v>
      </c>
      <c r="E848" s="144">
        <v>0.35</v>
      </c>
    </row>
    <row r="849" spans="3:5">
      <c r="C849" s="141">
        <v>10991</v>
      </c>
      <c r="D849" s="144">
        <v>0.22</v>
      </c>
      <c r="E849" s="144">
        <v>0.36</v>
      </c>
    </row>
    <row r="850" spans="3:5">
      <c r="C850" s="141">
        <v>10991.5</v>
      </c>
      <c r="D850" s="144">
        <v>0.23</v>
      </c>
      <c r="E850" s="144">
        <v>0.35</v>
      </c>
    </row>
    <row r="851" spans="3:5">
      <c r="C851" s="141">
        <v>10992</v>
      </c>
      <c r="D851" s="144">
        <v>0.23</v>
      </c>
      <c r="E851" s="144">
        <v>0.35</v>
      </c>
    </row>
    <row r="852" spans="3:5">
      <c r="C852" s="141">
        <v>10992.5</v>
      </c>
      <c r="D852" s="144">
        <v>0.23</v>
      </c>
      <c r="E852" s="144">
        <v>0.36</v>
      </c>
    </row>
    <row r="853" spans="3:5">
      <c r="C853" s="141">
        <v>10993</v>
      </c>
      <c r="D853" s="144">
        <v>0.23</v>
      </c>
      <c r="E853" s="144">
        <v>0.36</v>
      </c>
    </row>
    <row r="854" spans="3:5">
      <c r="C854" s="141">
        <v>10993.5</v>
      </c>
      <c r="D854" s="144">
        <v>0.23</v>
      </c>
      <c r="E854" s="144">
        <v>0.35</v>
      </c>
    </row>
    <row r="855" spans="3:5">
      <c r="C855" s="141">
        <v>10994</v>
      </c>
      <c r="D855" s="144">
        <v>0.23</v>
      </c>
      <c r="E855" s="144">
        <v>0.36</v>
      </c>
    </row>
    <row r="856" spans="3:5">
      <c r="C856" s="141">
        <v>10994.5</v>
      </c>
      <c r="D856" s="144">
        <v>0.23</v>
      </c>
      <c r="E856" s="144">
        <v>0.37</v>
      </c>
    </row>
    <row r="857" spans="3:5">
      <c r="C857" s="141">
        <v>10995</v>
      </c>
      <c r="D857" s="144">
        <v>0.23</v>
      </c>
      <c r="E857" s="144">
        <v>0.37</v>
      </c>
    </row>
    <row r="858" spans="3:5">
      <c r="C858" s="141">
        <v>10995.5</v>
      </c>
      <c r="D858" s="144">
        <v>0.23</v>
      </c>
      <c r="E858" s="144">
        <v>0.37</v>
      </c>
    </row>
    <row r="859" spans="3:5">
      <c r="C859" s="141">
        <v>10996</v>
      </c>
      <c r="D859" s="144">
        <v>0.22</v>
      </c>
      <c r="E859" s="144">
        <v>0.38</v>
      </c>
    </row>
    <row r="860" spans="3:5">
      <c r="C860" s="141">
        <v>10996.5</v>
      </c>
      <c r="D860" s="144">
        <v>0.22</v>
      </c>
      <c r="E860" s="144">
        <v>0.39</v>
      </c>
    </row>
    <row r="861" spans="3:5">
      <c r="C861" s="141">
        <v>10997</v>
      </c>
      <c r="D861" s="144">
        <v>0.22</v>
      </c>
      <c r="E861" s="144">
        <v>0.39</v>
      </c>
    </row>
    <row r="862" spans="3:5">
      <c r="C862" s="141">
        <v>10997.5</v>
      </c>
      <c r="D862" s="144">
        <v>0.22</v>
      </c>
      <c r="E862" s="144">
        <v>0.4</v>
      </c>
    </row>
    <row r="863" spans="3:5">
      <c r="C863" s="141">
        <v>10998</v>
      </c>
      <c r="D863" s="144">
        <v>0.22</v>
      </c>
      <c r="E863" s="144">
        <v>0.41</v>
      </c>
    </row>
    <row r="864" spans="3:5">
      <c r="C864" s="141">
        <v>10998.5</v>
      </c>
      <c r="D864" s="144">
        <v>0.21</v>
      </c>
      <c r="E864" s="144">
        <v>0.43</v>
      </c>
    </row>
    <row r="865" spans="3:5">
      <c r="C865" s="141">
        <v>10999</v>
      </c>
      <c r="D865" s="144">
        <v>0.21</v>
      </c>
      <c r="E865" s="144">
        <v>0.44</v>
      </c>
    </row>
    <row r="866" spans="3:5">
      <c r="C866" s="141">
        <v>10999.5</v>
      </c>
      <c r="D866" s="144">
        <v>0.21</v>
      </c>
      <c r="E866" s="144">
        <v>0.44</v>
      </c>
    </row>
    <row r="867" spans="3:5">
      <c r="C867" s="141">
        <v>11000</v>
      </c>
      <c r="D867" s="144">
        <v>0.21</v>
      </c>
      <c r="E867" s="144">
        <v>0.44</v>
      </c>
    </row>
    <row r="868" spans="3:5">
      <c r="C868" s="141">
        <v>11000.5</v>
      </c>
      <c r="D868" s="144">
        <v>0.21</v>
      </c>
      <c r="E868" s="144">
        <v>0.45</v>
      </c>
    </row>
    <row r="869" spans="3:5">
      <c r="C869" s="141">
        <v>11001</v>
      </c>
      <c r="D869" s="144">
        <v>0.21</v>
      </c>
      <c r="E869" s="144">
        <v>0.45</v>
      </c>
    </row>
    <row r="870" spans="3:5">
      <c r="C870" s="141">
        <v>11001.5</v>
      </c>
      <c r="D870" s="144">
        <v>0.22</v>
      </c>
      <c r="E870" s="144">
        <v>0.44</v>
      </c>
    </row>
    <row r="871" spans="3:5">
      <c r="C871" s="141">
        <v>11002</v>
      </c>
      <c r="D871" s="144">
        <v>0.21</v>
      </c>
      <c r="E871" s="144">
        <v>0.46</v>
      </c>
    </row>
    <row r="872" spans="3:5">
      <c r="C872" s="141">
        <v>11002.5</v>
      </c>
      <c r="D872" s="144">
        <v>0.21</v>
      </c>
      <c r="E872" s="144">
        <v>0.47</v>
      </c>
    </row>
    <row r="873" spans="3:5">
      <c r="C873" s="141">
        <v>11003</v>
      </c>
      <c r="D873" s="144">
        <v>0.2</v>
      </c>
      <c r="E873" s="144">
        <v>0.49</v>
      </c>
    </row>
    <row r="874" spans="3:5">
      <c r="C874" s="141">
        <v>11003.5</v>
      </c>
      <c r="D874" s="144">
        <v>0.2</v>
      </c>
      <c r="E874" s="144">
        <v>0.51</v>
      </c>
    </row>
    <row r="875" spans="3:5">
      <c r="C875" s="141">
        <v>11004</v>
      </c>
      <c r="D875" s="144">
        <v>0.19</v>
      </c>
      <c r="E875" s="144">
        <v>0.52</v>
      </c>
    </row>
    <row r="876" spans="3:5">
      <c r="C876" s="141">
        <v>11004.5</v>
      </c>
      <c r="D876" s="144">
        <v>0.19</v>
      </c>
      <c r="E876" s="144">
        <v>0.53</v>
      </c>
    </row>
    <row r="877" spans="3:5">
      <c r="C877" s="141">
        <v>11005</v>
      </c>
      <c r="D877" s="144">
        <v>0.2</v>
      </c>
      <c r="E877" s="144">
        <v>0.52</v>
      </c>
    </row>
    <row r="878" spans="3:5">
      <c r="C878" s="141">
        <v>11005.5</v>
      </c>
      <c r="D878" s="144">
        <v>0.19</v>
      </c>
      <c r="E878" s="144">
        <v>0.54</v>
      </c>
    </row>
    <row r="879" spans="3:5">
      <c r="C879" s="141">
        <v>11006</v>
      </c>
      <c r="D879" s="144">
        <v>0.2</v>
      </c>
      <c r="E879" s="144">
        <v>0.53</v>
      </c>
    </row>
    <row r="880" spans="3:5">
      <c r="C880" s="141">
        <v>11006.5</v>
      </c>
      <c r="D880" s="144">
        <v>0.19</v>
      </c>
      <c r="E880" s="144">
        <v>0.54</v>
      </c>
    </row>
    <row r="881" spans="3:5">
      <c r="C881" s="141">
        <v>11007</v>
      </c>
      <c r="D881" s="144">
        <v>0.18</v>
      </c>
      <c r="E881" s="144">
        <v>0.56999999999999995</v>
      </c>
    </row>
    <row r="882" spans="3:5">
      <c r="C882" s="141">
        <v>11007.5</v>
      </c>
      <c r="D882" s="144">
        <v>0.18</v>
      </c>
      <c r="E882" s="144">
        <v>0.51</v>
      </c>
    </row>
    <row r="883" spans="3:5">
      <c r="C883" s="141">
        <v>11008</v>
      </c>
      <c r="D883" s="144">
        <v>0.19</v>
      </c>
      <c r="E883" s="144">
        <v>0.56000000000000005</v>
      </c>
    </row>
    <row r="884" spans="3:5">
      <c r="C884" s="141">
        <v>11008.5</v>
      </c>
      <c r="D884" s="144">
        <v>0.19</v>
      </c>
      <c r="E884" s="144">
        <v>0.49</v>
      </c>
    </row>
    <row r="885" spans="3:5">
      <c r="C885" s="141">
        <v>11009</v>
      </c>
      <c r="D885" s="144">
        <v>0.2</v>
      </c>
      <c r="E885" s="144">
        <v>0.48</v>
      </c>
    </row>
    <row r="886" spans="3:5">
      <c r="C886" s="141">
        <v>11009.5</v>
      </c>
      <c r="D886" s="144">
        <v>0.2</v>
      </c>
      <c r="E886" s="144">
        <v>0.52</v>
      </c>
    </row>
    <row r="887" spans="3:5">
      <c r="C887" s="141">
        <v>11010</v>
      </c>
      <c r="D887" s="144">
        <v>0.2</v>
      </c>
      <c r="E887" s="144">
        <v>0.52</v>
      </c>
    </row>
    <row r="888" spans="3:5">
      <c r="C888" s="141">
        <v>11010.5</v>
      </c>
      <c r="D888" s="144">
        <v>0.2</v>
      </c>
      <c r="E888" s="144">
        <v>0.52</v>
      </c>
    </row>
    <row r="889" spans="3:5">
      <c r="C889" s="141">
        <v>11011</v>
      </c>
      <c r="D889" s="144">
        <v>0.2</v>
      </c>
      <c r="E889" s="144">
        <v>0.53</v>
      </c>
    </row>
    <row r="890" spans="3:5">
      <c r="C890" s="141">
        <v>11011.5</v>
      </c>
      <c r="D890" s="144">
        <v>0.2</v>
      </c>
      <c r="E890" s="144">
        <v>0.53</v>
      </c>
    </row>
    <row r="891" spans="3:5">
      <c r="C891" s="141">
        <v>11012</v>
      </c>
      <c r="D891" s="144">
        <v>0.19</v>
      </c>
      <c r="E891" s="144">
        <v>0.54</v>
      </c>
    </row>
    <row r="892" spans="3:5">
      <c r="C892" s="141">
        <v>11012.5</v>
      </c>
      <c r="D892" s="144">
        <v>0.19</v>
      </c>
      <c r="E892" s="144">
        <v>0.55000000000000004</v>
      </c>
    </row>
    <row r="893" spans="3:5">
      <c r="C893" s="141">
        <v>11013</v>
      </c>
      <c r="D893" s="144">
        <v>0.19</v>
      </c>
      <c r="E893" s="144">
        <v>0.56000000000000005</v>
      </c>
    </row>
    <row r="894" spans="3:5">
      <c r="C894" s="141">
        <v>11013.5</v>
      </c>
      <c r="D894" s="144">
        <v>0.19</v>
      </c>
      <c r="E894" s="144">
        <v>0.54</v>
      </c>
    </row>
    <row r="895" spans="3:5">
      <c r="C895" s="141">
        <v>11014</v>
      </c>
      <c r="D895" s="144">
        <v>0.2</v>
      </c>
      <c r="E895" s="144">
        <v>0.51</v>
      </c>
    </row>
    <row r="896" spans="3:5">
      <c r="C896" s="141">
        <v>11014.5</v>
      </c>
      <c r="D896" s="144">
        <v>0.21</v>
      </c>
      <c r="E896" s="144">
        <v>0.49</v>
      </c>
    </row>
    <row r="897" spans="3:5">
      <c r="C897" s="141">
        <v>11015</v>
      </c>
      <c r="D897" s="144">
        <v>0.21</v>
      </c>
      <c r="E897" s="144">
        <v>0.5</v>
      </c>
    </row>
    <row r="898" spans="3:5">
      <c r="C898" s="141">
        <v>11015.5</v>
      </c>
      <c r="D898" s="144">
        <v>0.2</v>
      </c>
      <c r="E898" s="144">
        <v>0.51</v>
      </c>
    </row>
    <row r="899" spans="3:5">
      <c r="C899" s="141">
        <v>11016</v>
      </c>
      <c r="D899" s="144">
        <v>0.2</v>
      </c>
      <c r="E899" s="144">
        <v>0.52</v>
      </c>
    </row>
    <row r="900" spans="3:5">
      <c r="C900" s="141">
        <v>11016.5</v>
      </c>
      <c r="D900" s="144">
        <v>0.2</v>
      </c>
      <c r="E900" s="144">
        <v>0.51</v>
      </c>
    </row>
    <row r="901" spans="3:5">
      <c r="C901" s="141">
        <v>11017</v>
      </c>
      <c r="D901" s="144">
        <v>0.2</v>
      </c>
      <c r="E901" s="144">
        <v>0.51</v>
      </c>
    </row>
    <row r="902" spans="3:5">
      <c r="C902" s="141">
        <v>11017.5</v>
      </c>
      <c r="D902" s="144">
        <v>0.18</v>
      </c>
      <c r="E902" s="144">
        <v>0.55000000000000004</v>
      </c>
    </row>
    <row r="903" spans="3:5">
      <c r="C903" s="141">
        <v>11018</v>
      </c>
      <c r="D903" s="144">
        <v>0.18</v>
      </c>
      <c r="E903" s="144">
        <v>0.56000000000000005</v>
      </c>
    </row>
    <row r="904" spans="3:5">
      <c r="C904" s="141">
        <v>11018.5</v>
      </c>
      <c r="D904" s="144">
        <v>0.19</v>
      </c>
      <c r="E904" s="144">
        <v>0.53</v>
      </c>
    </row>
    <row r="905" spans="3:5">
      <c r="C905" s="141">
        <v>11019</v>
      </c>
      <c r="D905" s="144">
        <v>0.19</v>
      </c>
      <c r="E905" s="144">
        <v>0.52</v>
      </c>
    </row>
    <row r="906" spans="3:5">
      <c r="C906" s="141">
        <v>11019.5</v>
      </c>
      <c r="D906" s="144">
        <v>0.19</v>
      </c>
      <c r="E906" s="144">
        <v>0.53</v>
      </c>
    </row>
    <row r="907" spans="3:5">
      <c r="C907" s="141">
        <v>11020</v>
      </c>
      <c r="D907" s="144">
        <v>0.18</v>
      </c>
      <c r="E907" s="144">
        <v>0.53</v>
      </c>
    </row>
    <row r="908" spans="3:5">
      <c r="C908" s="141">
        <v>11020.5</v>
      </c>
      <c r="D908" s="144">
        <v>0.19</v>
      </c>
      <c r="E908" s="144">
        <v>0.5</v>
      </c>
    </row>
    <row r="909" spans="3:5">
      <c r="C909" s="141">
        <v>11021</v>
      </c>
      <c r="D909" s="144">
        <v>0.19</v>
      </c>
      <c r="E909" s="144">
        <v>0.5</v>
      </c>
    </row>
    <row r="910" spans="3:5">
      <c r="C910" s="141">
        <v>11021.5</v>
      </c>
      <c r="D910" s="144">
        <v>0.19</v>
      </c>
      <c r="E910" s="144">
        <v>0.5</v>
      </c>
    </row>
    <row r="911" spans="3:5">
      <c r="C911" s="141">
        <v>11022</v>
      </c>
      <c r="D911" s="144">
        <v>0.18</v>
      </c>
      <c r="E911" s="144">
        <v>0.52</v>
      </c>
    </row>
    <row r="912" spans="3:5">
      <c r="C912" s="141">
        <v>11022.5</v>
      </c>
      <c r="D912" s="144">
        <v>0.18</v>
      </c>
      <c r="E912" s="144">
        <v>0.52</v>
      </c>
    </row>
    <row r="913" spans="3:5">
      <c r="C913" s="141">
        <v>11023</v>
      </c>
      <c r="D913" s="144">
        <v>0.18</v>
      </c>
      <c r="E913" s="144">
        <v>0.47</v>
      </c>
    </row>
    <row r="914" spans="3:5">
      <c r="C914" s="141">
        <v>11023.5</v>
      </c>
      <c r="D914" s="144">
        <v>0.18</v>
      </c>
      <c r="E914" s="144">
        <v>0.43</v>
      </c>
    </row>
    <row r="915" spans="3:5">
      <c r="C915" s="141">
        <v>11024</v>
      </c>
      <c r="D915" s="144">
        <v>0.19</v>
      </c>
      <c r="E915" s="144">
        <v>0.42</v>
      </c>
    </row>
    <row r="916" spans="3:5">
      <c r="C916" s="141">
        <v>11024.5</v>
      </c>
      <c r="D916" s="144">
        <v>0.18</v>
      </c>
      <c r="E916" s="144">
        <v>0.41</v>
      </c>
    </row>
    <row r="917" spans="3:5">
      <c r="C917" s="141">
        <v>11025</v>
      </c>
      <c r="D917" s="144">
        <v>0.19</v>
      </c>
      <c r="E917" s="144">
        <v>0.41</v>
      </c>
    </row>
    <row r="918" spans="3:5">
      <c r="C918" s="141">
        <v>11025.5</v>
      </c>
      <c r="D918" s="144">
        <v>0.2</v>
      </c>
      <c r="E918" s="144">
        <v>0.39</v>
      </c>
    </row>
    <row r="919" spans="3:5">
      <c r="C919" s="141">
        <v>11026</v>
      </c>
      <c r="D919" s="144">
        <v>0.19</v>
      </c>
      <c r="E919" s="144">
        <v>0.37</v>
      </c>
    </row>
    <row r="920" spans="3:5">
      <c r="C920" s="141">
        <v>11026.5</v>
      </c>
      <c r="D920" s="144">
        <v>0.21</v>
      </c>
      <c r="E920" s="144">
        <v>0.32</v>
      </c>
    </row>
    <row r="921" spans="3:5">
      <c r="C921" s="141">
        <v>11027</v>
      </c>
      <c r="D921" s="144">
        <v>0.22</v>
      </c>
      <c r="E921" s="144">
        <v>0.28999999999999998</v>
      </c>
    </row>
    <row r="922" spans="3:5">
      <c r="C922" s="141">
        <v>11027.5</v>
      </c>
      <c r="D922" s="144">
        <v>0.23</v>
      </c>
      <c r="E922" s="144">
        <v>0.26</v>
      </c>
    </row>
    <row r="923" spans="3:5">
      <c r="C923" s="141">
        <v>11028</v>
      </c>
      <c r="D923" s="144">
        <v>0.25</v>
      </c>
      <c r="E923" s="144">
        <v>0.22</v>
      </c>
    </row>
    <row r="924" spans="3:5">
      <c r="C924" s="141">
        <v>11028.5</v>
      </c>
      <c r="D924" s="144">
        <v>0.25</v>
      </c>
      <c r="E924" s="144">
        <v>0.21</v>
      </c>
    </row>
    <row r="925" spans="3:5">
      <c r="C925" s="141">
        <v>11029</v>
      </c>
      <c r="D925" s="144">
        <v>0.25</v>
      </c>
      <c r="E925" s="144">
        <v>0.2</v>
      </c>
    </row>
    <row r="926" spans="3:5">
      <c r="C926" s="141">
        <v>11029.5</v>
      </c>
      <c r="D926" s="144">
        <v>0.25</v>
      </c>
      <c r="E926" s="144">
        <v>0.2</v>
      </c>
    </row>
    <row r="927" spans="3:5">
      <c r="C927" s="141">
        <v>11030</v>
      </c>
      <c r="D927" s="144">
        <v>0.24</v>
      </c>
      <c r="E927" s="144">
        <v>0.2</v>
      </c>
    </row>
    <row r="928" spans="3:5">
      <c r="C928" s="141">
        <v>11030.5</v>
      </c>
      <c r="D928" s="144">
        <v>0.24</v>
      </c>
      <c r="E928" s="144">
        <v>0.21</v>
      </c>
    </row>
    <row r="929" spans="3:5">
      <c r="C929" s="141">
        <v>11031</v>
      </c>
      <c r="D929" s="144">
        <v>0.24</v>
      </c>
      <c r="E929" s="144">
        <v>0.21</v>
      </c>
    </row>
    <row r="930" spans="3:5">
      <c r="C930" s="141">
        <v>11031.5</v>
      </c>
      <c r="D930" s="144">
        <v>0.24</v>
      </c>
      <c r="E930" s="144">
        <v>0.2</v>
      </c>
    </row>
    <row r="931" spans="3:5">
      <c r="C931" s="141">
        <v>11032</v>
      </c>
      <c r="D931" s="144">
        <v>0.25</v>
      </c>
      <c r="E931" s="144">
        <v>0.2</v>
      </c>
    </row>
    <row r="932" spans="3:5">
      <c r="C932" s="141">
        <v>11032.5</v>
      </c>
      <c r="D932" s="144">
        <v>0.25</v>
      </c>
      <c r="E932" s="144">
        <v>0.2</v>
      </c>
    </row>
    <row r="933" spans="3:5">
      <c r="C933" s="141">
        <v>11033</v>
      </c>
      <c r="D933" s="144">
        <v>0.25</v>
      </c>
      <c r="E933" s="144">
        <v>0.2</v>
      </c>
    </row>
    <row r="934" spans="3:5">
      <c r="C934" s="141">
        <v>11033.5</v>
      </c>
      <c r="D934" s="144">
        <v>0.25</v>
      </c>
      <c r="E934" s="144">
        <v>0.2</v>
      </c>
    </row>
    <row r="935" spans="3:5">
      <c r="C935" s="141">
        <v>11034</v>
      </c>
      <c r="D935" s="144">
        <v>0.25</v>
      </c>
      <c r="E935" s="144">
        <v>0.19</v>
      </c>
    </row>
    <row r="936" spans="3:5">
      <c r="C936" s="141">
        <v>11034.5</v>
      </c>
      <c r="D936" s="144">
        <v>0.25</v>
      </c>
      <c r="E936" s="144">
        <v>0.2</v>
      </c>
    </row>
    <row r="937" spans="3:5">
      <c r="C937" s="141">
        <v>11035</v>
      </c>
      <c r="D937" s="144">
        <v>0.25</v>
      </c>
      <c r="E937" s="144">
        <v>0.19</v>
      </c>
    </row>
    <row r="938" spans="3:5">
      <c r="C938" s="141">
        <v>11035.5</v>
      </c>
      <c r="D938" s="144">
        <v>0.25</v>
      </c>
      <c r="E938" s="144">
        <v>0.19</v>
      </c>
    </row>
    <row r="939" spans="3:5">
      <c r="C939" s="141">
        <v>11036</v>
      </c>
      <c r="D939" s="144">
        <v>0.26</v>
      </c>
      <c r="E939" s="144">
        <v>0.2</v>
      </c>
    </row>
    <row r="940" spans="3:5">
      <c r="C940" s="141">
        <v>11036.5</v>
      </c>
      <c r="D940" s="144">
        <v>0.25</v>
      </c>
      <c r="E940" s="144">
        <v>0.2</v>
      </c>
    </row>
    <row r="941" spans="3:5">
      <c r="C941" s="141">
        <v>11037</v>
      </c>
      <c r="D941" s="144">
        <v>0.25</v>
      </c>
      <c r="E941" s="144">
        <v>0.2</v>
      </c>
    </row>
    <row r="942" spans="3:5">
      <c r="C942" s="141">
        <v>11037.5</v>
      </c>
      <c r="D942" s="144">
        <v>0.26</v>
      </c>
      <c r="E942" s="144">
        <v>0.2</v>
      </c>
    </row>
    <row r="943" spans="3:5">
      <c r="C943" s="141">
        <v>11038</v>
      </c>
      <c r="D943" s="144">
        <v>0.25</v>
      </c>
      <c r="E943" s="144">
        <v>0.2</v>
      </c>
    </row>
    <row r="944" spans="3:5">
      <c r="C944" s="141">
        <v>11038.5</v>
      </c>
      <c r="D944" s="144">
        <v>0.25</v>
      </c>
      <c r="E944" s="144">
        <v>0.2</v>
      </c>
    </row>
    <row r="945" spans="3:5">
      <c r="C945" s="141">
        <v>11039</v>
      </c>
      <c r="D945" s="144">
        <v>0.25</v>
      </c>
      <c r="E945" s="144">
        <v>0.2</v>
      </c>
    </row>
    <row r="946" spans="3:5">
      <c r="C946" s="141">
        <v>11039.5</v>
      </c>
      <c r="D946" s="144">
        <v>0.25</v>
      </c>
      <c r="E946" s="144">
        <v>0.2</v>
      </c>
    </row>
    <row r="947" spans="3:5">
      <c r="C947" s="141">
        <v>11040</v>
      </c>
      <c r="D947" s="144">
        <v>0.25</v>
      </c>
      <c r="E947" s="144">
        <v>0.2</v>
      </c>
    </row>
    <row r="948" spans="3:5">
      <c r="C948" s="141">
        <v>11040.5</v>
      </c>
      <c r="D948" s="144">
        <v>0.25</v>
      </c>
      <c r="E948" s="144">
        <v>0.2</v>
      </c>
    </row>
    <row r="949" spans="3:5">
      <c r="C949" s="141">
        <v>11041</v>
      </c>
      <c r="D949" s="144">
        <v>0.25</v>
      </c>
      <c r="E949" s="144">
        <v>0.21</v>
      </c>
    </row>
    <row r="950" spans="3:5">
      <c r="C950" s="141">
        <v>11041.5</v>
      </c>
      <c r="D950" s="144">
        <v>0.25</v>
      </c>
      <c r="E950" s="144">
        <v>0.21</v>
      </c>
    </row>
    <row r="951" spans="3:5">
      <c r="C951" s="141">
        <v>11042</v>
      </c>
      <c r="D951" s="144">
        <v>0.26</v>
      </c>
      <c r="E951" s="144">
        <v>0.2</v>
      </c>
    </row>
    <row r="952" spans="3:5">
      <c r="C952" s="141">
        <v>11042.5</v>
      </c>
      <c r="D952" s="144">
        <v>0.25</v>
      </c>
      <c r="E952" s="144">
        <v>0.2</v>
      </c>
    </row>
    <row r="953" spans="3:5">
      <c r="C953" s="141">
        <v>11043</v>
      </c>
      <c r="D953" s="144">
        <v>0.25</v>
      </c>
      <c r="E953" s="144">
        <v>0.21</v>
      </c>
    </row>
    <row r="954" spans="3:5">
      <c r="C954" s="141">
        <v>11043.5</v>
      </c>
      <c r="D954" s="144">
        <v>0.25</v>
      </c>
      <c r="E954" s="144">
        <v>0.21</v>
      </c>
    </row>
    <row r="955" spans="3:5">
      <c r="C955" s="141">
        <v>11044</v>
      </c>
      <c r="D955" s="144">
        <v>0.25</v>
      </c>
      <c r="E955" s="144">
        <v>0.2</v>
      </c>
    </row>
    <row r="956" spans="3:5">
      <c r="C956" s="141">
        <v>11044.5</v>
      </c>
      <c r="D956" s="144">
        <v>0.24</v>
      </c>
      <c r="E956" s="144">
        <v>0.21</v>
      </c>
    </row>
    <row r="957" spans="3:5">
      <c r="C957" s="141">
        <v>11045</v>
      </c>
      <c r="D957" s="144">
        <v>0.24</v>
      </c>
      <c r="E957" s="144">
        <v>0.22</v>
      </c>
    </row>
    <row r="958" spans="3:5">
      <c r="C958" s="141">
        <v>11045.5</v>
      </c>
      <c r="D958" s="144">
        <v>0.24</v>
      </c>
      <c r="E958" s="144">
        <v>0.22</v>
      </c>
    </row>
    <row r="959" spans="3:5">
      <c r="C959" s="141">
        <v>11046</v>
      </c>
      <c r="D959" s="144">
        <v>0.23</v>
      </c>
      <c r="E959" s="144">
        <v>0.23</v>
      </c>
    </row>
    <row r="960" spans="3:5">
      <c r="C960" s="141">
        <v>11046.5</v>
      </c>
      <c r="D960" s="144">
        <v>0.22</v>
      </c>
      <c r="E960" s="144">
        <v>0.26</v>
      </c>
    </row>
    <row r="961" spans="3:5">
      <c r="C961" s="141">
        <v>11047</v>
      </c>
      <c r="D961" s="144">
        <v>0.22</v>
      </c>
      <c r="E961" s="144">
        <v>0.26</v>
      </c>
    </row>
    <row r="962" spans="3:5">
      <c r="C962" s="141">
        <v>11047.5</v>
      </c>
      <c r="D962" s="144">
        <v>0.22</v>
      </c>
      <c r="E962" s="144">
        <v>0.26</v>
      </c>
    </row>
    <row r="963" spans="3:5">
      <c r="C963" s="141">
        <v>11048</v>
      </c>
      <c r="D963" s="144">
        <v>0.23</v>
      </c>
      <c r="E963" s="144">
        <v>0.25</v>
      </c>
    </row>
    <row r="964" spans="3:5">
      <c r="C964" s="141">
        <v>11048.5</v>
      </c>
      <c r="D964" s="144">
        <v>0.23</v>
      </c>
      <c r="E964" s="144">
        <v>0.25</v>
      </c>
    </row>
    <row r="965" spans="3:5">
      <c r="C965" s="141">
        <v>11049</v>
      </c>
      <c r="D965" s="144">
        <v>0.22</v>
      </c>
      <c r="E965" s="144">
        <v>0.26</v>
      </c>
    </row>
    <row r="966" spans="3:5">
      <c r="C966" s="141">
        <v>11049.5</v>
      </c>
      <c r="D966" s="144">
        <v>0.22</v>
      </c>
      <c r="E966" s="144">
        <v>0.26</v>
      </c>
    </row>
    <row r="967" spans="3:5">
      <c r="C967" s="141">
        <v>11050</v>
      </c>
      <c r="D967" s="144">
        <v>0.23</v>
      </c>
      <c r="E967" s="144">
        <v>0.25</v>
      </c>
    </row>
    <row r="968" spans="3:5">
      <c r="C968" s="141">
        <v>11050.5</v>
      </c>
      <c r="D968" s="144">
        <v>0.23</v>
      </c>
      <c r="E968" s="144">
        <v>0.24</v>
      </c>
    </row>
    <row r="969" spans="3:5">
      <c r="C969" s="141">
        <v>11051</v>
      </c>
      <c r="D969" s="144">
        <v>0.24</v>
      </c>
      <c r="E969" s="144">
        <v>0.24</v>
      </c>
    </row>
    <row r="970" spans="3:5">
      <c r="C970" s="141">
        <v>11051.5</v>
      </c>
      <c r="D970" s="144">
        <v>0.24</v>
      </c>
      <c r="E970" s="144">
        <v>0.23</v>
      </c>
    </row>
    <row r="971" spans="3:5">
      <c r="C971" s="141">
        <v>11052</v>
      </c>
      <c r="D971" s="144">
        <v>0.23</v>
      </c>
      <c r="E971" s="144">
        <v>0.24</v>
      </c>
    </row>
    <row r="972" spans="3:5">
      <c r="C972" s="141">
        <v>11052.5</v>
      </c>
      <c r="D972" s="144">
        <v>0.23</v>
      </c>
      <c r="E972" s="144">
        <v>0.24</v>
      </c>
    </row>
    <row r="973" spans="3:5">
      <c r="C973" s="141">
        <v>11053</v>
      </c>
      <c r="D973" s="144">
        <v>0.23</v>
      </c>
      <c r="E973" s="144">
        <v>0.23</v>
      </c>
    </row>
    <row r="974" spans="3:5">
      <c r="C974" s="141">
        <v>11053.5</v>
      </c>
      <c r="D974" s="144">
        <v>0.23</v>
      </c>
      <c r="E974" s="144">
        <v>0.23</v>
      </c>
    </row>
    <row r="975" spans="3:5">
      <c r="C975" s="141">
        <v>11054</v>
      </c>
      <c r="D975" s="144">
        <v>0.23</v>
      </c>
      <c r="E975" s="144">
        <v>0.24</v>
      </c>
    </row>
    <row r="976" spans="3:5">
      <c r="C976" s="141">
        <v>11054.5</v>
      </c>
      <c r="D976" s="144">
        <v>0.23</v>
      </c>
      <c r="E976" s="144">
        <v>0.25</v>
      </c>
    </row>
    <row r="977" spans="3:5">
      <c r="C977" s="141">
        <v>11055</v>
      </c>
      <c r="D977" s="144">
        <v>0.22</v>
      </c>
      <c r="E977" s="144">
        <v>0.26</v>
      </c>
    </row>
    <row r="978" spans="3:5">
      <c r="C978" s="141">
        <v>11055.5</v>
      </c>
      <c r="D978" s="144">
        <v>0.23</v>
      </c>
      <c r="E978" s="144">
        <v>0.26</v>
      </c>
    </row>
    <row r="979" spans="3:5">
      <c r="C979" s="141">
        <v>11056</v>
      </c>
      <c r="D979" s="144">
        <v>0.23</v>
      </c>
      <c r="E979" s="144">
        <v>0.26</v>
      </c>
    </row>
    <row r="980" spans="3:5">
      <c r="C980" s="141">
        <v>11056.5</v>
      </c>
      <c r="D980" s="144">
        <v>0.23</v>
      </c>
      <c r="E980" s="144">
        <v>0.26</v>
      </c>
    </row>
    <row r="981" spans="3:5">
      <c r="C981" s="141">
        <v>11057</v>
      </c>
      <c r="D981" s="144">
        <v>0.22</v>
      </c>
      <c r="E981" s="144">
        <v>0.28000000000000003</v>
      </c>
    </row>
    <row r="982" spans="3:5">
      <c r="C982" s="141">
        <v>11057.5</v>
      </c>
      <c r="D982" s="144">
        <v>0.22</v>
      </c>
      <c r="E982" s="144">
        <v>0.27</v>
      </c>
    </row>
    <row r="983" spans="3:5">
      <c r="C983" s="141">
        <v>11058</v>
      </c>
      <c r="D983" s="144">
        <v>0.23</v>
      </c>
      <c r="E983" s="144">
        <v>0.28000000000000003</v>
      </c>
    </row>
    <row r="984" spans="3:5">
      <c r="C984" s="141">
        <v>11058.5</v>
      </c>
      <c r="D984" s="144">
        <v>0.23</v>
      </c>
      <c r="E984" s="144">
        <v>0.28000000000000003</v>
      </c>
    </row>
    <row r="985" spans="3:5">
      <c r="C985" s="141">
        <v>11059</v>
      </c>
      <c r="D985" s="144">
        <v>0.23</v>
      </c>
      <c r="E985" s="144">
        <v>0.28999999999999998</v>
      </c>
    </row>
    <row r="986" spans="3:5">
      <c r="C986" s="141">
        <v>11059.5</v>
      </c>
      <c r="D986" s="144">
        <v>0.23</v>
      </c>
      <c r="E986" s="144">
        <v>0.31</v>
      </c>
    </row>
    <row r="987" spans="3:5">
      <c r="C987" s="141">
        <v>11060</v>
      </c>
      <c r="D987" s="144">
        <v>0.22</v>
      </c>
      <c r="E987" s="144">
        <v>0.34</v>
      </c>
    </row>
    <row r="988" spans="3:5">
      <c r="C988" s="141">
        <v>11060.5</v>
      </c>
      <c r="D988" s="144">
        <v>0.21</v>
      </c>
      <c r="E988" s="144">
        <v>0.38</v>
      </c>
    </row>
    <row r="989" spans="3:5">
      <c r="C989" s="141">
        <v>11061</v>
      </c>
      <c r="D989" s="144">
        <v>0.2</v>
      </c>
      <c r="E989" s="144">
        <v>0.4</v>
      </c>
    </row>
    <row r="990" spans="3:5">
      <c r="C990" s="141">
        <v>11061.5</v>
      </c>
      <c r="D990" s="144">
        <v>0.21</v>
      </c>
      <c r="E990" s="144">
        <v>0.4</v>
      </c>
    </row>
    <row r="991" spans="3:5">
      <c r="C991" s="141">
        <v>11062</v>
      </c>
      <c r="D991" s="144">
        <v>0.21</v>
      </c>
      <c r="E991" s="144">
        <v>0.41</v>
      </c>
    </row>
    <row r="992" spans="3:5">
      <c r="C992" s="141">
        <v>11062.5</v>
      </c>
      <c r="D992" s="144">
        <v>0.2</v>
      </c>
      <c r="E992" s="144">
        <v>0.43</v>
      </c>
    </row>
    <row r="993" spans="3:5">
      <c r="C993" s="141">
        <v>11063</v>
      </c>
      <c r="D993" s="144">
        <v>0.2</v>
      </c>
      <c r="E993" s="144">
        <v>0.43</v>
      </c>
    </row>
    <row r="994" spans="3:5">
      <c r="C994" s="141">
        <v>11063.5</v>
      </c>
      <c r="D994" s="144">
        <v>0.21</v>
      </c>
      <c r="E994" s="144">
        <v>0.42</v>
      </c>
    </row>
    <row r="995" spans="3:5">
      <c r="C995" s="141">
        <v>11064</v>
      </c>
      <c r="D995" s="144">
        <v>0.21</v>
      </c>
      <c r="E995" s="144">
        <v>0.43</v>
      </c>
    </row>
    <row r="996" spans="3:5">
      <c r="C996" s="141">
        <v>11064.5</v>
      </c>
      <c r="D996" s="144">
        <v>0.21</v>
      </c>
      <c r="E996" s="144">
        <v>0.44</v>
      </c>
    </row>
    <row r="997" spans="3:5">
      <c r="C997" s="141">
        <v>11065</v>
      </c>
      <c r="D997" s="144">
        <v>0.2</v>
      </c>
      <c r="E997" s="144">
        <v>0.46</v>
      </c>
    </row>
    <row r="998" spans="3:5">
      <c r="C998" s="141">
        <v>11065.5</v>
      </c>
      <c r="D998" s="144">
        <v>0.2</v>
      </c>
      <c r="E998" s="144">
        <v>0.48</v>
      </c>
    </row>
    <row r="999" spans="3:5">
      <c r="C999" s="141">
        <v>11066</v>
      </c>
      <c r="D999" s="144">
        <v>0.2</v>
      </c>
      <c r="E999" s="144">
        <v>0.5</v>
      </c>
    </row>
    <row r="1000" spans="3:5">
      <c r="C1000" s="141">
        <v>11066.5</v>
      </c>
      <c r="D1000" s="144">
        <v>0.2</v>
      </c>
      <c r="E1000" s="144">
        <v>0.49</v>
      </c>
    </row>
    <row r="1001" spans="3:5">
      <c r="C1001" s="141">
        <v>11067</v>
      </c>
      <c r="D1001" s="144">
        <v>0.21</v>
      </c>
      <c r="E1001" s="144">
        <v>0.51</v>
      </c>
    </row>
    <row r="1002" spans="3:5">
      <c r="C1002" s="141">
        <v>11067.5</v>
      </c>
      <c r="D1002" s="144">
        <v>0.21</v>
      </c>
      <c r="E1002" s="144">
        <v>0.53</v>
      </c>
    </row>
    <row r="1003" spans="3:5">
      <c r="C1003" s="141">
        <v>11068</v>
      </c>
      <c r="D1003" s="144">
        <v>0.19</v>
      </c>
      <c r="E1003" s="144">
        <v>0.59</v>
      </c>
    </row>
    <row r="1004" spans="3:5">
      <c r="C1004" s="141">
        <v>11068.5</v>
      </c>
      <c r="D1004" s="144">
        <v>0.19</v>
      </c>
      <c r="E1004" s="144">
        <v>0.63</v>
      </c>
    </row>
    <row r="1005" spans="3:5">
      <c r="C1005" s="141">
        <v>11069</v>
      </c>
      <c r="D1005" s="144">
        <v>0.18</v>
      </c>
      <c r="E1005" s="144">
        <v>0.61</v>
      </c>
    </row>
    <row r="1006" spans="3:5">
      <c r="C1006" s="141">
        <v>11069.5</v>
      </c>
      <c r="D1006" s="144">
        <v>0.18</v>
      </c>
      <c r="E1006" s="144">
        <v>0.61</v>
      </c>
    </row>
    <row r="1007" spans="3:5">
      <c r="C1007" s="141">
        <v>11070</v>
      </c>
      <c r="D1007" s="144">
        <v>0.18</v>
      </c>
      <c r="E1007" s="144">
        <v>0.57999999999999996</v>
      </c>
    </row>
    <row r="1008" spans="3:5">
      <c r="C1008" s="141">
        <v>11070.5</v>
      </c>
      <c r="D1008" s="144">
        <v>0.18</v>
      </c>
      <c r="E1008" s="144">
        <v>0.62</v>
      </c>
    </row>
    <row r="1009" spans="3:5">
      <c r="C1009" s="141">
        <v>11071</v>
      </c>
      <c r="D1009" s="144">
        <v>0.17</v>
      </c>
      <c r="E1009" s="144">
        <v>0.66</v>
      </c>
    </row>
    <row r="1010" spans="3:5">
      <c r="C1010" s="141">
        <v>11071.5</v>
      </c>
      <c r="D1010" s="144">
        <v>0.17</v>
      </c>
      <c r="E1010" s="144">
        <v>0.68</v>
      </c>
    </row>
    <row r="1011" spans="3:5">
      <c r="C1011" s="141">
        <v>11072</v>
      </c>
      <c r="D1011" s="144">
        <v>0.17</v>
      </c>
      <c r="E1011" s="144">
        <v>0.68</v>
      </c>
    </row>
    <row r="1012" spans="3:5">
      <c r="C1012" s="141">
        <v>11072.5</v>
      </c>
      <c r="D1012" s="144">
        <v>0.17</v>
      </c>
      <c r="E1012" s="144">
        <v>0.69</v>
      </c>
    </row>
    <row r="1013" spans="3:5">
      <c r="C1013" s="141">
        <v>11073</v>
      </c>
      <c r="D1013" s="144">
        <v>0.18</v>
      </c>
      <c r="E1013" s="144">
        <v>0.65</v>
      </c>
    </row>
    <row r="1014" spans="3:5">
      <c r="C1014" s="141">
        <v>11073.5</v>
      </c>
      <c r="D1014" s="144">
        <v>0.17</v>
      </c>
      <c r="E1014" s="144">
        <v>0.69</v>
      </c>
    </row>
    <row r="1015" spans="3:5">
      <c r="C1015" s="141">
        <v>11074</v>
      </c>
      <c r="D1015" s="144">
        <v>0.17</v>
      </c>
      <c r="E1015" s="144">
        <v>0.7</v>
      </c>
    </row>
    <row r="1016" spans="3:5">
      <c r="C1016" s="141">
        <v>11074.5</v>
      </c>
      <c r="D1016" s="144">
        <v>0.18</v>
      </c>
      <c r="E1016" s="144">
        <v>0.67</v>
      </c>
    </row>
    <row r="1017" spans="3:5">
      <c r="C1017" s="141">
        <v>11075</v>
      </c>
      <c r="D1017" s="144">
        <v>0.18</v>
      </c>
      <c r="E1017" s="144">
        <v>0.62</v>
      </c>
    </row>
    <row r="1018" spans="3:5">
      <c r="C1018" s="141">
        <v>11075.5</v>
      </c>
      <c r="D1018" s="144">
        <v>0.18</v>
      </c>
      <c r="E1018" s="144">
        <v>0.62</v>
      </c>
    </row>
    <row r="1019" spans="3:5">
      <c r="C1019" s="141">
        <v>11076</v>
      </c>
      <c r="D1019" s="144">
        <v>0.18</v>
      </c>
      <c r="E1019" s="144">
        <v>0.62</v>
      </c>
    </row>
    <row r="1020" spans="3:5">
      <c r="C1020" s="141">
        <v>11076.5</v>
      </c>
      <c r="D1020" s="144">
        <v>0.18</v>
      </c>
      <c r="E1020" s="144">
        <v>0.61</v>
      </c>
    </row>
    <row r="1021" spans="3:5">
      <c r="C1021" s="141">
        <v>11077</v>
      </c>
      <c r="D1021" s="144">
        <v>0.19</v>
      </c>
      <c r="E1021" s="144">
        <v>0.6</v>
      </c>
    </row>
    <row r="1022" spans="3:5">
      <c r="C1022" s="141">
        <v>11077.5</v>
      </c>
      <c r="D1022" s="144">
        <v>0.19</v>
      </c>
      <c r="E1022" s="144">
        <v>0.61</v>
      </c>
    </row>
    <row r="1023" spans="3:5">
      <c r="C1023" s="141">
        <v>11078</v>
      </c>
      <c r="D1023" s="144">
        <v>0.19</v>
      </c>
      <c r="E1023" s="144">
        <v>0.61</v>
      </c>
    </row>
    <row r="1024" spans="3:5">
      <c r="C1024" s="141">
        <v>11078.5</v>
      </c>
      <c r="D1024" s="144">
        <v>0.19</v>
      </c>
      <c r="E1024" s="144">
        <v>0.62</v>
      </c>
    </row>
    <row r="1025" spans="3:5">
      <c r="C1025" s="141">
        <v>11079</v>
      </c>
      <c r="D1025" s="144">
        <v>0.18</v>
      </c>
      <c r="E1025" s="144">
        <v>0.67</v>
      </c>
    </row>
    <row r="1026" spans="3:5">
      <c r="C1026" s="141">
        <v>11079.5</v>
      </c>
      <c r="D1026" s="144">
        <v>0.17</v>
      </c>
      <c r="E1026" s="144">
        <v>0.74</v>
      </c>
    </row>
    <row r="1027" spans="3:5">
      <c r="C1027" s="141">
        <v>11080</v>
      </c>
      <c r="D1027" s="144">
        <v>0.17</v>
      </c>
      <c r="E1027" s="144">
        <v>0.79</v>
      </c>
    </row>
    <row r="1028" spans="3:5">
      <c r="C1028" s="141">
        <v>11080.5</v>
      </c>
      <c r="D1028" s="144">
        <v>0.16</v>
      </c>
      <c r="E1028" s="144">
        <v>0.82</v>
      </c>
    </row>
    <row r="1029" spans="3:5">
      <c r="C1029" s="141">
        <v>11081</v>
      </c>
      <c r="D1029" s="144">
        <v>0.16</v>
      </c>
      <c r="E1029" s="144">
        <v>0.91</v>
      </c>
    </row>
    <row r="1030" spans="3:5">
      <c r="C1030" s="141">
        <v>11081.5</v>
      </c>
      <c r="D1030" s="144">
        <v>0.16</v>
      </c>
      <c r="E1030" s="144">
        <v>1</v>
      </c>
    </row>
    <row r="1031" spans="3:5">
      <c r="C1031" s="141">
        <v>11082</v>
      </c>
      <c r="D1031" s="144">
        <v>0.16</v>
      </c>
      <c r="E1031" s="144">
        <v>1</v>
      </c>
    </row>
    <row r="1032" spans="3:5">
      <c r="C1032" s="141">
        <v>11082.5</v>
      </c>
      <c r="D1032" s="144">
        <v>0.16</v>
      </c>
      <c r="E1032" s="144">
        <v>0.93</v>
      </c>
    </row>
    <row r="1033" spans="3:5">
      <c r="C1033" s="141">
        <v>11083</v>
      </c>
      <c r="D1033" s="144">
        <v>0.16</v>
      </c>
      <c r="E1033" s="144">
        <v>0.91</v>
      </c>
    </row>
    <row r="1034" spans="3:5">
      <c r="C1034" s="141">
        <v>11083.5</v>
      </c>
      <c r="D1034" s="144">
        <v>0.16</v>
      </c>
      <c r="E1034" s="144">
        <v>0.9</v>
      </c>
    </row>
    <row r="1035" spans="3:5">
      <c r="C1035" s="141">
        <v>11084</v>
      </c>
      <c r="D1035" s="144">
        <v>0.16</v>
      </c>
      <c r="E1035" s="144">
        <v>0.9</v>
      </c>
    </row>
    <row r="1036" spans="3:5">
      <c r="C1036" s="141">
        <v>11084.5</v>
      </c>
      <c r="D1036" s="144">
        <v>0.15</v>
      </c>
      <c r="E1036" s="144">
        <v>0.92</v>
      </c>
    </row>
    <row r="1037" spans="3:5">
      <c r="C1037" s="141">
        <v>11085</v>
      </c>
      <c r="D1037" s="144">
        <v>0.16</v>
      </c>
      <c r="E1037" s="144">
        <v>0.85</v>
      </c>
    </row>
    <row r="1038" spans="3:5">
      <c r="C1038" s="141">
        <v>11085.5</v>
      </c>
      <c r="D1038" s="144">
        <v>0.16</v>
      </c>
      <c r="E1038" s="144">
        <v>0.84</v>
      </c>
    </row>
    <row r="1039" spans="3:5">
      <c r="C1039" s="141">
        <v>11086</v>
      </c>
      <c r="D1039" s="144">
        <v>0.16</v>
      </c>
      <c r="E1039" s="144">
        <v>0.84</v>
      </c>
    </row>
    <row r="1040" spans="3:5">
      <c r="C1040" s="141">
        <v>11086.5</v>
      </c>
      <c r="D1040" s="144">
        <v>0.17</v>
      </c>
      <c r="E1040" s="144">
        <v>0.83</v>
      </c>
    </row>
    <row r="1041" spans="3:5">
      <c r="C1041" s="141">
        <v>11087</v>
      </c>
      <c r="D1041" s="144">
        <v>0.17</v>
      </c>
      <c r="E1041" s="144">
        <v>0.82</v>
      </c>
    </row>
    <row r="1042" spans="3:5">
      <c r="C1042" s="141">
        <v>11087.5</v>
      </c>
      <c r="D1042" s="144">
        <v>0.17</v>
      </c>
      <c r="E1042" s="144">
        <v>0.81</v>
      </c>
    </row>
    <row r="1043" spans="3:5">
      <c r="C1043" s="141">
        <v>11088</v>
      </c>
      <c r="D1043" s="144">
        <v>0.18</v>
      </c>
      <c r="E1043" s="144">
        <v>0.79</v>
      </c>
    </row>
    <row r="1044" spans="3:5">
      <c r="C1044" s="141">
        <v>11088.5</v>
      </c>
      <c r="D1044" s="144">
        <v>0.17</v>
      </c>
      <c r="E1044" s="144">
        <v>0.82</v>
      </c>
    </row>
    <row r="1045" spans="3:5">
      <c r="C1045" s="141">
        <v>11089</v>
      </c>
      <c r="D1045" s="144">
        <v>0.17</v>
      </c>
      <c r="E1045" s="144">
        <v>0.85</v>
      </c>
    </row>
    <row r="1046" spans="3:5">
      <c r="C1046" s="141">
        <v>11089.5</v>
      </c>
      <c r="D1046" s="144">
        <v>0.17</v>
      </c>
      <c r="E1046" s="144">
        <v>0.81</v>
      </c>
    </row>
    <row r="1047" spans="3:5">
      <c r="C1047" s="141">
        <v>11090</v>
      </c>
      <c r="D1047" s="144">
        <v>0.17</v>
      </c>
      <c r="E1047" s="144">
        <v>0.78</v>
      </c>
    </row>
    <row r="1048" spans="3:5">
      <c r="C1048" s="141">
        <v>11090.5</v>
      </c>
      <c r="D1048" s="144">
        <v>0.18</v>
      </c>
      <c r="E1048" s="144">
        <v>0.74</v>
      </c>
    </row>
    <row r="1049" spans="3:5">
      <c r="C1049" s="141">
        <v>11091</v>
      </c>
      <c r="D1049" s="144">
        <v>0.18</v>
      </c>
      <c r="E1049" s="144">
        <v>0.7</v>
      </c>
    </row>
    <row r="1050" spans="3:5">
      <c r="C1050" s="141">
        <v>11091.5</v>
      </c>
      <c r="D1050" s="144">
        <v>0.17</v>
      </c>
      <c r="E1050" s="144">
        <v>0.73</v>
      </c>
    </row>
    <row r="1051" spans="3:5">
      <c r="C1051" s="141">
        <v>11092</v>
      </c>
      <c r="D1051" s="144">
        <v>0.16</v>
      </c>
      <c r="E1051" s="144">
        <v>0.78</v>
      </c>
    </row>
    <row r="1052" spans="3:5">
      <c r="C1052" s="141">
        <v>11092.5</v>
      </c>
      <c r="D1052" s="144">
        <v>0.16</v>
      </c>
      <c r="E1052" s="144">
        <v>0.79</v>
      </c>
    </row>
    <row r="1053" spans="3:5">
      <c r="C1053" s="141">
        <v>11093</v>
      </c>
      <c r="D1053" s="144">
        <v>0.16</v>
      </c>
      <c r="E1053" s="144">
        <v>0.75</v>
      </c>
    </row>
    <row r="1054" spans="3:5">
      <c r="C1054" s="141">
        <v>11093.5</v>
      </c>
      <c r="D1054" s="144">
        <v>0.17</v>
      </c>
      <c r="E1054" s="144">
        <v>0.7</v>
      </c>
    </row>
    <row r="1055" spans="3:5">
      <c r="C1055" s="141">
        <v>11094</v>
      </c>
      <c r="D1055" s="144">
        <v>0.17</v>
      </c>
      <c r="E1055" s="144">
        <v>0.68</v>
      </c>
    </row>
    <row r="1056" spans="3:5">
      <c r="C1056" s="141">
        <v>11094.5</v>
      </c>
      <c r="D1056" s="144">
        <v>0.17</v>
      </c>
      <c r="E1056" s="144">
        <v>0.71</v>
      </c>
    </row>
    <row r="1057" spans="3:5">
      <c r="C1057" s="141">
        <v>11095</v>
      </c>
      <c r="D1057" s="144">
        <v>0.15</v>
      </c>
      <c r="E1057" s="144">
        <v>0.81</v>
      </c>
    </row>
    <row r="1058" spans="3:5">
      <c r="C1058" s="141">
        <v>11095.5</v>
      </c>
      <c r="D1058" s="144">
        <v>0.15</v>
      </c>
      <c r="E1058" s="144">
        <v>0.93</v>
      </c>
    </row>
    <row r="1059" spans="3:5">
      <c r="C1059" s="141">
        <v>11096</v>
      </c>
      <c r="D1059" s="144">
        <v>0.15</v>
      </c>
      <c r="E1059" s="144">
        <v>0.93</v>
      </c>
    </row>
    <row r="1060" spans="3:5">
      <c r="C1060" s="141">
        <v>11096.5</v>
      </c>
      <c r="D1060" s="144">
        <v>0.16</v>
      </c>
      <c r="E1060" s="144">
        <v>0.9</v>
      </c>
    </row>
    <row r="1061" spans="3:5">
      <c r="C1061" s="141">
        <v>11097</v>
      </c>
      <c r="D1061" s="144">
        <v>0.16</v>
      </c>
      <c r="E1061" s="144">
        <v>0.87</v>
      </c>
    </row>
    <row r="1062" spans="3:5">
      <c r="C1062" s="141">
        <v>11097.5</v>
      </c>
      <c r="D1062" s="144">
        <v>0.16</v>
      </c>
      <c r="E1062" s="144">
        <v>0.82</v>
      </c>
    </row>
    <row r="1063" spans="3:5">
      <c r="C1063" s="141">
        <v>11098</v>
      </c>
      <c r="D1063" s="144">
        <v>0.16</v>
      </c>
      <c r="E1063" s="144">
        <v>0.79</v>
      </c>
    </row>
    <row r="1064" spans="3:5">
      <c r="C1064" s="141">
        <v>11098.5</v>
      </c>
      <c r="D1064" s="144">
        <v>0.16</v>
      </c>
      <c r="E1064" s="144">
        <v>0.77</v>
      </c>
    </row>
    <row r="1065" spans="3:5">
      <c r="C1065" s="141">
        <v>11099</v>
      </c>
      <c r="D1065" s="144">
        <v>0.16</v>
      </c>
      <c r="E1065" s="144">
        <v>0.73</v>
      </c>
    </row>
    <row r="1066" spans="3:5">
      <c r="C1066" s="141">
        <v>11099.5</v>
      </c>
      <c r="D1066" s="144">
        <v>0.16</v>
      </c>
      <c r="E1066" s="144">
        <v>0.75</v>
      </c>
    </row>
    <row r="1067" spans="3:5">
      <c r="C1067" s="141">
        <v>11100</v>
      </c>
      <c r="D1067" s="144">
        <v>0.17</v>
      </c>
      <c r="E1067" s="144">
        <v>0.75</v>
      </c>
    </row>
    <row r="1068" spans="3:5">
      <c r="C1068" s="141">
        <v>11100.5</v>
      </c>
      <c r="D1068" s="144">
        <v>0.18</v>
      </c>
      <c r="E1068" s="144">
        <v>0.73</v>
      </c>
    </row>
    <row r="1069" spans="3:5">
      <c r="C1069" s="141">
        <v>11101</v>
      </c>
      <c r="D1069" s="144">
        <v>0.18</v>
      </c>
      <c r="E1069" s="144">
        <v>0.65</v>
      </c>
    </row>
    <row r="1070" spans="3:5">
      <c r="C1070" s="141">
        <v>11101.5</v>
      </c>
      <c r="D1070" s="144">
        <v>0.18</v>
      </c>
      <c r="E1070" s="144">
        <v>0.65</v>
      </c>
    </row>
    <row r="1071" spans="3:5">
      <c r="C1071" s="141">
        <v>11102</v>
      </c>
      <c r="D1071" s="144">
        <v>0.18</v>
      </c>
      <c r="E1071" s="144">
        <v>0.65</v>
      </c>
    </row>
    <row r="1072" spans="3:5">
      <c r="C1072" s="141">
        <v>11102.5</v>
      </c>
      <c r="D1072" s="144">
        <v>0.17</v>
      </c>
      <c r="E1072" s="144">
        <v>0.67</v>
      </c>
    </row>
    <row r="1073" spans="3:5">
      <c r="C1073" s="141">
        <v>11103</v>
      </c>
      <c r="D1073" s="144">
        <v>0.16</v>
      </c>
      <c r="E1073" s="144">
        <v>0.76</v>
      </c>
    </row>
    <row r="1074" spans="3:5">
      <c r="C1074" s="141">
        <v>11103.5</v>
      </c>
      <c r="D1074" s="144">
        <v>0.16</v>
      </c>
      <c r="E1074" s="144">
        <v>0.75</v>
      </c>
    </row>
    <row r="1075" spans="3:5">
      <c r="C1075" s="141">
        <v>11104</v>
      </c>
      <c r="D1075" s="144">
        <v>0.16</v>
      </c>
      <c r="E1075" s="144">
        <v>0.76</v>
      </c>
    </row>
    <row r="1076" spans="3:5">
      <c r="C1076" s="141">
        <v>11104.5</v>
      </c>
      <c r="D1076" s="144">
        <v>0.16</v>
      </c>
      <c r="E1076" s="144">
        <v>0.7</v>
      </c>
    </row>
    <row r="1077" spans="3:5">
      <c r="C1077" s="141">
        <v>11105</v>
      </c>
      <c r="D1077" s="144">
        <v>0.17</v>
      </c>
      <c r="E1077" s="144">
        <v>0.68</v>
      </c>
    </row>
    <row r="1078" spans="3:5">
      <c r="C1078" s="141">
        <v>11105.5</v>
      </c>
      <c r="D1078" s="144">
        <v>0.17</v>
      </c>
      <c r="E1078" s="144">
        <v>0.67</v>
      </c>
    </row>
    <row r="1079" spans="3:5">
      <c r="C1079" s="141">
        <v>11106</v>
      </c>
      <c r="D1079" s="144">
        <v>0.17</v>
      </c>
      <c r="E1079" s="144">
        <v>0.66</v>
      </c>
    </row>
    <row r="1080" spans="3:5">
      <c r="C1080" s="141">
        <v>11106.5</v>
      </c>
      <c r="D1080" s="144">
        <v>0.17</v>
      </c>
      <c r="E1080" s="144">
        <v>0.67</v>
      </c>
    </row>
    <row r="1081" spans="3:5">
      <c r="C1081" s="141">
        <v>11107</v>
      </c>
      <c r="D1081" s="144">
        <v>0.17</v>
      </c>
      <c r="E1081" s="144">
        <v>0.68</v>
      </c>
    </row>
    <row r="1082" spans="3:5">
      <c r="C1082" s="141">
        <v>11107.5</v>
      </c>
      <c r="D1082" s="144">
        <v>0.16</v>
      </c>
      <c r="E1082" s="144">
        <v>0.7</v>
      </c>
    </row>
    <row r="1083" spans="3:5">
      <c r="C1083" s="141">
        <v>11108</v>
      </c>
      <c r="D1083" s="144">
        <v>0.16</v>
      </c>
      <c r="E1083" s="144">
        <v>0.74</v>
      </c>
    </row>
    <row r="1084" spans="3:5">
      <c r="C1084" s="141">
        <v>11108.5</v>
      </c>
      <c r="D1084" s="144">
        <v>0.16</v>
      </c>
      <c r="E1084" s="144">
        <v>0.73</v>
      </c>
    </row>
    <row r="1085" spans="3:5">
      <c r="C1085" s="141">
        <v>11109</v>
      </c>
      <c r="D1085" s="144">
        <v>0.16</v>
      </c>
      <c r="E1085" s="144">
        <v>0.79</v>
      </c>
    </row>
    <row r="1086" spans="3:5">
      <c r="C1086" s="141">
        <v>11109.5</v>
      </c>
      <c r="D1086" s="144">
        <v>0.17</v>
      </c>
      <c r="E1086" s="144">
        <v>0.79</v>
      </c>
    </row>
    <row r="1087" spans="3:5">
      <c r="C1087" s="141">
        <v>11110</v>
      </c>
      <c r="D1087" s="144">
        <v>0.17</v>
      </c>
      <c r="E1087" s="144">
        <v>0.77</v>
      </c>
    </row>
    <row r="1088" spans="3:5">
      <c r="C1088" s="141">
        <v>11110.5</v>
      </c>
      <c r="D1088" s="144">
        <v>0.17</v>
      </c>
      <c r="E1088" s="144">
        <v>0.79</v>
      </c>
    </row>
    <row r="1089" spans="3:5">
      <c r="C1089" s="141">
        <v>11111</v>
      </c>
      <c r="D1089" s="144">
        <v>0.17</v>
      </c>
      <c r="E1089" s="144">
        <v>0.79</v>
      </c>
    </row>
    <row r="1090" spans="3:5">
      <c r="C1090" s="141">
        <v>11111.5</v>
      </c>
      <c r="D1090" s="144">
        <v>0.17</v>
      </c>
      <c r="E1090" s="144">
        <v>0.8</v>
      </c>
    </row>
    <row r="1091" spans="3:5">
      <c r="C1091" s="141">
        <v>11112</v>
      </c>
      <c r="D1091" s="144">
        <v>0.17</v>
      </c>
      <c r="E1091" s="144">
        <v>0.79</v>
      </c>
    </row>
    <row r="1092" spans="3:5">
      <c r="C1092" s="141">
        <v>11112.5</v>
      </c>
      <c r="D1092" s="144">
        <v>0.17</v>
      </c>
      <c r="E1092" s="144">
        <v>0.78</v>
      </c>
    </row>
    <row r="1093" spans="3:5">
      <c r="C1093" s="141">
        <v>11113</v>
      </c>
      <c r="D1093" s="144">
        <v>0.17</v>
      </c>
      <c r="E1093" s="144">
        <v>0.77</v>
      </c>
    </row>
    <row r="1094" spans="3:5">
      <c r="C1094" s="141">
        <v>11113.5</v>
      </c>
      <c r="D1094" s="144">
        <v>0.17</v>
      </c>
      <c r="E1094" s="144">
        <v>0.89</v>
      </c>
    </row>
    <row r="1095" spans="3:5">
      <c r="C1095" s="141">
        <v>11114</v>
      </c>
      <c r="D1095" s="144">
        <v>0.17</v>
      </c>
      <c r="E1095" s="144">
        <v>0.79</v>
      </c>
    </row>
    <row r="1096" spans="3:5">
      <c r="C1096" s="141">
        <v>11114.5</v>
      </c>
      <c r="D1096" s="144">
        <v>0.16</v>
      </c>
      <c r="E1096" s="144">
        <v>0.79</v>
      </c>
    </row>
    <row r="1097" spans="3:5">
      <c r="C1097" s="141">
        <v>11115</v>
      </c>
      <c r="D1097" s="144">
        <v>0.16</v>
      </c>
      <c r="E1097" s="144">
        <v>0.8</v>
      </c>
    </row>
    <row r="1098" spans="3:5">
      <c r="C1098" s="141">
        <v>11115.5</v>
      </c>
      <c r="D1098" s="144">
        <v>0.16</v>
      </c>
      <c r="E1098" s="144">
        <v>0.84</v>
      </c>
    </row>
    <row r="1099" spans="3:5">
      <c r="C1099" s="141">
        <v>11116</v>
      </c>
      <c r="D1099" s="144">
        <v>0.16</v>
      </c>
      <c r="E1099" s="144">
        <v>0.78</v>
      </c>
    </row>
    <row r="1100" spans="3:5">
      <c r="C1100" s="141">
        <v>11116.5</v>
      </c>
      <c r="D1100" s="144">
        <v>0.16</v>
      </c>
      <c r="E1100" s="144">
        <v>0.73</v>
      </c>
    </row>
    <row r="1101" spans="3:5">
      <c r="C1101" s="141">
        <v>11117</v>
      </c>
      <c r="D1101" s="144">
        <v>0.17</v>
      </c>
      <c r="E1101" s="144">
        <v>0.71</v>
      </c>
    </row>
    <row r="1102" spans="3:5">
      <c r="C1102" s="141">
        <v>11117.5</v>
      </c>
      <c r="D1102" s="144">
        <v>0.17</v>
      </c>
      <c r="E1102" s="144">
        <v>0.66</v>
      </c>
    </row>
    <row r="1103" spans="3:5">
      <c r="C1103" s="141">
        <v>11118</v>
      </c>
      <c r="D1103" s="144">
        <v>0.17</v>
      </c>
      <c r="E1103" s="144">
        <v>0.67</v>
      </c>
    </row>
    <row r="1104" spans="3:5">
      <c r="C1104" s="141">
        <v>11118.5</v>
      </c>
      <c r="D1104" s="144">
        <v>0.18</v>
      </c>
      <c r="E1104" s="144">
        <v>0.64</v>
      </c>
    </row>
    <row r="1105" spans="3:5">
      <c r="C1105" s="141">
        <v>11119</v>
      </c>
      <c r="D1105" s="144">
        <v>0.18</v>
      </c>
      <c r="E1105" s="144">
        <v>0.61</v>
      </c>
    </row>
    <row r="1106" spans="3:5">
      <c r="C1106" s="141">
        <v>11119.5</v>
      </c>
      <c r="D1106" s="144">
        <v>0.18</v>
      </c>
      <c r="E1106" s="144">
        <v>0.63</v>
      </c>
    </row>
    <row r="1107" spans="3:5">
      <c r="C1107" s="141">
        <v>11120</v>
      </c>
      <c r="D1107" s="144">
        <v>0.18</v>
      </c>
      <c r="E1107" s="144">
        <v>0.64</v>
      </c>
    </row>
    <row r="1108" spans="3:5">
      <c r="C1108" s="141">
        <v>11120.5</v>
      </c>
      <c r="D1108" s="144">
        <v>0.18</v>
      </c>
      <c r="E1108" s="144">
        <v>0.61</v>
      </c>
    </row>
    <row r="1109" spans="3:5">
      <c r="C1109" s="141">
        <v>11121</v>
      </c>
      <c r="D1109" s="144">
        <v>0.19</v>
      </c>
      <c r="E1109" s="144">
        <v>0.57999999999999996</v>
      </c>
    </row>
    <row r="1110" spans="3:5">
      <c r="C1110" s="141">
        <v>11121.5</v>
      </c>
      <c r="D1110" s="144">
        <v>0.2</v>
      </c>
      <c r="E1110" s="144">
        <v>0.56000000000000005</v>
      </c>
    </row>
    <row r="1111" spans="3:5">
      <c r="C1111" s="141">
        <v>11122</v>
      </c>
      <c r="D1111" s="144">
        <v>0.2</v>
      </c>
      <c r="E1111" s="144">
        <v>0.56999999999999995</v>
      </c>
    </row>
    <row r="1112" spans="3:5">
      <c r="C1112" s="141">
        <v>11122.5</v>
      </c>
      <c r="D1112" s="144">
        <v>0.2</v>
      </c>
      <c r="E1112" s="144">
        <v>0.56999999999999995</v>
      </c>
    </row>
    <row r="1113" spans="3:5">
      <c r="C1113" s="141">
        <v>11123</v>
      </c>
      <c r="D1113" s="144">
        <v>0.19</v>
      </c>
      <c r="E1113" s="144">
        <v>0.59</v>
      </c>
    </row>
    <row r="1114" spans="3:5">
      <c r="C1114" s="141">
        <v>11123.5</v>
      </c>
      <c r="D1114" s="144">
        <v>0.19</v>
      </c>
      <c r="E1114" s="144">
        <v>0.56999999999999995</v>
      </c>
    </row>
    <row r="1115" spans="3:5">
      <c r="C1115" s="141">
        <v>11124</v>
      </c>
      <c r="D1115" s="144">
        <v>0.19</v>
      </c>
      <c r="E1115" s="144">
        <v>0.56999999999999995</v>
      </c>
    </row>
    <row r="1116" spans="3:5">
      <c r="C1116" s="141">
        <v>11124.5</v>
      </c>
      <c r="D1116" s="144">
        <v>0.19</v>
      </c>
      <c r="E1116" s="144">
        <v>0.56999999999999995</v>
      </c>
    </row>
    <row r="1117" spans="3:5">
      <c r="C1117" s="141">
        <v>11125</v>
      </c>
      <c r="D1117" s="144">
        <v>0.18</v>
      </c>
      <c r="E1117" s="144">
        <v>0.56999999999999995</v>
      </c>
    </row>
    <row r="1118" spans="3:5">
      <c r="C1118" s="141">
        <v>11125.5</v>
      </c>
      <c r="D1118" s="144">
        <v>0.19</v>
      </c>
      <c r="E1118" s="144">
        <v>0.55000000000000004</v>
      </c>
    </row>
    <row r="1119" spans="3:5">
      <c r="C1119" s="141">
        <v>11126</v>
      </c>
      <c r="D1119" s="144">
        <v>0.19</v>
      </c>
      <c r="E1119" s="144">
        <v>0.55000000000000004</v>
      </c>
    </row>
    <row r="1120" spans="3:5">
      <c r="C1120" s="141">
        <v>11126.5</v>
      </c>
      <c r="D1120" s="144">
        <v>0.19</v>
      </c>
      <c r="E1120" s="144">
        <v>0.56000000000000005</v>
      </c>
    </row>
    <row r="1121" spans="3:5">
      <c r="C1121" s="141">
        <v>11127</v>
      </c>
      <c r="D1121" s="144">
        <v>0.18</v>
      </c>
      <c r="E1121" s="144">
        <v>0.6</v>
      </c>
    </row>
    <row r="1122" spans="3:5">
      <c r="C1122" s="141">
        <v>11127.5</v>
      </c>
      <c r="D1122" s="144">
        <v>0.18</v>
      </c>
      <c r="E1122" s="144">
        <v>0.62</v>
      </c>
    </row>
    <row r="1123" spans="3:5">
      <c r="C1123" s="141">
        <v>11128</v>
      </c>
      <c r="D1123" s="144">
        <v>0.18</v>
      </c>
      <c r="E1123" s="144">
        <v>0.61</v>
      </c>
    </row>
    <row r="1124" spans="3:5">
      <c r="C1124" s="141">
        <v>11128.5</v>
      </c>
      <c r="D1124" s="144">
        <v>0.18</v>
      </c>
      <c r="E1124" s="144">
        <v>0.63</v>
      </c>
    </row>
    <row r="1125" spans="3:5">
      <c r="C1125" s="141">
        <v>11129</v>
      </c>
      <c r="D1125" s="144">
        <v>0.19</v>
      </c>
      <c r="E1125" s="144">
        <v>0.61</v>
      </c>
    </row>
    <row r="1126" spans="3:5">
      <c r="C1126" s="141">
        <v>11129.5</v>
      </c>
      <c r="D1126" s="144">
        <v>0.19</v>
      </c>
      <c r="E1126" s="144">
        <v>0.6</v>
      </c>
    </row>
    <row r="1127" spans="3:5">
      <c r="C1127" s="141">
        <v>11130</v>
      </c>
      <c r="D1127" s="144">
        <v>0.19</v>
      </c>
      <c r="E1127" s="144">
        <v>0.62</v>
      </c>
    </row>
    <row r="1128" spans="3:5">
      <c r="C1128" s="141">
        <v>11130.5</v>
      </c>
      <c r="D1128" s="144">
        <v>0.19</v>
      </c>
      <c r="E1128" s="144">
        <v>0.63</v>
      </c>
    </row>
    <row r="1129" spans="3:5">
      <c r="C1129" s="141">
        <v>11131</v>
      </c>
      <c r="D1129" s="144">
        <v>0.19</v>
      </c>
      <c r="E1129" s="144">
        <v>0.71</v>
      </c>
    </row>
    <row r="1130" spans="3:5">
      <c r="C1130" s="141">
        <v>11131.5</v>
      </c>
      <c r="D1130" s="144">
        <v>0.19</v>
      </c>
      <c r="E1130" s="144">
        <v>0.71</v>
      </c>
    </row>
    <row r="1131" spans="3:5">
      <c r="C1131" s="141">
        <v>11132</v>
      </c>
      <c r="D1131" s="144">
        <v>0.19</v>
      </c>
      <c r="E1131" s="144">
        <v>0.69</v>
      </c>
    </row>
    <row r="1132" spans="3:5">
      <c r="C1132" s="141">
        <v>11132.5</v>
      </c>
      <c r="D1132" s="144">
        <v>0.19</v>
      </c>
      <c r="E1132" s="144">
        <v>0.72</v>
      </c>
    </row>
    <row r="1133" spans="3:5">
      <c r="C1133" s="141">
        <v>11133</v>
      </c>
      <c r="D1133" s="144">
        <v>0.18</v>
      </c>
      <c r="E1133" s="144">
        <v>0.74</v>
      </c>
    </row>
    <row r="1134" spans="3:5">
      <c r="C1134" s="141">
        <v>11133.5</v>
      </c>
      <c r="D1134" s="144">
        <v>0.17</v>
      </c>
      <c r="E1134" s="144">
        <v>0.82</v>
      </c>
    </row>
    <row r="1135" spans="3:5">
      <c r="C1135" s="141">
        <v>11134</v>
      </c>
      <c r="D1135" s="144">
        <v>0.17</v>
      </c>
      <c r="E1135" s="144">
        <v>0.81</v>
      </c>
    </row>
    <row r="1136" spans="3:5">
      <c r="C1136" s="141">
        <v>11134.5</v>
      </c>
      <c r="D1136" s="144">
        <v>0.18</v>
      </c>
      <c r="E1136" s="144">
        <v>0.79</v>
      </c>
    </row>
    <row r="1137" spans="3:5">
      <c r="C1137" s="141">
        <v>11135</v>
      </c>
      <c r="D1137" s="144">
        <v>0.18</v>
      </c>
      <c r="E1137" s="144">
        <v>0.73</v>
      </c>
    </row>
    <row r="1138" spans="3:5">
      <c r="C1138" s="141">
        <v>11135.5</v>
      </c>
      <c r="D1138" s="144">
        <v>0.18</v>
      </c>
      <c r="E1138" s="144">
        <v>0.68</v>
      </c>
    </row>
    <row r="1139" spans="3:5">
      <c r="C1139" s="141">
        <v>11136</v>
      </c>
      <c r="D1139" s="144">
        <v>0.18</v>
      </c>
      <c r="E1139" s="144">
        <v>0.68</v>
      </c>
    </row>
    <row r="1140" spans="3:5">
      <c r="C1140" s="141">
        <v>11136.5</v>
      </c>
      <c r="D1140" s="144">
        <v>0.18</v>
      </c>
      <c r="E1140" s="144">
        <v>0.66</v>
      </c>
    </row>
    <row r="1141" spans="3:5">
      <c r="C1141" s="141">
        <v>11137</v>
      </c>
      <c r="D1141" s="144">
        <v>0.18</v>
      </c>
      <c r="E1141" s="144">
        <v>0.66</v>
      </c>
    </row>
    <row r="1142" spans="3:5">
      <c r="C1142" s="141">
        <v>11137.5</v>
      </c>
      <c r="D1142" s="144">
        <v>0.19</v>
      </c>
      <c r="E1142" s="144">
        <v>0.61</v>
      </c>
    </row>
    <row r="1143" spans="3:5">
      <c r="C1143" s="141">
        <v>11138</v>
      </c>
      <c r="D1143" s="144">
        <v>0.19</v>
      </c>
      <c r="E1143" s="144">
        <v>0.59</v>
      </c>
    </row>
    <row r="1144" spans="3:5">
      <c r="C1144" s="141">
        <v>11138.5</v>
      </c>
      <c r="D1144" s="144">
        <v>0.19</v>
      </c>
      <c r="E1144" s="144">
        <v>0.61</v>
      </c>
    </row>
    <row r="1145" spans="3:5">
      <c r="C1145" s="141">
        <v>11139</v>
      </c>
      <c r="D1145" s="144">
        <v>0.18</v>
      </c>
      <c r="E1145" s="144">
        <v>0.62</v>
      </c>
    </row>
    <row r="1146" spans="3:5">
      <c r="C1146" s="141">
        <v>11139.5</v>
      </c>
      <c r="D1146" s="144">
        <v>0.18</v>
      </c>
      <c r="E1146" s="144">
        <v>0.65</v>
      </c>
    </row>
    <row r="1147" spans="3:5">
      <c r="C1147" s="141">
        <v>11140</v>
      </c>
      <c r="D1147" s="144">
        <v>0.18</v>
      </c>
      <c r="E1147" s="144">
        <v>0.62</v>
      </c>
    </row>
    <row r="1148" spans="3:5">
      <c r="C1148" s="141">
        <v>11140.5</v>
      </c>
      <c r="D1148" s="144">
        <v>0.19</v>
      </c>
      <c r="E1148" s="144">
        <v>0.6</v>
      </c>
    </row>
    <row r="1149" spans="3:5">
      <c r="C1149" s="141">
        <v>11141</v>
      </c>
      <c r="D1149" s="144">
        <v>0.18</v>
      </c>
      <c r="E1149" s="144">
        <v>0.63</v>
      </c>
    </row>
    <row r="1150" spans="3:5">
      <c r="C1150" s="141">
        <v>11141.5</v>
      </c>
      <c r="D1150" s="144">
        <v>0.18</v>
      </c>
      <c r="E1150" s="144">
        <v>0.63</v>
      </c>
    </row>
    <row r="1151" spans="3:5">
      <c r="C1151" s="141">
        <v>11142</v>
      </c>
      <c r="D1151" s="144">
        <v>0.19</v>
      </c>
      <c r="E1151" s="144">
        <v>0.57999999999999996</v>
      </c>
    </row>
    <row r="1152" spans="3:5">
      <c r="C1152" s="141">
        <v>11142.5</v>
      </c>
      <c r="D1152" s="144">
        <v>0.2</v>
      </c>
      <c r="E1152" s="144">
        <v>0.54</v>
      </c>
    </row>
    <row r="1153" spans="3:5">
      <c r="C1153" s="141">
        <v>11143</v>
      </c>
      <c r="D1153" s="144">
        <v>0.21</v>
      </c>
      <c r="E1153" s="144">
        <v>0.52</v>
      </c>
    </row>
    <row r="1154" spans="3:5">
      <c r="C1154" s="141">
        <v>11143.5</v>
      </c>
      <c r="D1154" s="144">
        <v>0.2</v>
      </c>
      <c r="E1154" s="144">
        <v>0.51</v>
      </c>
    </row>
    <row r="1155" spans="3:5">
      <c r="C1155" s="141">
        <v>11144</v>
      </c>
      <c r="D1155" s="144">
        <v>0.21</v>
      </c>
      <c r="E1155" s="144">
        <v>0.49</v>
      </c>
    </row>
    <row r="1156" spans="3:5">
      <c r="C1156" s="141">
        <v>11144.5</v>
      </c>
      <c r="D1156" s="144">
        <v>0.16</v>
      </c>
      <c r="E1156" s="144">
        <v>0.48</v>
      </c>
    </row>
    <row r="1157" spans="3:5">
      <c r="C1157" s="141">
        <v>11145</v>
      </c>
      <c r="D1157" s="144">
        <v>0.2</v>
      </c>
      <c r="E1157" s="144">
        <v>0.5</v>
      </c>
    </row>
    <row r="1158" spans="3:5">
      <c r="C1158" s="141">
        <v>11145.5</v>
      </c>
      <c r="D1158" s="144">
        <v>0.2</v>
      </c>
      <c r="E1158" s="144">
        <v>0.52</v>
      </c>
    </row>
    <row r="1159" spans="3:5">
      <c r="C1159" s="141">
        <v>11146</v>
      </c>
      <c r="D1159" s="144">
        <v>0.19</v>
      </c>
      <c r="E1159" s="144">
        <v>0.54</v>
      </c>
    </row>
    <row r="1160" spans="3:5">
      <c r="C1160" s="141">
        <v>11146.5</v>
      </c>
      <c r="D1160" s="144">
        <v>0.19</v>
      </c>
      <c r="E1160" s="144">
        <v>0.54</v>
      </c>
    </row>
    <row r="1161" spans="3:5">
      <c r="C1161" s="141">
        <v>11147</v>
      </c>
      <c r="D1161" s="144">
        <v>0.19</v>
      </c>
      <c r="E1161" s="144">
        <v>0.55000000000000004</v>
      </c>
    </row>
    <row r="1162" spans="3:5">
      <c r="C1162" s="141">
        <v>11147.5</v>
      </c>
      <c r="D1162" s="144">
        <v>0.19</v>
      </c>
      <c r="E1162" s="144">
        <v>0.59</v>
      </c>
    </row>
    <row r="1163" spans="3:5">
      <c r="C1163" s="141">
        <v>11148</v>
      </c>
      <c r="D1163" s="144">
        <v>0.18</v>
      </c>
      <c r="E1163" s="144">
        <v>0.61</v>
      </c>
    </row>
    <row r="1164" spans="3:5">
      <c r="C1164" s="141">
        <v>11148.5</v>
      </c>
      <c r="D1164" s="144">
        <v>0.18</v>
      </c>
      <c r="E1164" s="144">
        <v>0.6</v>
      </c>
    </row>
    <row r="1165" spans="3:5">
      <c r="C1165" s="141">
        <v>11149</v>
      </c>
      <c r="D1165" s="144">
        <v>0.19</v>
      </c>
      <c r="E1165" s="144">
        <v>0.56999999999999995</v>
      </c>
    </row>
    <row r="1166" spans="3:5">
      <c r="C1166" s="141">
        <v>11149.5</v>
      </c>
      <c r="D1166" s="144">
        <v>0.19</v>
      </c>
      <c r="E1166" s="144">
        <v>0.55000000000000004</v>
      </c>
    </row>
    <row r="1167" spans="3:5">
      <c r="C1167" s="141">
        <v>11150</v>
      </c>
      <c r="D1167" s="144">
        <v>0.19</v>
      </c>
      <c r="E1167" s="144">
        <v>0.53</v>
      </c>
    </row>
    <row r="1168" spans="3:5">
      <c r="C1168" s="141">
        <v>11150.5</v>
      </c>
      <c r="D1168" s="144">
        <v>0.2</v>
      </c>
      <c r="E1168" s="144">
        <v>0.51</v>
      </c>
    </row>
    <row r="1169" spans="3:5">
      <c r="C1169" s="141">
        <v>11151</v>
      </c>
      <c r="D1169" s="144">
        <v>0.2</v>
      </c>
      <c r="E1169" s="144">
        <v>0.51</v>
      </c>
    </row>
    <row r="1170" spans="3:5">
      <c r="C1170" s="141">
        <v>11151.5</v>
      </c>
      <c r="D1170" s="144">
        <v>0.2</v>
      </c>
      <c r="E1170" s="144">
        <v>0.5</v>
      </c>
    </row>
    <row r="1171" spans="3:5">
      <c r="C1171" s="141">
        <v>11152</v>
      </c>
      <c r="D1171" s="144">
        <v>0.2</v>
      </c>
      <c r="E1171" s="144">
        <v>0.49</v>
      </c>
    </row>
    <row r="1172" spans="3:5">
      <c r="C1172" s="141">
        <v>11152.5</v>
      </c>
      <c r="D1172" s="144">
        <v>0.2</v>
      </c>
      <c r="E1172" s="144">
        <v>0.49</v>
      </c>
    </row>
    <row r="1173" spans="3:5">
      <c r="C1173" s="141">
        <v>11153</v>
      </c>
      <c r="D1173" s="144">
        <v>0.2</v>
      </c>
      <c r="E1173" s="144">
        <v>0.48</v>
      </c>
    </row>
    <row r="1174" spans="3:5">
      <c r="C1174" s="141">
        <v>11153.5</v>
      </c>
      <c r="D1174" s="144">
        <v>0.21</v>
      </c>
      <c r="E1174" s="144">
        <v>0.48</v>
      </c>
    </row>
    <row r="1175" spans="3:5">
      <c r="C1175" s="141">
        <v>11154</v>
      </c>
      <c r="D1175" s="144">
        <v>0.21</v>
      </c>
      <c r="E1175" s="144">
        <v>0.48</v>
      </c>
    </row>
    <row r="1176" spans="3:5">
      <c r="C1176" s="141">
        <v>11154.5</v>
      </c>
      <c r="D1176" s="144">
        <v>0.2</v>
      </c>
      <c r="E1176" s="144">
        <v>0.51</v>
      </c>
    </row>
    <row r="1177" spans="3:5">
      <c r="C1177" s="141">
        <v>11155</v>
      </c>
      <c r="D1177" s="144">
        <v>0.2</v>
      </c>
      <c r="E1177" s="144">
        <v>0.53</v>
      </c>
    </row>
    <row r="1178" spans="3:5">
      <c r="C1178" s="141">
        <v>11155.5</v>
      </c>
      <c r="D1178" s="144">
        <v>0.2</v>
      </c>
      <c r="E1178" s="144">
        <v>0.51</v>
      </c>
    </row>
    <row r="1179" spans="3:5">
      <c r="C1179" s="141">
        <v>11156</v>
      </c>
      <c r="D1179" s="144">
        <v>0.2</v>
      </c>
      <c r="E1179" s="144">
        <v>0.49</v>
      </c>
    </row>
    <row r="1180" spans="3:5">
      <c r="C1180" s="141">
        <v>11156.5</v>
      </c>
      <c r="D1180" s="144">
        <v>0.2</v>
      </c>
      <c r="E1180" s="144">
        <v>0.5</v>
      </c>
    </row>
    <row r="1181" spans="3:5">
      <c r="C1181" s="141">
        <v>11157</v>
      </c>
      <c r="D1181" s="144">
        <v>0.2</v>
      </c>
      <c r="E1181" s="144">
        <v>0.5</v>
      </c>
    </row>
    <row r="1182" spans="3:5">
      <c r="C1182" s="141">
        <v>11157.5</v>
      </c>
      <c r="D1182" s="144">
        <v>0.19</v>
      </c>
      <c r="E1182" s="144">
        <v>0.53</v>
      </c>
    </row>
    <row r="1183" spans="3:5">
      <c r="C1183" s="141">
        <v>11158</v>
      </c>
      <c r="D1183" s="144">
        <v>0.2</v>
      </c>
      <c r="E1183" s="144">
        <v>0.52</v>
      </c>
    </row>
    <row r="1184" spans="3:5">
      <c r="C1184" s="141">
        <v>11158.5</v>
      </c>
      <c r="D1184" s="144">
        <v>0.19</v>
      </c>
      <c r="E1184" s="144">
        <v>0.53</v>
      </c>
    </row>
    <row r="1185" spans="3:5">
      <c r="C1185" s="141">
        <v>11159</v>
      </c>
      <c r="D1185" s="144">
        <v>0.19</v>
      </c>
      <c r="E1185" s="144">
        <v>0.56999999999999995</v>
      </c>
    </row>
    <row r="1186" spans="3:5">
      <c r="C1186" s="141">
        <v>11159.5</v>
      </c>
      <c r="D1186" s="144">
        <v>0.19</v>
      </c>
      <c r="E1186" s="144">
        <v>0.59</v>
      </c>
    </row>
    <row r="1187" spans="3:5">
      <c r="C1187" s="141">
        <v>11160</v>
      </c>
      <c r="D1187" s="144">
        <v>0.19</v>
      </c>
      <c r="E1187" s="144">
        <v>0.59</v>
      </c>
    </row>
    <row r="1188" spans="3:5">
      <c r="C1188" s="141">
        <v>11160.5</v>
      </c>
      <c r="D1188" s="144">
        <v>0.19</v>
      </c>
      <c r="E1188" s="144">
        <v>0.56000000000000005</v>
      </c>
    </row>
    <row r="1189" spans="3:5">
      <c r="C1189" s="141">
        <v>11161</v>
      </c>
      <c r="D1189" s="144">
        <v>0.19</v>
      </c>
      <c r="E1189" s="144">
        <v>0.57999999999999996</v>
      </c>
    </row>
    <row r="1190" spans="3:5">
      <c r="C1190" s="141">
        <v>11161.5</v>
      </c>
      <c r="D1190" s="144">
        <v>0.19</v>
      </c>
      <c r="E1190" s="144">
        <v>0.6</v>
      </c>
    </row>
    <row r="1191" spans="3:5">
      <c r="C1191" s="141">
        <v>11162</v>
      </c>
      <c r="D1191" s="144">
        <v>0.19</v>
      </c>
      <c r="E1191" s="144">
        <v>0.62</v>
      </c>
    </row>
    <row r="1192" spans="3:5">
      <c r="C1192" s="141">
        <v>11162.5</v>
      </c>
      <c r="D1192" s="144">
        <v>0.19</v>
      </c>
      <c r="E1192" s="144">
        <v>0.61</v>
      </c>
    </row>
    <row r="1193" spans="3:5">
      <c r="C1193" s="141">
        <v>11163</v>
      </c>
      <c r="D1193" s="144">
        <v>0.19</v>
      </c>
      <c r="E1193" s="144">
        <v>0.6</v>
      </c>
    </row>
    <row r="1194" spans="3:5">
      <c r="C1194" s="141">
        <v>11163.5</v>
      </c>
      <c r="D1194" s="144">
        <v>0.19</v>
      </c>
      <c r="E1194" s="144">
        <v>0.57999999999999996</v>
      </c>
    </row>
    <row r="1195" spans="3:5">
      <c r="C1195" s="141">
        <v>11164</v>
      </c>
      <c r="D1195" s="144">
        <v>0.19</v>
      </c>
      <c r="E1195" s="144">
        <v>0.62</v>
      </c>
    </row>
    <row r="1196" spans="3:5">
      <c r="C1196" s="141">
        <v>11164.5</v>
      </c>
      <c r="D1196" s="144">
        <v>0.19</v>
      </c>
      <c r="E1196" s="144">
        <v>0.62</v>
      </c>
    </row>
    <row r="1197" spans="3:5">
      <c r="C1197" s="141">
        <v>11165</v>
      </c>
      <c r="D1197" s="144">
        <v>0.19</v>
      </c>
      <c r="E1197" s="144">
        <v>0.61</v>
      </c>
    </row>
    <row r="1198" spans="3:5">
      <c r="C1198" s="141">
        <v>11165.5</v>
      </c>
      <c r="D1198" s="144">
        <v>0.19</v>
      </c>
      <c r="E1198" s="144">
        <v>0.62</v>
      </c>
    </row>
    <row r="1199" spans="3:5">
      <c r="C1199" s="141">
        <v>11166</v>
      </c>
      <c r="D1199" s="144">
        <v>0.19</v>
      </c>
      <c r="E1199" s="144">
        <v>0.62</v>
      </c>
    </row>
    <row r="1200" spans="3:5">
      <c r="C1200" s="141">
        <v>11166.5</v>
      </c>
      <c r="D1200" s="144">
        <v>0.19</v>
      </c>
      <c r="E1200" s="144">
        <v>0.61</v>
      </c>
    </row>
    <row r="1201" spans="3:5">
      <c r="C1201" s="141">
        <v>11167</v>
      </c>
      <c r="D1201" s="144">
        <v>0.2</v>
      </c>
      <c r="E1201" s="144">
        <v>0.59</v>
      </c>
    </row>
    <row r="1202" spans="3:5">
      <c r="C1202" s="141">
        <v>11167.5</v>
      </c>
      <c r="D1202" s="144">
        <v>0.2</v>
      </c>
      <c r="E1202" s="144">
        <v>0.6</v>
      </c>
    </row>
    <row r="1203" spans="3:5">
      <c r="C1203" s="141">
        <v>11168</v>
      </c>
      <c r="D1203" s="144">
        <v>0.19</v>
      </c>
      <c r="E1203" s="144">
        <v>0.62</v>
      </c>
    </row>
    <row r="1204" spans="3:5">
      <c r="C1204" s="141">
        <v>11168.5</v>
      </c>
      <c r="D1204" s="144">
        <v>0.19</v>
      </c>
      <c r="E1204" s="144">
        <v>0.64</v>
      </c>
    </row>
    <row r="1205" spans="3:5">
      <c r="C1205" s="141">
        <v>11169</v>
      </c>
      <c r="D1205" s="144">
        <v>0.19</v>
      </c>
      <c r="E1205" s="144">
        <v>0.64</v>
      </c>
    </row>
    <row r="1206" spans="3:5">
      <c r="C1206" s="141">
        <v>11169.5</v>
      </c>
      <c r="D1206" s="144">
        <v>0.19</v>
      </c>
      <c r="E1206" s="144">
        <v>0.63</v>
      </c>
    </row>
    <row r="1207" spans="3:5">
      <c r="C1207" s="141">
        <v>11170</v>
      </c>
      <c r="D1207" s="144">
        <v>0.19</v>
      </c>
      <c r="E1207" s="144">
        <v>0.6</v>
      </c>
    </row>
    <row r="1208" spans="3:5">
      <c r="C1208" s="141">
        <v>11170.5</v>
      </c>
      <c r="D1208" s="144">
        <v>0.2</v>
      </c>
      <c r="E1208" s="144">
        <v>0.55000000000000004</v>
      </c>
    </row>
    <row r="1209" spans="3:5">
      <c r="C1209" s="141">
        <v>11171</v>
      </c>
      <c r="D1209" s="144">
        <v>0.21</v>
      </c>
      <c r="E1209" s="144">
        <v>0.53</v>
      </c>
    </row>
    <row r="1210" spans="3:5">
      <c r="C1210" s="141">
        <v>11171.5</v>
      </c>
      <c r="D1210" s="144">
        <v>0.21</v>
      </c>
      <c r="E1210" s="144">
        <v>0.52</v>
      </c>
    </row>
    <row r="1211" spans="3:5">
      <c r="C1211" s="141">
        <v>11172</v>
      </c>
      <c r="D1211" s="144">
        <v>0.16</v>
      </c>
      <c r="E1211" s="144">
        <v>0.52</v>
      </c>
    </row>
    <row r="1212" spans="3:5">
      <c r="C1212" s="141">
        <v>11172.5</v>
      </c>
      <c r="D1212" s="144">
        <v>0.2</v>
      </c>
      <c r="E1212" s="144">
        <v>0.54</v>
      </c>
    </row>
    <row r="1213" spans="3:5">
      <c r="C1213" s="141">
        <v>11173</v>
      </c>
      <c r="D1213" s="144">
        <v>0.19</v>
      </c>
      <c r="E1213" s="144">
        <v>0.56999999999999995</v>
      </c>
    </row>
    <row r="1214" spans="3:5">
      <c r="C1214" s="141">
        <v>11173.5</v>
      </c>
      <c r="D1214" s="144">
        <v>0.19</v>
      </c>
      <c r="E1214" s="144">
        <v>0.57999999999999996</v>
      </c>
    </row>
    <row r="1215" spans="3:5">
      <c r="C1215" s="141">
        <v>11174</v>
      </c>
      <c r="D1215" s="144">
        <v>0.2</v>
      </c>
      <c r="E1215" s="144">
        <v>0.56999999999999995</v>
      </c>
    </row>
    <row r="1216" spans="3:5">
      <c r="C1216" s="141">
        <v>11174.5</v>
      </c>
      <c r="D1216" s="144">
        <v>0.2</v>
      </c>
      <c r="E1216" s="144">
        <v>0.56000000000000005</v>
      </c>
    </row>
    <row r="1217" spans="3:5">
      <c r="C1217" s="141">
        <v>11175</v>
      </c>
      <c r="D1217" s="144">
        <v>0.2</v>
      </c>
      <c r="E1217" s="144">
        <v>0.57999999999999996</v>
      </c>
    </row>
    <row r="1218" spans="3:5">
      <c r="C1218" s="141">
        <v>11175.5</v>
      </c>
      <c r="D1218" s="144">
        <v>0.2</v>
      </c>
      <c r="E1218" s="144">
        <v>0.57999999999999996</v>
      </c>
    </row>
    <row r="1219" spans="3:5">
      <c r="C1219" s="141">
        <v>11176</v>
      </c>
      <c r="D1219" s="144">
        <v>0.2</v>
      </c>
      <c r="E1219" s="144">
        <v>0.59</v>
      </c>
    </row>
    <row r="1220" spans="3:5">
      <c r="C1220" s="141">
        <v>11176.5</v>
      </c>
      <c r="D1220" s="144">
        <v>0.19</v>
      </c>
      <c r="E1220" s="144">
        <v>0.6</v>
      </c>
    </row>
    <row r="1221" spans="3:5">
      <c r="C1221" s="141">
        <v>11177</v>
      </c>
      <c r="D1221" s="144">
        <v>0.19</v>
      </c>
      <c r="E1221" s="144">
        <v>0.6</v>
      </c>
    </row>
    <row r="1222" spans="3:5">
      <c r="C1222" s="141">
        <v>11177.5</v>
      </c>
      <c r="D1222" s="144">
        <v>0.2</v>
      </c>
      <c r="E1222" s="144">
        <v>0.59</v>
      </c>
    </row>
    <row r="1223" spans="3:5">
      <c r="C1223" s="141">
        <v>11178</v>
      </c>
      <c r="D1223" s="144">
        <v>0.19</v>
      </c>
      <c r="E1223" s="144">
        <v>0.6</v>
      </c>
    </row>
    <row r="1224" spans="3:5">
      <c r="C1224" s="141">
        <v>11178.5</v>
      </c>
      <c r="D1224" s="144">
        <v>0.2</v>
      </c>
      <c r="E1224" s="144">
        <v>0.57999999999999996</v>
      </c>
    </row>
    <row r="1225" spans="3:5">
      <c r="C1225" s="141">
        <v>11179</v>
      </c>
      <c r="D1225" s="144">
        <v>0.19</v>
      </c>
      <c r="E1225" s="144">
        <v>0.6</v>
      </c>
    </row>
    <row r="1226" spans="3:5">
      <c r="C1226" s="141">
        <v>11179.5</v>
      </c>
      <c r="D1226" s="144">
        <v>0.19</v>
      </c>
      <c r="E1226" s="144">
        <v>0.59</v>
      </c>
    </row>
    <row r="1227" spans="3:5">
      <c r="C1227" s="141">
        <v>11180</v>
      </c>
      <c r="D1227" s="144">
        <v>0.19</v>
      </c>
      <c r="E1227" s="144">
        <v>0.59</v>
      </c>
    </row>
    <row r="1228" spans="3:5">
      <c r="C1228" s="141">
        <v>11180.5</v>
      </c>
      <c r="D1228" s="144">
        <v>0.19</v>
      </c>
      <c r="E1228" s="144">
        <v>0.56999999999999995</v>
      </c>
    </row>
    <row r="1229" spans="3:5">
      <c r="C1229" s="141">
        <v>11181</v>
      </c>
      <c r="D1229" s="144">
        <v>0.19</v>
      </c>
      <c r="E1229" s="144">
        <v>0.53</v>
      </c>
    </row>
    <row r="1230" spans="3:5">
      <c r="C1230" s="141">
        <v>11181.5</v>
      </c>
      <c r="D1230" s="144">
        <v>0.19</v>
      </c>
      <c r="E1230" s="144">
        <v>0.53</v>
      </c>
    </row>
    <row r="1231" spans="3:5">
      <c r="C1231" s="141">
        <v>11182</v>
      </c>
      <c r="D1231" s="144">
        <v>0.2</v>
      </c>
      <c r="E1231" s="144">
        <v>0.51</v>
      </c>
    </row>
    <row r="1232" spans="3:5">
      <c r="C1232" s="141">
        <v>11182.5</v>
      </c>
      <c r="D1232" s="144">
        <v>0.2</v>
      </c>
      <c r="E1232" s="144">
        <v>0.52</v>
      </c>
    </row>
    <row r="1233" spans="3:5">
      <c r="C1233" s="141">
        <v>11183</v>
      </c>
      <c r="D1233" s="144">
        <v>0.19</v>
      </c>
      <c r="E1233" s="144">
        <v>0.54</v>
      </c>
    </row>
    <row r="1234" spans="3:5">
      <c r="C1234" s="141">
        <v>11183.5</v>
      </c>
      <c r="D1234" s="144">
        <v>0.19</v>
      </c>
      <c r="E1234" s="144">
        <v>0.56000000000000005</v>
      </c>
    </row>
    <row r="1235" spans="3:5">
      <c r="C1235" s="141">
        <v>11184</v>
      </c>
      <c r="D1235" s="144">
        <v>0.19</v>
      </c>
      <c r="E1235" s="144">
        <v>0.57999999999999996</v>
      </c>
    </row>
    <row r="1236" spans="3:5">
      <c r="C1236" s="141">
        <v>11184.5</v>
      </c>
      <c r="D1236" s="144">
        <v>0.19</v>
      </c>
      <c r="E1236" s="144">
        <v>0.59</v>
      </c>
    </row>
    <row r="1237" spans="3:5">
      <c r="C1237" s="141">
        <v>11185</v>
      </c>
      <c r="D1237" s="144">
        <v>0.18</v>
      </c>
      <c r="E1237" s="144">
        <v>0.62</v>
      </c>
    </row>
    <row r="1238" spans="3:5">
      <c r="C1238" s="141">
        <v>11185.5</v>
      </c>
      <c r="D1238" s="144">
        <v>0.19</v>
      </c>
      <c r="E1238" s="144">
        <v>0.6</v>
      </c>
    </row>
    <row r="1239" spans="3:5">
      <c r="C1239" s="141">
        <v>11186</v>
      </c>
      <c r="D1239" s="144">
        <v>0.19</v>
      </c>
      <c r="E1239" s="144">
        <v>0.56999999999999995</v>
      </c>
    </row>
    <row r="1240" spans="3:5">
      <c r="C1240" s="141">
        <v>11186.5</v>
      </c>
      <c r="D1240" s="144">
        <v>0.19</v>
      </c>
      <c r="E1240" s="144">
        <v>0.54</v>
      </c>
    </row>
    <row r="1241" spans="3:5">
      <c r="C1241" s="141">
        <v>11187</v>
      </c>
      <c r="D1241" s="144">
        <v>0.21</v>
      </c>
      <c r="E1241" s="144">
        <v>0.48</v>
      </c>
    </row>
    <row r="1242" spans="3:5">
      <c r="C1242" s="141">
        <v>11187.5</v>
      </c>
      <c r="D1242" s="144">
        <v>0.16</v>
      </c>
      <c r="E1242" s="144">
        <v>0.46</v>
      </c>
    </row>
    <row r="1243" spans="3:5">
      <c r="C1243" s="141">
        <v>11188</v>
      </c>
      <c r="D1243" s="144">
        <v>0.21</v>
      </c>
      <c r="E1243" s="144">
        <v>0.47</v>
      </c>
    </row>
    <row r="1244" spans="3:5">
      <c r="C1244" s="141">
        <v>11188.5</v>
      </c>
      <c r="D1244" s="144">
        <v>0.2</v>
      </c>
      <c r="E1244" s="144">
        <v>0.47</v>
      </c>
    </row>
    <row r="1245" spans="3:5">
      <c r="C1245" s="141">
        <v>11189</v>
      </c>
      <c r="D1245" s="144">
        <v>0.2</v>
      </c>
      <c r="E1245" s="144">
        <v>0.48</v>
      </c>
    </row>
    <row r="1246" spans="3:5">
      <c r="C1246" s="141">
        <v>11189.5</v>
      </c>
      <c r="D1246" s="144">
        <v>0.2</v>
      </c>
      <c r="E1246" s="144">
        <v>0.5</v>
      </c>
    </row>
    <row r="1247" spans="3:5">
      <c r="C1247" s="141">
        <v>11190</v>
      </c>
      <c r="D1247" s="144">
        <v>0.19</v>
      </c>
      <c r="E1247" s="144">
        <v>0.56000000000000005</v>
      </c>
    </row>
    <row r="1248" spans="3:5">
      <c r="C1248" s="141">
        <v>11190.5</v>
      </c>
      <c r="D1248" s="144">
        <v>0.18</v>
      </c>
      <c r="E1248" s="144">
        <v>0.62</v>
      </c>
    </row>
    <row r="1249" spans="3:5">
      <c r="C1249" s="141">
        <v>11191</v>
      </c>
      <c r="D1249" s="144">
        <v>0.18</v>
      </c>
      <c r="E1249" s="144">
        <v>0.63</v>
      </c>
    </row>
    <row r="1250" spans="3:5">
      <c r="C1250" s="141">
        <v>11191.5</v>
      </c>
      <c r="D1250" s="144">
        <v>0.18</v>
      </c>
      <c r="E1250" s="144">
        <v>0.59</v>
      </c>
    </row>
    <row r="1251" spans="3:5">
      <c r="C1251" s="141">
        <v>11192</v>
      </c>
      <c r="D1251" s="144">
        <v>0.19</v>
      </c>
      <c r="E1251" s="144">
        <v>0.56999999999999995</v>
      </c>
    </row>
    <row r="1252" spans="3:5">
      <c r="C1252" s="141">
        <v>11192.5</v>
      </c>
      <c r="D1252" s="144">
        <v>0.19</v>
      </c>
      <c r="E1252" s="144">
        <v>0.56999999999999995</v>
      </c>
    </row>
    <row r="1253" spans="3:5">
      <c r="C1253" s="141">
        <v>11193</v>
      </c>
      <c r="D1253" s="144">
        <v>0.18</v>
      </c>
      <c r="E1253" s="144">
        <v>0.6</v>
      </c>
    </row>
    <row r="1254" spans="3:5">
      <c r="C1254" s="141">
        <v>11193.5</v>
      </c>
      <c r="D1254" s="144">
        <v>0.18</v>
      </c>
      <c r="E1254" s="144">
        <v>0.63</v>
      </c>
    </row>
    <row r="1255" spans="3:5">
      <c r="C1255" s="141">
        <v>11194</v>
      </c>
      <c r="D1255" s="144">
        <v>0.18</v>
      </c>
      <c r="E1255" s="144">
        <v>0.61</v>
      </c>
    </row>
    <row r="1256" spans="3:5">
      <c r="C1256" s="141">
        <v>11194.5</v>
      </c>
      <c r="D1256" s="144">
        <v>0.19</v>
      </c>
      <c r="E1256" s="144">
        <v>0.57999999999999996</v>
      </c>
    </row>
    <row r="1257" spans="3:5">
      <c r="C1257" s="141">
        <v>11195</v>
      </c>
      <c r="D1257" s="144">
        <v>0.19</v>
      </c>
      <c r="E1257" s="144">
        <v>0.59</v>
      </c>
    </row>
    <row r="1258" spans="3:5">
      <c r="C1258" s="141">
        <v>11195.5</v>
      </c>
      <c r="D1258" s="144">
        <v>0.18</v>
      </c>
      <c r="E1258" s="144">
        <v>0.63</v>
      </c>
    </row>
    <row r="1259" spans="3:5">
      <c r="C1259" s="141">
        <v>11196</v>
      </c>
      <c r="D1259" s="144">
        <v>0.19</v>
      </c>
      <c r="E1259" s="144">
        <v>0.62</v>
      </c>
    </row>
    <row r="1260" spans="3:5">
      <c r="C1260" s="141">
        <v>11196.5</v>
      </c>
      <c r="D1260" s="144">
        <v>0.19</v>
      </c>
      <c r="E1260" s="144">
        <v>0.6</v>
      </c>
    </row>
    <row r="1261" spans="3:5">
      <c r="C1261" s="141">
        <v>11197</v>
      </c>
      <c r="D1261" s="144">
        <v>0.19</v>
      </c>
      <c r="E1261" s="144">
        <v>0.6</v>
      </c>
    </row>
    <row r="1262" spans="3:5">
      <c r="C1262" s="141">
        <v>11197.5</v>
      </c>
      <c r="D1262" s="144">
        <v>0.2</v>
      </c>
      <c r="E1262" s="144">
        <v>0.6</v>
      </c>
    </row>
    <row r="1263" spans="3:5">
      <c r="C1263" s="141">
        <v>11198</v>
      </c>
      <c r="D1263" s="144">
        <v>0.2</v>
      </c>
      <c r="E1263" s="144">
        <v>0.6</v>
      </c>
    </row>
    <row r="1264" spans="3:5">
      <c r="C1264" s="141">
        <v>11198.5</v>
      </c>
      <c r="D1264" s="144">
        <v>0.2</v>
      </c>
      <c r="E1264" s="144">
        <v>0.61</v>
      </c>
    </row>
    <row r="1265" spans="3:5">
      <c r="C1265" s="141">
        <v>11199</v>
      </c>
      <c r="D1265" s="144">
        <v>0.21</v>
      </c>
      <c r="E1265" s="144">
        <v>0.56999999999999995</v>
      </c>
    </row>
    <row r="1266" spans="3:5">
      <c r="C1266" s="141">
        <v>11199.5</v>
      </c>
      <c r="D1266" s="144">
        <v>0.21</v>
      </c>
      <c r="E1266" s="144">
        <v>0.57999999999999996</v>
      </c>
    </row>
    <row r="1267" spans="3:5">
      <c r="C1267" s="141">
        <v>11200</v>
      </c>
      <c r="D1267" s="144">
        <v>0.21</v>
      </c>
      <c r="E1267" s="144">
        <v>0.56999999999999995</v>
      </c>
    </row>
    <row r="1268" spans="3:5">
      <c r="C1268" s="141">
        <v>11200.5</v>
      </c>
      <c r="D1268" s="144">
        <v>0.16</v>
      </c>
      <c r="E1268" s="144">
        <v>0.54</v>
      </c>
    </row>
    <row r="1269" spans="3:5">
      <c r="C1269" s="141">
        <v>11201</v>
      </c>
      <c r="D1269" s="144">
        <v>0.16</v>
      </c>
      <c r="E1269" s="144">
        <v>0.51</v>
      </c>
    </row>
    <row r="1270" spans="3:5">
      <c r="C1270" s="141">
        <v>11201.5</v>
      </c>
      <c r="D1270" s="144">
        <v>0.17</v>
      </c>
      <c r="E1270" s="144">
        <v>0.5</v>
      </c>
    </row>
    <row r="1271" spans="3:5">
      <c r="C1271" s="141">
        <v>11202</v>
      </c>
      <c r="D1271" s="144">
        <v>0.17</v>
      </c>
      <c r="E1271" s="144">
        <v>0.48</v>
      </c>
    </row>
    <row r="1272" spans="3:5">
      <c r="C1272" s="141">
        <v>11202.5</v>
      </c>
      <c r="D1272" s="144">
        <v>0.21</v>
      </c>
      <c r="E1272" s="144">
        <v>0.49</v>
      </c>
    </row>
    <row r="1273" spans="3:5">
      <c r="C1273" s="141">
        <v>11203</v>
      </c>
      <c r="D1273" s="144">
        <v>0.21</v>
      </c>
      <c r="E1273" s="144">
        <v>0.48</v>
      </c>
    </row>
    <row r="1274" spans="3:5">
      <c r="C1274" s="141">
        <v>11203.5</v>
      </c>
      <c r="D1274" s="144">
        <v>0.21</v>
      </c>
      <c r="E1274" s="144">
        <v>0.46</v>
      </c>
    </row>
    <row r="1275" spans="3:5">
      <c r="C1275" s="141">
        <v>11204</v>
      </c>
      <c r="D1275" s="144">
        <v>0.21</v>
      </c>
      <c r="E1275" s="144">
        <v>0.47</v>
      </c>
    </row>
    <row r="1276" spans="3:5">
      <c r="C1276" s="141">
        <v>11204.5</v>
      </c>
      <c r="D1276" s="144">
        <v>0.21</v>
      </c>
      <c r="E1276" s="144">
        <v>0.49</v>
      </c>
    </row>
    <row r="1277" spans="3:5">
      <c r="C1277" s="141">
        <v>11205</v>
      </c>
      <c r="D1277" s="144">
        <v>0.2</v>
      </c>
      <c r="E1277" s="144">
        <v>0.52</v>
      </c>
    </row>
    <row r="1278" spans="3:5">
      <c r="C1278" s="141">
        <v>11205.5</v>
      </c>
      <c r="D1278" s="144">
        <v>0.19</v>
      </c>
      <c r="E1278" s="144">
        <v>0.57999999999999996</v>
      </c>
    </row>
    <row r="1279" spans="3:5">
      <c r="C1279" s="141">
        <v>11206</v>
      </c>
      <c r="D1279" s="144">
        <v>0.18</v>
      </c>
      <c r="E1279" s="144">
        <v>0.63</v>
      </c>
    </row>
    <row r="1280" spans="3:5">
      <c r="C1280" s="141">
        <v>11206.5</v>
      </c>
      <c r="D1280" s="144">
        <v>0.18</v>
      </c>
      <c r="E1280" s="144">
        <v>0.66</v>
      </c>
    </row>
    <row r="1281" spans="3:5">
      <c r="C1281" s="141">
        <v>11207</v>
      </c>
      <c r="D1281" s="144">
        <v>0.18</v>
      </c>
      <c r="E1281" s="144">
        <v>0.67</v>
      </c>
    </row>
    <row r="1282" spans="3:5">
      <c r="C1282" s="141">
        <v>11207.5</v>
      </c>
      <c r="D1282" s="144">
        <v>0.18</v>
      </c>
      <c r="E1282" s="144">
        <v>0.68</v>
      </c>
    </row>
    <row r="1283" spans="3:5">
      <c r="C1283" s="141">
        <v>11208</v>
      </c>
      <c r="D1283" s="144">
        <v>0.19</v>
      </c>
      <c r="E1283" s="144">
        <v>0.65</v>
      </c>
    </row>
    <row r="1284" spans="3:5">
      <c r="C1284" s="141">
        <v>11208.5</v>
      </c>
      <c r="D1284" s="144">
        <v>0.19</v>
      </c>
      <c r="E1284" s="144">
        <v>0.64</v>
      </c>
    </row>
    <row r="1285" spans="3:5">
      <c r="C1285" s="141">
        <v>11209</v>
      </c>
      <c r="D1285" s="144">
        <v>0.18</v>
      </c>
      <c r="E1285" s="144">
        <v>0.64</v>
      </c>
    </row>
    <row r="1286" spans="3:5">
      <c r="C1286" s="141">
        <v>11209.5</v>
      </c>
      <c r="D1286" s="144">
        <v>0.19</v>
      </c>
      <c r="E1286" s="144">
        <v>0.61</v>
      </c>
    </row>
    <row r="1287" spans="3:5">
      <c r="C1287" s="141">
        <v>11210</v>
      </c>
      <c r="D1287" s="144">
        <v>0.19</v>
      </c>
      <c r="E1287" s="144">
        <v>0.61</v>
      </c>
    </row>
    <row r="1288" spans="3:5">
      <c r="C1288" s="141">
        <v>11210.5</v>
      </c>
      <c r="D1288" s="144">
        <v>0.19</v>
      </c>
      <c r="E1288" s="144">
        <v>0.59</v>
      </c>
    </row>
    <row r="1289" spans="3:5">
      <c r="C1289" s="141">
        <v>11211</v>
      </c>
      <c r="D1289" s="144">
        <v>0.19</v>
      </c>
      <c r="E1289" s="144">
        <v>0.64</v>
      </c>
    </row>
    <row r="1290" spans="3:5">
      <c r="C1290" s="141">
        <v>11211.5</v>
      </c>
      <c r="D1290" s="144">
        <v>0.19</v>
      </c>
      <c r="E1290" s="144">
        <v>0.63</v>
      </c>
    </row>
    <row r="1291" spans="3:5">
      <c r="C1291" s="141">
        <v>11212</v>
      </c>
      <c r="D1291" s="144">
        <v>0.19</v>
      </c>
      <c r="E1291" s="144">
        <v>0.62</v>
      </c>
    </row>
    <row r="1292" spans="3:5">
      <c r="C1292" s="141">
        <v>11212.5</v>
      </c>
      <c r="D1292" s="144">
        <v>0.19</v>
      </c>
      <c r="E1292" s="144">
        <v>0.6</v>
      </c>
    </row>
    <row r="1293" spans="3:5">
      <c r="C1293" s="141">
        <v>11213</v>
      </c>
      <c r="D1293" s="144">
        <v>0.2</v>
      </c>
      <c r="E1293" s="144">
        <v>0.54</v>
      </c>
    </row>
    <row r="1294" spans="3:5">
      <c r="C1294" s="141">
        <v>11213.5</v>
      </c>
      <c r="D1294" s="144">
        <v>0.2</v>
      </c>
      <c r="E1294" s="144">
        <v>0.54</v>
      </c>
    </row>
    <row r="1295" spans="3:5">
      <c r="C1295" s="141">
        <v>11214</v>
      </c>
      <c r="D1295" s="144">
        <v>0.19</v>
      </c>
      <c r="E1295" s="144">
        <v>0.57999999999999996</v>
      </c>
    </row>
    <row r="1296" spans="3:5">
      <c r="C1296" s="141">
        <v>11214.5</v>
      </c>
      <c r="D1296" s="144">
        <v>0.19</v>
      </c>
      <c r="E1296" s="144">
        <v>0.61</v>
      </c>
    </row>
    <row r="1297" spans="3:5">
      <c r="C1297" s="141">
        <v>11215</v>
      </c>
      <c r="D1297" s="144">
        <v>0.19</v>
      </c>
      <c r="E1297" s="144">
        <v>0.61</v>
      </c>
    </row>
    <row r="1298" spans="3:5">
      <c r="C1298" s="141">
        <v>11215.5</v>
      </c>
      <c r="D1298" s="144">
        <v>0.19</v>
      </c>
      <c r="E1298" s="144">
        <v>0.62</v>
      </c>
    </row>
    <row r="1299" spans="3:5">
      <c r="C1299" s="141">
        <v>11216</v>
      </c>
      <c r="D1299" s="144">
        <v>0.19</v>
      </c>
      <c r="E1299" s="144">
        <v>0.64</v>
      </c>
    </row>
    <row r="1300" spans="3:5">
      <c r="C1300" s="141">
        <v>11216.5</v>
      </c>
      <c r="D1300" s="144">
        <v>0.19</v>
      </c>
      <c r="E1300" s="144">
        <v>0.66</v>
      </c>
    </row>
    <row r="1301" spans="3:5">
      <c r="C1301" s="141">
        <v>11217</v>
      </c>
      <c r="D1301" s="144">
        <v>0.19</v>
      </c>
      <c r="E1301" s="144">
        <v>0.67</v>
      </c>
    </row>
    <row r="1302" spans="3:5">
      <c r="C1302" s="141">
        <v>11217.5</v>
      </c>
      <c r="D1302" s="144">
        <v>0.19</v>
      </c>
      <c r="E1302" s="144">
        <v>0.65</v>
      </c>
    </row>
    <row r="1303" spans="3:5">
      <c r="C1303" s="141">
        <v>11218</v>
      </c>
      <c r="D1303" s="144">
        <v>0.19</v>
      </c>
      <c r="E1303" s="144">
        <v>0.65</v>
      </c>
    </row>
    <row r="1304" spans="3:5">
      <c r="C1304" s="141">
        <v>11218.5</v>
      </c>
      <c r="D1304" s="144">
        <v>0.19</v>
      </c>
      <c r="E1304" s="144">
        <v>0.62</v>
      </c>
    </row>
    <row r="1305" spans="3:5">
      <c r="C1305" s="141">
        <v>11219</v>
      </c>
      <c r="D1305" s="144">
        <v>0.2</v>
      </c>
      <c r="E1305" s="144">
        <v>0.64</v>
      </c>
    </row>
    <row r="1306" spans="3:5">
      <c r="C1306" s="141">
        <v>11219.5</v>
      </c>
      <c r="D1306" s="144">
        <v>0.2</v>
      </c>
      <c r="E1306" s="144">
        <v>0.62</v>
      </c>
    </row>
    <row r="1307" spans="3:5">
      <c r="C1307" s="141">
        <v>11220</v>
      </c>
      <c r="D1307" s="144">
        <v>0.19</v>
      </c>
      <c r="E1307" s="144">
        <v>0.63</v>
      </c>
    </row>
    <row r="1308" spans="3:5">
      <c r="C1308" s="141">
        <v>11220.5</v>
      </c>
      <c r="D1308" s="144">
        <v>0.18</v>
      </c>
      <c r="E1308" s="144">
        <v>0.69</v>
      </c>
    </row>
    <row r="1309" spans="3:5">
      <c r="C1309" s="141">
        <v>11221</v>
      </c>
      <c r="D1309" s="144">
        <v>0.18</v>
      </c>
      <c r="E1309" s="144">
        <v>0.72</v>
      </c>
    </row>
    <row r="1310" spans="3:5">
      <c r="C1310" s="141">
        <v>11221.5</v>
      </c>
      <c r="D1310" s="144">
        <v>0.18</v>
      </c>
      <c r="E1310" s="144">
        <v>0.74</v>
      </c>
    </row>
    <row r="1311" spans="3:5">
      <c r="C1311" s="141">
        <v>11222</v>
      </c>
      <c r="D1311" s="144">
        <v>0.18</v>
      </c>
      <c r="E1311" s="144">
        <v>0.71</v>
      </c>
    </row>
    <row r="1312" spans="3:5">
      <c r="C1312" s="141">
        <v>11222.5</v>
      </c>
      <c r="D1312" s="144">
        <v>0.19</v>
      </c>
      <c r="E1312" s="144">
        <v>0.67</v>
      </c>
    </row>
    <row r="1313" spans="3:5">
      <c r="C1313" s="141">
        <v>11223</v>
      </c>
      <c r="D1313" s="144">
        <v>0.19</v>
      </c>
      <c r="E1313" s="144">
        <v>0.64</v>
      </c>
    </row>
    <row r="1314" spans="3:5">
      <c r="C1314" s="141">
        <v>11223.5</v>
      </c>
      <c r="D1314" s="144">
        <v>0.19</v>
      </c>
      <c r="E1314" s="144">
        <v>0.65</v>
      </c>
    </row>
    <row r="1315" spans="3:5">
      <c r="C1315" s="141">
        <v>11224</v>
      </c>
      <c r="D1315" s="144">
        <v>0.18</v>
      </c>
      <c r="E1315" s="144">
        <v>0.66</v>
      </c>
    </row>
    <row r="1316" spans="3:5">
      <c r="C1316" s="141">
        <v>11224.5</v>
      </c>
      <c r="D1316" s="144">
        <v>0.19</v>
      </c>
      <c r="E1316" s="144">
        <v>0.61</v>
      </c>
    </row>
    <row r="1317" spans="3:5">
      <c r="C1317" s="141">
        <v>11225</v>
      </c>
      <c r="D1317" s="144">
        <v>0.2</v>
      </c>
      <c r="E1317" s="144">
        <v>0.54</v>
      </c>
    </row>
    <row r="1318" spans="3:5">
      <c r="C1318" s="141">
        <v>11225.5</v>
      </c>
      <c r="D1318" s="144">
        <v>0.2</v>
      </c>
      <c r="E1318" s="144">
        <v>0.55000000000000004</v>
      </c>
    </row>
    <row r="1319" spans="3:5">
      <c r="C1319" s="141">
        <v>11226</v>
      </c>
      <c r="D1319" s="144">
        <v>0.19</v>
      </c>
      <c r="E1319" s="144">
        <v>0.59</v>
      </c>
    </row>
    <row r="1320" spans="3:5">
      <c r="C1320" s="141">
        <v>11226.5</v>
      </c>
      <c r="D1320" s="144">
        <v>0.19</v>
      </c>
      <c r="E1320" s="144">
        <v>0.6</v>
      </c>
    </row>
    <row r="1321" spans="3:5">
      <c r="C1321" s="141">
        <v>11227</v>
      </c>
      <c r="D1321" s="144">
        <v>0.19</v>
      </c>
      <c r="E1321" s="144">
        <v>0.56999999999999995</v>
      </c>
    </row>
    <row r="1322" spans="3:5">
      <c r="C1322" s="141">
        <v>11227.5</v>
      </c>
      <c r="D1322" s="144">
        <v>0.2</v>
      </c>
      <c r="E1322" s="144">
        <v>0.54</v>
      </c>
    </row>
    <row r="1323" spans="3:5">
      <c r="C1323" s="141">
        <v>11228</v>
      </c>
      <c r="D1323" s="144">
        <v>0.2</v>
      </c>
      <c r="E1323" s="144">
        <v>0.52</v>
      </c>
    </row>
    <row r="1324" spans="3:5">
      <c r="C1324" s="141">
        <v>11228.5</v>
      </c>
      <c r="D1324" s="144">
        <v>0.2</v>
      </c>
      <c r="E1324" s="144">
        <v>0.52</v>
      </c>
    </row>
    <row r="1325" spans="3:5">
      <c r="C1325" s="141">
        <v>11229</v>
      </c>
      <c r="D1325" s="144">
        <v>0.2</v>
      </c>
      <c r="E1325" s="144">
        <v>0.49</v>
      </c>
    </row>
    <row r="1326" spans="3:5">
      <c r="C1326" s="141">
        <v>11229.5</v>
      </c>
      <c r="D1326" s="144">
        <v>0.2</v>
      </c>
      <c r="E1326" s="144">
        <v>0.49</v>
      </c>
    </row>
    <row r="1327" spans="3:5">
      <c r="C1327" s="141">
        <v>11230</v>
      </c>
      <c r="D1327" s="144">
        <v>0.2</v>
      </c>
      <c r="E1327" s="144">
        <v>0.49</v>
      </c>
    </row>
    <row r="1328" spans="3:5">
      <c r="C1328" s="141">
        <v>11230.5</v>
      </c>
      <c r="D1328" s="144">
        <v>0.2</v>
      </c>
      <c r="E1328" s="144">
        <v>0.48</v>
      </c>
    </row>
    <row r="1329" spans="3:5">
      <c r="C1329" s="141">
        <v>11231</v>
      </c>
      <c r="D1329" s="144">
        <v>0.21</v>
      </c>
      <c r="E1329" s="144">
        <v>0.47</v>
      </c>
    </row>
    <row r="1330" spans="3:5">
      <c r="C1330" s="141">
        <v>11231.5</v>
      </c>
      <c r="D1330" s="144">
        <v>0.2</v>
      </c>
      <c r="E1330" s="144">
        <v>0.48</v>
      </c>
    </row>
    <row r="1331" spans="3:5">
      <c r="C1331" s="141">
        <v>11232</v>
      </c>
      <c r="D1331" s="144">
        <v>0.21</v>
      </c>
      <c r="E1331" s="144">
        <v>0.48</v>
      </c>
    </row>
    <row r="1332" spans="3:5">
      <c r="C1332" s="141">
        <v>11232.5</v>
      </c>
      <c r="D1332" s="144">
        <v>0.21</v>
      </c>
      <c r="E1332" s="144">
        <v>0.47</v>
      </c>
    </row>
    <row r="1333" spans="3:5">
      <c r="C1333" s="141">
        <v>11233</v>
      </c>
      <c r="D1333" s="144">
        <v>0.21</v>
      </c>
      <c r="E1333" s="144">
        <v>0.48</v>
      </c>
    </row>
    <row r="1334" spans="3:5">
      <c r="C1334" s="141">
        <v>11233.5</v>
      </c>
      <c r="D1334" s="144">
        <v>0.2</v>
      </c>
      <c r="E1334" s="144">
        <v>0.5</v>
      </c>
    </row>
    <row r="1335" spans="3:5">
      <c r="C1335" s="141">
        <v>11234</v>
      </c>
      <c r="D1335" s="144">
        <v>0.2</v>
      </c>
      <c r="E1335" s="144">
        <v>0.5</v>
      </c>
    </row>
    <row r="1336" spans="3:5">
      <c r="C1336" s="141">
        <v>11234.5</v>
      </c>
      <c r="D1336" s="144">
        <v>0.2</v>
      </c>
      <c r="E1336" s="144">
        <v>0.52</v>
      </c>
    </row>
    <row r="1337" spans="3:5">
      <c r="C1337" s="141">
        <v>11235</v>
      </c>
      <c r="D1337" s="144">
        <v>0.2</v>
      </c>
      <c r="E1337" s="144">
        <v>0.53</v>
      </c>
    </row>
    <row r="1338" spans="3:5">
      <c r="C1338" s="141">
        <v>11235.5</v>
      </c>
      <c r="D1338" s="144">
        <v>0.2</v>
      </c>
      <c r="E1338" s="144">
        <v>0.52</v>
      </c>
    </row>
    <row r="1339" spans="3:5">
      <c r="C1339" s="141">
        <v>11236</v>
      </c>
      <c r="D1339" s="144">
        <v>0.2</v>
      </c>
      <c r="E1339" s="144">
        <v>0.51</v>
      </c>
    </row>
    <row r="1340" spans="3:5">
      <c r="C1340" s="141">
        <v>11236.5</v>
      </c>
      <c r="D1340" s="144">
        <v>0.2</v>
      </c>
      <c r="E1340" s="144">
        <v>0.5</v>
      </c>
    </row>
    <row r="1341" spans="3:5">
      <c r="C1341" s="141">
        <v>11237</v>
      </c>
      <c r="D1341" s="144">
        <v>0.2</v>
      </c>
      <c r="E1341" s="144">
        <v>0.48</v>
      </c>
    </row>
    <row r="1342" spans="3:5">
      <c r="C1342" s="141">
        <v>11237.5</v>
      </c>
      <c r="D1342" s="144">
        <v>0.2</v>
      </c>
      <c r="E1342" s="144">
        <v>0.49</v>
      </c>
    </row>
    <row r="1343" spans="3:5">
      <c r="C1343" s="141">
        <v>11238</v>
      </c>
      <c r="D1343" s="144">
        <v>0.2</v>
      </c>
      <c r="E1343" s="144">
        <v>0.47</v>
      </c>
    </row>
    <row r="1344" spans="3:5">
      <c r="C1344" s="141">
        <v>11238.5</v>
      </c>
      <c r="D1344" s="144">
        <v>0.21</v>
      </c>
      <c r="E1344" s="144">
        <v>0.45</v>
      </c>
    </row>
    <row r="1345" spans="3:5">
      <c r="C1345" s="141">
        <v>11239</v>
      </c>
      <c r="D1345" s="144">
        <v>0.2</v>
      </c>
      <c r="E1345" s="144">
        <v>0.46</v>
      </c>
    </row>
    <row r="1346" spans="3:5">
      <c r="C1346" s="141">
        <v>11239.5</v>
      </c>
      <c r="D1346" s="144">
        <v>0.2</v>
      </c>
      <c r="E1346" s="144">
        <v>0.46</v>
      </c>
    </row>
    <row r="1347" spans="3:5">
      <c r="C1347" s="141">
        <v>11240</v>
      </c>
      <c r="D1347" s="144">
        <v>0.21</v>
      </c>
      <c r="E1347" s="144">
        <v>0.46</v>
      </c>
    </row>
    <row r="1348" spans="3:5">
      <c r="C1348" s="141">
        <v>11240.5</v>
      </c>
      <c r="D1348" s="144">
        <v>0.18</v>
      </c>
      <c r="E1348" s="144">
        <v>0.44</v>
      </c>
    </row>
    <row r="1349" spans="3:5">
      <c r="C1349" s="141">
        <v>11241</v>
      </c>
      <c r="D1349" s="144">
        <v>0.19</v>
      </c>
      <c r="E1349" s="144">
        <v>0.44</v>
      </c>
    </row>
    <row r="1350" spans="3:5">
      <c r="C1350" s="141">
        <v>11241.5</v>
      </c>
      <c r="D1350" s="144">
        <v>0.21</v>
      </c>
      <c r="E1350" s="144">
        <v>0.45</v>
      </c>
    </row>
    <row r="1351" spans="3:5">
      <c r="C1351" s="141">
        <v>11242</v>
      </c>
      <c r="D1351" s="144">
        <v>0.2</v>
      </c>
      <c r="E1351" s="144">
        <v>0.48</v>
      </c>
    </row>
    <row r="1352" spans="3:5">
      <c r="C1352" s="141">
        <v>11242.5</v>
      </c>
      <c r="D1352" s="144">
        <v>0.2</v>
      </c>
      <c r="E1352" s="144">
        <v>0.48</v>
      </c>
    </row>
    <row r="1353" spans="3:5">
      <c r="C1353" s="141">
        <v>11243</v>
      </c>
      <c r="D1353" s="144">
        <v>0.21</v>
      </c>
      <c r="E1353" s="144">
        <v>0.48</v>
      </c>
    </row>
    <row r="1354" spans="3:5">
      <c r="C1354" s="141">
        <v>11243.5</v>
      </c>
      <c r="D1354" s="144">
        <v>0.2</v>
      </c>
      <c r="E1354" s="144">
        <v>0.49</v>
      </c>
    </row>
    <row r="1355" spans="3:5">
      <c r="C1355" s="141">
        <v>11244</v>
      </c>
      <c r="D1355" s="144">
        <v>0.2</v>
      </c>
      <c r="E1355" s="144">
        <v>0.49</v>
      </c>
    </row>
    <row r="1356" spans="3:5">
      <c r="C1356" s="141">
        <v>11244.5</v>
      </c>
      <c r="D1356" s="144">
        <v>0.2</v>
      </c>
      <c r="E1356" s="144">
        <v>0.47</v>
      </c>
    </row>
    <row r="1357" spans="3:5">
      <c r="C1357" s="141">
        <v>11245</v>
      </c>
      <c r="D1357" s="144">
        <v>0.21</v>
      </c>
      <c r="E1357" s="144">
        <v>0.46</v>
      </c>
    </row>
    <row r="1358" spans="3:5">
      <c r="C1358" s="141">
        <v>11245.5</v>
      </c>
      <c r="D1358" s="144">
        <v>0.17</v>
      </c>
      <c r="E1358" s="144">
        <v>0.45</v>
      </c>
    </row>
    <row r="1359" spans="3:5">
      <c r="C1359" s="141">
        <v>11246</v>
      </c>
      <c r="D1359" s="144">
        <v>0.17</v>
      </c>
      <c r="E1359" s="144">
        <v>0.46</v>
      </c>
    </row>
    <row r="1360" spans="3:5">
      <c r="C1360" s="141">
        <v>11246.5</v>
      </c>
      <c r="D1360" s="144">
        <v>0.21</v>
      </c>
      <c r="E1360" s="144">
        <v>0.48</v>
      </c>
    </row>
    <row r="1361" spans="3:5">
      <c r="C1361" s="141">
        <v>11247</v>
      </c>
      <c r="D1361" s="144">
        <v>0.2</v>
      </c>
      <c r="E1361" s="144">
        <v>0.51</v>
      </c>
    </row>
    <row r="1362" spans="3:5">
      <c r="C1362" s="141">
        <v>11247.5</v>
      </c>
      <c r="D1362" s="144">
        <v>0.19</v>
      </c>
      <c r="E1362" s="144">
        <v>0.57999999999999996</v>
      </c>
    </row>
    <row r="1363" spans="3:5">
      <c r="C1363" s="141">
        <v>11248</v>
      </c>
      <c r="D1363" s="144">
        <v>0.19</v>
      </c>
      <c r="E1363" s="144">
        <v>0.56999999999999995</v>
      </c>
    </row>
    <row r="1364" spans="3:5">
      <c r="C1364" s="141">
        <v>11248.5</v>
      </c>
      <c r="D1364" s="144">
        <v>0.2</v>
      </c>
      <c r="E1364" s="144">
        <v>0.55000000000000004</v>
      </c>
    </row>
    <row r="1365" spans="3:5">
      <c r="C1365" s="141">
        <v>11249</v>
      </c>
      <c r="D1365" s="144">
        <v>0.16</v>
      </c>
      <c r="E1365" s="144">
        <v>0.51</v>
      </c>
    </row>
    <row r="1366" spans="3:5">
      <c r="C1366" s="141">
        <v>11249.5</v>
      </c>
      <c r="D1366" s="144">
        <v>0.21</v>
      </c>
      <c r="E1366" s="144">
        <v>0.5</v>
      </c>
    </row>
    <row r="1367" spans="3:5">
      <c r="C1367" s="141">
        <v>11250</v>
      </c>
      <c r="D1367" s="144">
        <v>0.2</v>
      </c>
      <c r="E1367" s="144">
        <v>0.52</v>
      </c>
    </row>
    <row r="1368" spans="3:5">
      <c r="C1368" s="141">
        <v>11250.5</v>
      </c>
      <c r="D1368" s="144">
        <v>0.2</v>
      </c>
      <c r="E1368" s="144">
        <v>0.49</v>
      </c>
    </row>
    <row r="1369" spans="3:5">
      <c r="C1369" s="141">
        <v>11251</v>
      </c>
      <c r="D1369" s="144">
        <v>0.2</v>
      </c>
      <c r="E1369" s="144">
        <v>0.49</v>
      </c>
    </row>
    <row r="1370" spans="3:5">
      <c r="C1370" s="141">
        <v>11251.5</v>
      </c>
      <c r="D1370" s="144">
        <v>0.2</v>
      </c>
      <c r="E1370" s="144">
        <v>0.52</v>
      </c>
    </row>
    <row r="1371" spans="3:5">
      <c r="C1371" s="141">
        <v>11252</v>
      </c>
      <c r="D1371" s="144">
        <v>0.19</v>
      </c>
      <c r="E1371" s="144">
        <v>0.56000000000000005</v>
      </c>
    </row>
    <row r="1372" spans="3:5">
      <c r="C1372" s="141">
        <v>11252.5</v>
      </c>
      <c r="D1372" s="144">
        <v>0.19</v>
      </c>
      <c r="E1372" s="144">
        <v>0.56999999999999995</v>
      </c>
    </row>
    <row r="1373" spans="3:5">
      <c r="C1373" s="141">
        <v>11253</v>
      </c>
      <c r="D1373" s="144">
        <v>0.19</v>
      </c>
      <c r="E1373" s="144">
        <v>0.57999999999999996</v>
      </c>
    </row>
    <row r="1374" spans="3:5">
      <c r="C1374" s="141">
        <v>11253.5</v>
      </c>
      <c r="D1374" s="144">
        <v>0.19</v>
      </c>
      <c r="E1374" s="144">
        <v>0.6</v>
      </c>
    </row>
    <row r="1375" spans="3:5">
      <c r="C1375" s="141">
        <v>11254</v>
      </c>
      <c r="D1375" s="144">
        <v>0.19</v>
      </c>
      <c r="E1375" s="144">
        <v>0.56999999999999995</v>
      </c>
    </row>
    <row r="1376" spans="3:5">
      <c r="C1376" s="141">
        <v>11254.5</v>
      </c>
      <c r="D1376" s="144">
        <v>0.2</v>
      </c>
      <c r="E1376" s="144">
        <v>0.54</v>
      </c>
    </row>
    <row r="1377" spans="3:5">
      <c r="C1377" s="141">
        <v>11255</v>
      </c>
      <c r="D1377" s="144">
        <v>0.19</v>
      </c>
      <c r="E1377" s="144">
        <v>0.56000000000000005</v>
      </c>
    </row>
    <row r="1378" spans="3:5">
      <c r="C1378" s="141">
        <v>11255.5</v>
      </c>
      <c r="D1378" s="144">
        <v>0.19</v>
      </c>
      <c r="E1378" s="144">
        <v>0.57999999999999996</v>
      </c>
    </row>
    <row r="1379" spans="3:5">
      <c r="C1379" s="141">
        <v>11256</v>
      </c>
      <c r="D1379" s="144">
        <v>0.19</v>
      </c>
      <c r="E1379" s="144">
        <v>0.56999999999999995</v>
      </c>
    </row>
    <row r="1380" spans="3:5">
      <c r="C1380" s="141">
        <v>11256.5</v>
      </c>
      <c r="D1380" s="144">
        <v>0.19</v>
      </c>
      <c r="E1380" s="144">
        <v>0.56000000000000005</v>
      </c>
    </row>
    <row r="1381" spans="3:5">
      <c r="C1381" s="141">
        <v>11257</v>
      </c>
      <c r="D1381" s="144">
        <v>0.2</v>
      </c>
      <c r="E1381" s="144">
        <v>0.52</v>
      </c>
    </row>
    <row r="1382" spans="3:5">
      <c r="C1382" s="141">
        <v>11257.5</v>
      </c>
      <c r="D1382" s="144">
        <v>0.2</v>
      </c>
      <c r="E1382" s="144">
        <v>0.52</v>
      </c>
    </row>
    <row r="1383" spans="3:5">
      <c r="C1383" s="141">
        <v>11258</v>
      </c>
      <c r="D1383" s="144">
        <v>0.2</v>
      </c>
      <c r="E1383" s="144">
        <v>0.51</v>
      </c>
    </row>
    <row r="1384" spans="3:5">
      <c r="C1384" s="141">
        <v>11258.5</v>
      </c>
      <c r="D1384" s="144">
        <v>0.19</v>
      </c>
      <c r="E1384" s="144">
        <v>0.56000000000000005</v>
      </c>
    </row>
    <row r="1385" spans="3:5">
      <c r="C1385" s="141">
        <v>11259</v>
      </c>
      <c r="D1385" s="144">
        <v>0.19</v>
      </c>
      <c r="E1385" s="144">
        <v>0.6</v>
      </c>
    </row>
    <row r="1386" spans="3:5">
      <c r="C1386" s="141">
        <v>11259.5</v>
      </c>
      <c r="D1386" s="144">
        <v>0.19</v>
      </c>
      <c r="E1386" s="144">
        <v>0.66</v>
      </c>
    </row>
    <row r="1387" spans="3:5">
      <c r="C1387" s="141">
        <v>11260</v>
      </c>
      <c r="D1387" s="144">
        <v>0.18</v>
      </c>
      <c r="E1387" s="144">
        <v>0.7</v>
      </c>
    </row>
    <row r="1388" spans="3:5">
      <c r="C1388" s="141">
        <v>11260.5</v>
      </c>
      <c r="D1388" s="144">
        <v>0.18</v>
      </c>
      <c r="E1388" s="144">
        <v>0.7</v>
      </c>
    </row>
    <row r="1389" spans="3:5">
      <c r="C1389" s="141">
        <v>11261</v>
      </c>
      <c r="D1389" s="144">
        <v>0.18</v>
      </c>
      <c r="E1389" s="144">
        <v>0.71</v>
      </c>
    </row>
    <row r="1390" spans="3:5">
      <c r="C1390" s="141">
        <v>11261.5</v>
      </c>
      <c r="D1390" s="144">
        <v>0.18</v>
      </c>
      <c r="E1390" s="144">
        <v>0.66</v>
      </c>
    </row>
    <row r="1391" spans="3:5">
      <c r="C1391" s="141">
        <v>11262</v>
      </c>
      <c r="D1391" s="144">
        <v>0.19</v>
      </c>
      <c r="E1391" s="144">
        <v>0.57999999999999996</v>
      </c>
    </row>
    <row r="1392" spans="3:5">
      <c r="C1392" s="141">
        <v>11262.5</v>
      </c>
      <c r="D1392" s="144">
        <v>0.19</v>
      </c>
      <c r="E1392" s="144">
        <v>0.56000000000000005</v>
      </c>
    </row>
    <row r="1393" spans="3:5">
      <c r="C1393" s="141">
        <v>11263</v>
      </c>
      <c r="D1393" s="144">
        <v>0.2</v>
      </c>
      <c r="E1393" s="144">
        <v>0.53</v>
      </c>
    </row>
    <row r="1394" spans="3:5">
      <c r="C1394" s="141">
        <v>11263.5</v>
      </c>
      <c r="D1394" s="144">
        <v>0.2</v>
      </c>
      <c r="E1394" s="144">
        <v>0.5</v>
      </c>
    </row>
    <row r="1395" spans="3:5">
      <c r="C1395" s="141">
        <v>11264</v>
      </c>
      <c r="D1395" s="144">
        <v>0.15</v>
      </c>
      <c r="E1395" s="144">
        <v>0.47</v>
      </c>
    </row>
    <row r="1396" spans="3:5">
      <c r="C1396" s="141">
        <v>11264.5</v>
      </c>
      <c r="D1396" s="144">
        <v>0.21</v>
      </c>
      <c r="E1396" s="144">
        <v>0.45</v>
      </c>
    </row>
    <row r="1397" spans="3:5">
      <c r="C1397" s="141">
        <v>11265</v>
      </c>
      <c r="D1397" s="144">
        <v>0.21</v>
      </c>
      <c r="E1397" s="144">
        <v>0.45</v>
      </c>
    </row>
    <row r="1398" spans="3:5">
      <c r="C1398" s="141">
        <v>11265.5</v>
      </c>
      <c r="D1398" s="144">
        <v>0.21</v>
      </c>
      <c r="E1398" s="144">
        <v>0.45</v>
      </c>
    </row>
    <row r="1399" spans="3:5">
      <c r="C1399" s="141">
        <v>11266</v>
      </c>
      <c r="D1399" s="144">
        <v>0.21</v>
      </c>
      <c r="E1399" s="144">
        <v>0.44</v>
      </c>
    </row>
    <row r="1400" spans="3:5">
      <c r="C1400" s="141">
        <v>11266.5</v>
      </c>
      <c r="D1400" s="144">
        <v>0.2</v>
      </c>
      <c r="E1400" s="144">
        <v>0.46</v>
      </c>
    </row>
    <row r="1401" spans="3:5">
      <c r="C1401" s="141">
        <v>11267</v>
      </c>
      <c r="D1401" s="144">
        <v>0.2</v>
      </c>
      <c r="E1401" s="144">
        <v>0.47</v>
      </c>
    </row>
    <row r="1402" spans="3:5">
      <c r="C1402" s="141">
        <v>11267.5</v>
      </c>
      <c r="D1402" s="144">
        <v>0.2</v>
      </c>
      <c r="E1402" s="144">
        <v>0.48</v>
      </c>
    </row>
    <row r="1403" spans="3:5">
      <c r="C1403" s="141">
        <v>11268</v>
      </c>
      <c r="D1403" s="144">
        <v>0.21</v>
      </c>
      <c r="E1403" s="144">
        <v>0.46</v>
      </c>
    </row>
    <row r="1404" spans="3:5">
      <c r="C1404" s="141">
        <v>11268.5</v>
      </c>
      <c r="D1404" s="144">
        <v>0.16</v>
      </c>
      <c r="E1404" s="144">
        <v>0.47</v>
      </c>
    </row>
    <row r="1405" spans="3:5">
      <c r="C1405" s="141">
        <v>11269</v>
      </c>
      <c r="D1405" s="144">
        <v>0.16</v>
      </c>
      <c r="E1405" s="144">
        <v>0.48</v>
      </c>
    </row>
    <row r="1406" spans="3:5">
      <c r="C1406" s="141">
        <v>11269.5</v>
      </c>
      <c r="D1406" s="144">
        <v>0.16</v>
      </c>
      <c r="E1406" s="144">
        <v>0.49</v>
      </c>
    </row>
    <row r="1407" spans="3:5">
      <c r="C1407" s="141">
        <v>11270</v>
      </c>
      <c r="D1407" s="144">
        <v>0.17</v>
      </c>
      <c r="E1407" s="144">
        <v>0.49</v>
      </c>
    </row>
    <row r="1408" spans="3:5">
      <c r="C1408" s="141">
        <v>11270.5</v>
      </c>
      <c r="D1408" s="144">
        <v>0.16</v>
      </c>
      <c r="E1408" s="144">
        <v>0.5</v>
      </c>
    </row>
    <row r="1409" spans="3:5">
      <c r="C1409" s="141">
        <v>11271</v>
      </c>
      <c r="D1409" s="144">
        <v>0.17</v>
      </c>
      <c r="E1409" s="144">
        <v>0.5</v>
      </c>
    </row>
    <row r="1410" spans="3:5">
      <c r="C1410" s="141">
        <v>11271.5</v>
      </c>
      <c r="D1410" s="144">
        <v>0.16</v>
      </c>
      <c r="E1410" s="144">
        <v>0.52</v>
      </c>
    </row>
    <row r="1411" spans="3:5">
      <c r="C1411" s="141">
        <v>11272</v>
      </c>
      <c r="D1411" s="144">
        <v>0.21</v>
      </c>
      <c r="E1411" s="144">
        <v>0.54</v>
      </c>
    </row>
    <row r="1412" spans="3:5">
      <c r="C1412" s="141">
        <v>11272.5</v>
      </c>
      <c r="D1412" s="144">
        <v>0.21</v>
      </c>
      <c r="E1412" s="144">
        <v>0.54</v>
      </c>
    </row>
    <row r="1413" spans="3:5">
      <c r="C1413" s="141">
        <v>11273</v>
      </c>
      <c r="D1413" s="144">
        <v>0.21</v>
      </c>
      <c r="E1413" s="144">
        <v>0.54</v>
      </c>
    </row>
    <row r="1414" spans="3:5">
      <c r="C1414" s="141">
        <v>11273.5</v>
      </c>
      <c r="D1414" s="144">
        <v>0.17</v>
      </c>
      <c r="E1414" s="144">
        <v>0.52</v>
      </c>
    </row>
    <row r="1415" spans="3:5">
      <c r="C1415" s="141">
        <v>11274</v>
      </c>
      <c r="D1415" s="144">
        <v>0.21</v>
      </c>
      <c r="E1415" s="144">
        <v>0.51</v>
      </c>
    </row>
    <row r="1416" spans="3:5">
      <c r="C1416" s="141">
        <v>11274.5</v>
      </c>
      <c r="D1416" s="144">
        <v>0.21</v>
      </c>
      <c r="E1416" s="144">
        <v>0.5</v>
      </c>
    </row>
    <row r="1417" spans="3:5">
      <c r="C1417" s="141">
        <v>11275</v>
      </c>
      <c r="D1417" s="144">
        <v>0.21</v>
      </c>
      <c r="E1417" s="144">
        <v>0.5</v>
      </c>
    </row>
    <row r="1418" spans="3:5">
      <c r="C1418" s="141">
        <v>11275.5</v>
      </c>
      <c r="D1418" s="144">
        <v>0.21</v>
      </c>
      <c r="E1418" s="144">
        <v>0.48</v>
      </c>
    </row>
    <row r="1419" spans="3:5">
      <c r="C1419" s="141">
        <v>11276</v>
      </c>
      <c r="D1419" s="144">
        <v>0.17</v>
      </c>
      <c r="E1419" s="144">
        <v>0.47</v>
      </c>
    </row>
    <row r="1420" spans="3:5">
      <c r="C1420" s="141">
        <v>11276.5</v>
      </c>
      <c r="D1420" s="144">
        <v>0.18</v>
      </c>
      <c r="E1420" s="144">
        <v>0.46</v>
      </c>
    </row>
    <row r="1421" spans="3:5">
      <c r="C1421" s="141">
        <v>11277</v>
      </c>
      <c r="D1421" s="144">
        <v>0.19</v>
      </c>
      <c r="E1421" s="144">
        <v>0.44</v>
      </c>
    </row>
    <row r="1422" spans="3:5">
      <c r="C1422" s="141">
        <v>11277.5</v>
      </c>
      <c r="D1422" s="144">
        <v>0.18</v>
      </c>
      <c r="E1422" s="144">
        <v>0.44</v>
      </c>
    </row>
    <row r="1423" spans="3:5">
      <c r="C1423" s="141">
        <v>11278</v>
      </c>
      <c r="D1423" s="144">
        <v>0.21</v>
      </c>
      <c r="E1423" s="144">
        <v>0.46</v>
      </c>
    </row>
    <row r="1424" spans="3:5">
      <c r="C1424" s="141">
        <v>11278.5</v>
      </c>
      <c r="D1424" s="144">
        <v>0.16</v>
      </c>
      <c r="E1424" s="144">
        <v>0.48</v>
      </c>
    </row>
    <row r="1425" spans="3:5">
      <c r="C1425" s="141">
        <v>11279</v>
      </c>
      <c r="D1425" s="144">
        <v>0.16</v>
      </c>
      <c r="E1425" s="144">
        <v>0.48</v>
      </c>
    </row>
    <row r="1426" spans="3:5">
      <c r="C1426" s="141">
        <v>11279.5</v>
      </c>
      <c r="D1426" s="144">
        <v>0.17</v>
      </c>
      <c r="E1426" s="144">
        <v>0.46</v>
      </c>
    </row>
    <row r="1427" spans="3:5">
      <c r="C1427" s="141">
        <v>11280</v>
      </c>
      <c r="D1427" s="144">
        <v>0.18</v>
      </c>
      <c r="E1427" s="144">
        <v>0.46</v>
      </c>
    </row>
    <row r="1428" spans="3:5">
      <c r="C1428" s="141">
        <v>11280.5</v>
      </c>
      <c r="D1428" s="144">
        <v>0.17</v>
      </c>
      <c r="E1428" s="144">
        <v>0.47</v>
      </c>
    </row>
    <row r="1429" spans="3:5">
      <c r="C1429" s="141">
        <v>11281</v>
      </c>
      <c r="D1429" s="144">
        <v>0.16</v>
      </c>
      <c r="E1429" s="144">
        <v>0.48</v>
      </c>
    </row>
    <row r="1430" spans="3:5">
      <c r="C1430" s="141">
        <v>11281.5</v>
      </c>
      <c r="D1430" s="144">
        <v>0.21</v>
      </c>
      <c r="E1430" s="144">
        <v>0.48</v>
      </c>
    </row>
    <row r="1431" spans="3:5">
      <c r="C1431" s="141">
        <v>11282</v>
      </c>
      <c r="D1431" s="144">
        <v>0.17</v>
      </c>
      <c r="E1431" s="144">
        <v>0.46</v>
      </c>
    </row>
    <row r="1432" spans="3:5">
      <c r="C1432" s="141">
        <v>11282.5</v>
      </c>
      <c r="D1432" s="144">
        <v>0.21</v>
      </c>
      <c r="E1432" s="144">
        <v>0.46</v>
      </c>
    </row>
    <row r="1433" spans="3:5">
      <c r="C1433" s="141">
        <v>11283</v>
      </c>
      <c r="D1433" s="144">
        <v>0.17</v>
      </c>
      <c r="E1433" s="144">
        <v>0.46</v>
      </c>
    </row>
    <row r="1434" spans="3:5">
      <c r="C1434" s="141">
        <v>11283.5</v>
      </c>
      <c r="D1434" s="144">
        <v>0.17</v>
      </c>
      <c r="E1434" s="144">
        <v>0.45</v>
      </c>
    </row>
    <row r="1435" spans="3:5">
      <c r="C1435" s="141">
        <v>11284</v>
      </c>
      <c r="D1435" s="144">
        <v>0.17</v>
      </c>
      <c r="E1435" s="144">
        <v>0.46</v>
      </c>
    </row>
    <row r="1436" spans="3:5">
      <c r="C1436" s="141">
        <v>11284.5</v>
      </c>
      <c r="D1436" s="144">
        <v>0.16</v>
      </c>
      <c r="E1436" s="144">
        <v>0.47</v>
      </c>
    </row>
    <row r="1437" spans="3:5">
      <c r="C1437" s="141">
        <v>11285</v>
      </c>
      <c r="D1437" s="144">
        <v>0.17</v>
      </c>
      <c r="E1437" s="144">
        <v>0.46</v>
      </c>
    </row>
    <row r="1438" spans="3:5">
      <c r="C1438" s="141">
        <v>11285.5</v>
      </c>
      <c r="D1438" s="144">
        <v>0.17</v>
      </c>
      <c r="E1438" s="144">
        <v>0.46</v>
      </c>
    </row>
    <row r="1439" spans="3:5">
      <c r="C1439" s="141">
        <v>11286</v>
      </c>
      <c r="D1439" s="144">
        <v>0.17</v>
      </c>
      <c r="E1439" s="144">
        <v>0.45</v>
      </c>
    </row>
    <row r="1440" spans="3:5">
      <c r="C1440" s="141">
        <v>11286.5</v>
      </c>
      <c r="D1440" s="144">
        <v>0.18</v>
      </c>
      <c r="E1440" s="144">
        <v>0.44</v>
      </c>
    </row>
    <row r="1441" spans="3:5">
      <c r="C1441" s="141">
        <v>11287</v>
      </c>
      <c r="D1441" s="144">
        <v>0.18</v>
      </c>
      <c r="E1441" s="144">
        <v>0.44</v>
      </c>
    </row>
    <row r="1442" spans="3:5">
      <c r="C1442" s="141">
        <v>11287.5</v>
      </c>
      <c r="D1442" s="144">
        <v>0.18</v>
      </c>
      <c r="E1442" s="144">
        <v>0.44</v>
      </c>
    </row>
    <row r="1443" spans="3:5">
      <c r="C1443" s="141">
        <v>11288</v>
      </c>
      <c r="D1443" s="144">
        <v>0.18</v>
      </c>
      <c r="E1443" s="144">
        <v>0.45</v>
      </c>
    </row>
    <row r="1444" spans="3:5">
      <c r="C1444" s="141">
        <v>11288.5</v>
      </c>
      <c r="D1444" s="144">
        <v>0.18</v>
      </c>
      <c r="E1444" s="144">
        <v>0.44</v>
      </c>
    </row>
    <row r="1445" spans="3:5">
      <c r="C1445" s="141">
        <v>11289</v>
      </c>
      <c r="D1445" s="144">
        <v>0.18</v>
      </c>
      <c r="E1445" s="144">
        <v>0.45</v>
      </c>
    </row>
    <row r="1446" spans="3:5">
      <c r="C1446" s="141">
        <v>11289.5</v>
      </c>
      <c r="D1446" s="144">
        <v>0.18</v>
      </c>
      <c r="E1446" s="144">
        <v>0.45</v>
      </c>
    </row>
    <row r="1447" spans="3:5">
      <c r="C1447" s="141">
        <v>11290</v>
      </c>
      <c r="D1447" s="144">
        <v>0.21</v>
      </c>
      <c r="E1447" s="144">
        <v>0.46</v>
      </c>
    </row>
    <row r="1448" spans="3:5">
      <c r="C1448" s="141">
        <v>11290.5</v>
      </c>
      <c r="D1448" s="144">
        <v>0.17</v>
      </c>
      <c r="E1448" s="144">
        <v>0.48</v>
      </c>
    </row>
    <row r="1449" spans="3:5">
      <c r="C1449" s="141">
        <v>11291</v>
      </c>
      <c r="D1449" s="144">
        <v>0.2</v>
      </c>
      <c r="E1449" s="144">
        <v>0.54</v>
      </c>
    </row>
    <row r="1450" spans="3:5">
      <c r="C1450" s="141">
        <v>11291.5</v>
      </c>
      <c r="D1450" s="144">
        <v>0.2</v>
      </c>
      <c r="E1450" s="144">
        <v>0.59</v>
      </c>
    </row>
    <row r="1451" spans="3:5">
      <c r="C1451" s="141">
        <v>11292</v>
      </c>
      <c r="D1451" s="144">
        <v>0.19</v>
      </c>
      <c r="E1451" s="144">
        <v>0.65</v>
      </c>
    </row>
    <row r="1452" spans="3:5">
      <c r="C1452" s="141">
        <v>11292.5</v>
      </c>
      <c r="D1452" s="144">
        <v>0.19</v>
      </c>
      <c r="E1452" s="144">
        <v>0.72</v>
      </c>
    </row>
    <row r="1453" spans="3:5">
      <c r="C1453" s="141">
        <v>11293</v>
      </c>
      <c r="D1453" s="144">
        <v>0.19</v>
      </c>
      <c r="E1453" s="144">
        <v>0.8</v>
      </c>
    </row>
    <row r="1454" spans="3:5">
      <c r="C1454" s="141">
        <v>11293.5</v>
      </c>
      <c r="D1454" s="144">
        <v>0.19</v>
      </c>
      <c r="E1454" s="144">
        <v>0.79</v>
      </c>
    </row>
    <row r="1455" spans="3:5">
      <c r="C1455" s="141">
        <v>11294</v>
      </c>
      <c r="D1455" s="144">
        <v>0.2</v>
      </c>
      <c r="E1455" s="144">
        <v>0.77</v>
      </c>
    </row>
    <row r="1456" spans="3:5">
      <c r="C1456" s="141">
        <v>11294.5</v>
      </c>
      <c r="D1456" s="144">
        <v>0.2</v>
      </c>
      <c r="E1456" s="144">
        <v>0.8</v>
      </c>
    </row>
    <row r="1457" spans="3:5">
      <c r="C1457" s="141">
        <v>11295</v>
      </c>
      <c r="D1457" s="144">
        <v>0.21</v>
      </c>
      <c r="E1457" s="144">
        <v>0.78</v>
      </c>
    </row>
    <row r="1458" spans="3:5">
      <c r="C1458" s="141">
        <v>11295.5</v>
      </c>
      <c r="D1458" s="144">
        <v>0.21</v>
      </c>
      <c r="E1458" s="144">
        <v>0.72</v>
      </c>
    </row>
    <row r="1459" spans="3:5">
      <c r="C1459" s="141">
        <v>11296</v>
      </c>
      <c r="D1459" s="144">
        <v>0.2</v>
      </c>
      <c r="E1459" s="144">
        <v>0.63</v>
      </c>
    </row>
    <row r="1460" spans="3:5">
      <c r="C1460" s="141">
        <v>11296.5</v>
      </c>
      <c r="D1460" s="144">
        <v>0.19</v>
      </c>
      <c r="E1460" s="144">
        <v>0.56000000000000005</v>
      </c>
    </row>
    <row r="1461" spans="3:5">
      <c r="C1461" s="141">
        <v>11297</v>
      </c>
      <c r="D1461" s="144">
        <v>0.15</v>
      </c>
      <c r="E1461" s="144">
        <v>0.49</v>
      </c>
    </row>
    <row r="1462" spans="3:5">
      <c r="C1462" s="141">
        <v>11297.5</v>
      </c>
      <c r="D1462" s="144">
        <v>0.15</v>
      </c>
      <c r="E1462" s="144">
        <v>0.44</v>
      </c>
    </row>
    <row r="1463" spans="3:5">
      <c r="C1463" s="141">
        <v>11298</v>
      </c>
      <c r="D1463" s="144">
        <v>0.15</v>
      </c>
      <c r="E1463" s="144">
        <v>0.4</v>
      </c>
    </row>
    <row r="1464" spans="3:5">
      <c r="C1464" s="141">
        <v>11298.5</v>
      </c>
      <c r="D1464" s="144">
        <v>0.14000000000000001</v>
      </c>
      <c r="E1464" s="144">
        <v>0.39</v>
      </c>
    </row>
    <row r="1465" spans="3:5">
      <c r="C1465" s="141">
        <v>11299</v>
      </c>
      <c r="D1465" s="144">
        <v>0.2</v>
      </c>
      <c r="E1465" s="144">
        <v>0.41</v>
      </c>
    </row>
    <row r="1466" spans="3:5">
      <c r="C1466" s="141">
        <v>11299.5</v>
      </c>
      <c r="D1466" s="144">
        <v>0.21</v>
      </c>
      <c r="E1466" s="144">
        <v>0.42</v>
      </c>
    </row>
    <row r="1467" spans="3:5">
      <c r="C1467" s="141">
        <v>11300</v>
      </c>
      <c r="D1467" s="144">
        <v>0.14000000000000001</v>
      </c>
      <c r="E1467" s="144">
        <v>0.41</v>
      </c>
    </row>
    <row r="1468" spans="3:5">
      <c r="C1468" s="141">
        <v>11300.5</v>
      </c>
      <c r="D1468" s="144">
        <v>0.14000000000000001</v>
      </c>
      <c r="E1468" s="144">
        <v>0.42</v>
      </c>
    </row>
    <row r="1469" spans="3:5">
      <c r="C1469" s="141">
        <v>11301</v>
      </c>
      <c r="D1469" s="144">
        <v>0.13</v>
      </c>
      <c r="E1469" s="144">
        <v>0.44</v>
      </c>
    </row>
    <row r="1470" spans="3:5">
      <c r="C1470" s="141">
        <v>11301.5</v>
      </c>
      <c r="D1470" s="144">
        <v>0.12</v>
      </c>
      <c r="E1470" s="144">
        <v>0.45</v>
      </c>
    </row>
    <row r="1471" spans="3:5">
      <c r="C1471" s="141">
        <v>11302</v>
      </c>
      <c r="D1471" s="144">
        <v>0.13</v>
      </c>
      <c r="E1471" s="144">
        <v>0.44</v>
      </c>
    </row>
    <row r="1472" spans="3:5">
      <c r="C1472" s="141">
        <v>11302.5</v>
      </c>
      <c r="D1472" s="144">
        <v>0.15</v>
      </c>
      <c r="E1472" s="144">
        <v>0.43</v>
      </c>
    </row>
    <row r="1473" spans="3:5">
      <c r="C1473" s="141">
        <v>11303</v>
      </c>
      <c r="D1473" s="144">
        <v>0.21</v>
      </c>
      <c r="E1473" s="144">
        <v>0.44</v>
      </c>
    </row>
    <row r="1474" spans="3:5">
      <c r="C1474" s="141">
        <v>11303.5</v>
      </c>
      <c r="D1474" s="144">
        <v>0.2</v>
      </c>
      <c r="E1474" s="144">
        <v>0.49</v>
      </c>
    </row>
    <row r="1475" spans="3:5">
      <c r="C1475" s="141">
        <v>11304</v>
      </c>
      <c r="D1475" s="144">
        <v>0.2</v>
      </c>
      <c r="E1475" s="144">
        <v>0.55000000000000004</v>
      </c>
    </row>
    <row r="1476" spans="3:5">
      <c r="C1476" s="141">
        <v>11304.5</v>
      </c>
      <c r="D1476" s="144">
        <v>0.19</v>
      </c>
      <c r="E1476" s="144">
        <v>0.68</v>
      </c>
    </row>
    <row r="1477" spans="3:5">
      <c r="C1477" s="141">
        <v>11305</v>
      </c>
      <c r="D1477" s="144">
        <v>0.19</v>
      </c>
      <c r="E1477" s="144">
        <v>0.85</v>
      </c>
    </row>
    <row r="1478" spans="3:5">
      <c r="C1478" s="141">
        <v>11305.5</v>
      </c>
      <c r="D1478" s="144">
        <v>0.19</v>
      </c>
      <c r="E1478" s="144">
        <v>0.88</v>
      </c>
    </row>
    <row r="1479" spans="3:5">
      <c r="C1479" s="141">
        <v>11306</v>
      </c>
      <c r="D1479" s="144">
        <v>0.2</v>
      </c>
      <c r="E1479" s="144">
        <v>0.89</v>
      </c>
    </row>
    <row r="1480" spans="3:5">
      <c r="C1480" s="141">
        <v>11306.5</v>
      </c>
      <c r="D1480" s="144">
        <v>0.21</v>
      </c>
      <c r="E1480" s="144">
        <v>0.89</v>
      </c>
    </row>
    <row r="1481" spans="3:5">
      <c r="C1481" s="141">
        <v>11307</v>
      </c>
      <c r="D1481" s="144">
        <v>0.21</v>
      </c>
      <c r="E1481" s="144">
        <v>0.9</v>
      </c>
    </row>
    <row r="1482" spans="3:5">
      <c r="C1482" s="141">
        <v>11307.5</v>
      </c>
      <c r="D1482" s="144">
        <v>0.21</v>
      </c>
      <c r="E1482" s="144">
        <v>0.88</v>
      </c>
    </row>
    <row r="1483" spans="3:5">
      <c r="C1483" s="141">
        <v>11308</v>
      </c>
      <c r="D1483" s="144">
        <v>0.21</v>
      </c>
      <c r="E1483" s="144">
        <v>0.87</v>
      </c>
    </row>
    <row r="1484" spans="3:5">
      <c r="C1484" s="141">
        <v>11308.5</v>
      </c>
      <c r="D1484" s="144">
        <v>0.21</v>
      </c>
      <c r="E1484" s="144">
        <v>0.85</v>
      </c>
    </row>
    <row r="1485" spans="3:5">
      <c r="C1485" s="141">
        <v>11309</v>
      </c>
      <c r="D1485" s="144">
        <v>0.21</v>
      </c>
      <c r="E1485" s="144">
        <v>0.85</v>
      </c>
    </row>
    <row r="1486" spans="3:5">
      <c r="C1486" s="141">
        <v>11309.5</v>
      </c>
      <c r="D1486" s="144">
        <v>0.21</v>
      </c>
      <c r="E1486" s="144">
        <v>0.83</v>
      </c>
    </row>
    <row r="1487" spans="3:5">
      <c r="C1487" s="141">
        <v>11310</v>
      </c>
      <c r="D1487" s="144">
        <v>0.2</v>
      </c>
      <c r="E1487" s="144">
        <v>0.84</v>
      </c>
    </row>
    <row r="1488" spans="3:5">
      <c r="C1488" s="141">
        <v>11310.5</v>
      </c>
      <c r="D1488" s="144">
        <v>0.19</v>
      </c>
      <c r="E1488" s="144">
        <v>0.9</v>
      </c>
    </row>
    <row r="1489" spans="3:5">
      <c r="C1489" s="141">
        <v>11311</v>
      </c>
      <c r="D1489" s="144">
        <v>0.18</v>
      </c>
      <c r="E1489" s="144">
        <v>0.91</v>
      </c>
    </row>
    <row r="1490" spans="3:5">
      <c r="C1490" s="141">
        <v>11311.5</v>
      </c>
      <c r="D1490" s="144">
        <v>0.19</v>
      </c>
      <c r="E1490" s="144">
        <v>0.88</v>
      </c>
    </row>
    <row r="1491" spans="3:5">
      <c r="C1491" s="141">
        <v>11312</v>
      </c>
      <c r="D1491" s="144">
        <v>0.19</v>
      </c>
      <c r="E1491" s="144">
        <v>0.89</v>
      </c>
    </row>
    <row r="1492" spans="3:5">
      <c r="C1492" s="141">
        <v>11312.5</v>
      </c>
      <c r="D1492" s="144">
        <v>0.2</v>
      </c>
      <c r="E1492" s="144">
        <v>0.87</v>
      </c>
    </row>
    <row r="1493" spans="3:5">
      <c r="C1493" s="141">
        <v>11313</v>
      </c>
      <c r="D1493" s="144">
        <v>0.21</v>
      </c>
      <c r="E1493" s="144">
        <v>0.86</v>
      </c>
    </row>
    <row r="1494" spans="3:5">
      <c r="C1494" s="141">
        <v>11313.5</v>
      </c>
      <c r="D1494" s="144">
        <v>0.2</v>
      </c>
      <c r="E1494" s="144">
        <v>0.86</v>
      </c>
    </row>
    <row r="1495" spans="3:5">
      <c r="C1495" s="141">
        <v>11314</v>
      </c>
      <c r="D1495" s="144">
        <v>0.2</v>
      </c>
      <c r="E1495" s="144">
        <v>0.85</v>
      </c>
    </row>
    <row r="1496" spans="3:5">
      <c r="C1496" s="141">
        <v>11314.5</v>
      </c>
      <c r="D1496" s="144">
        <v>0.21</v>
      </c>
      <c r="E1496" s="144">
        <v>0.83</v>
      </c>
    </row>
    <row r="1497" spans="3:5">
      <c r="C1497" s="141">
        <v>11315</v>
      </c>
      <c r="D1497" s="144">
        <v>0.21</v>
      </c>
      <c r="E1497" s="144">
        <v>0.84</v>
      </c>
    </row>
    <row r="1498" spans="3:5">
      <c r="C1498" s="141">
        <v>11315.5</v>
      </c>
      <c r="D1498" s="144">
        <v>0.21</v>
      </c>
      <c r="E1498" s="144">
        <v>0.81</v>
      </c>
    </row>
    <row r="1499" spans="3:5">
      <c r="C1499" s="141">
        <v>11316</v>
      </c>
      <c r="D1499" s="144">
        <v>0.21</v>
      </c>
      <c r="E1499" s="144">
        <v>0.82</v>
      </c>
    </row>
    <row r="1500" spans="3:5">
      <c r="C1500" s="141">
        <v>11316.5</v>
      </c>
      <c r="D1500" s="144">
        <v>0.2</v>
      </c>
      <c r="E1500" s="144">
        <v>0.83</v>
      </c>
    </row>
    <row r="1501" spans="3:5">
      <c r="C1501" s="141">
        <v>11317</v>
      </c>
      <c r="D1501" s="144">
        <v>0.2</v>
      </c>
      <c r="E1501" s="144">
        <v>0.88</v>
      </c>
    </row>
    <row r="1502" spans="3:5">
      <c r="C1502" s="141">
        <v>11317.5</v>
      </c>
      <c r="D1502" s="144">
        <v>0.19</v>
      </c>
      <c r="E1502" s="144">
        <v>0.9</v>
      </c>
    </row>
    <row r="1503" spans="3:5">
      <c r="C1503" s="141">
        <v>11318</v>
      </c>
      <c r="D1503" s="144">
        <v>0.2</v>
      </c>
      <c r="E1503" s="144">
        <v>0.9</v>
      </c>
    </row>
    <row r="1504" spans="3:5">
      <c r="C1504" s="141">
        <v>11318.5</v>
      </c>
      <c r="D1504" s="144">
        <v>0.19</v>
      </c>
      <c r="E1504" s="144">
        <v>0.93</v>
      </c>
    </row>
    <row r="1505" spans="3:5">
      <c r="C1505" s="141">
        <v>11319</v>
      </c>
      <c r="D1505" s="144">
        <v>0.2</v>
      </c>
      <c r="E1505" s="144">
        <v>0.92</v>
      </c>
    </row>
    <row r="1506" spans="3:5">
      <c r="C1506" s="141">
        <v>11319.5</v>
      </c>
      <c r="D1506" s="144">
        <v>0.2</v>
      </c>
      <c r="E1506" s="144">
        <v>0.9</v>
      </c>
    </row>
    <row r="1507" spans="3:5">
      <c r="C1507" s="141">
        <v>11320</v>
      </c>
      <c r="D1507" s="144">
        <v>0.2</v>
      </c>
      <c r="E1507" s="144">
        <v>0.88</v>
      </c>
    </row>
    <row r="1508" spans="3:5">
      <c r="C1508" s="141">
        <v>11320.5</v>
      </c>
      <c r="D1508" s="144">
        <v>0.19</v>
      </c>
      <c r="E1508" s="144">
        <v>0.91</v>
      </c>
    </row>
    <row r="1509" spans="3:5">
      <c r="C1509" s="141">
        <v>11321</v>
      </c>
      <c r="D1509" s="144">
        <v>0.2</v>
      </c>
      <c r="E1509" s="144">
        <v>0.89</v>
      </c>
    </row>
    <row r="1510" spans="3:5">
      <c r="C1510" s="141">
        <v>11321.5</v>
      </c>
      <c r="D1510" s="144">
        <v>0.19</v>
      </c>
      <c r="E1510" s="144">
        <v>0.93</v>
      </c>
    </row>
    <row r="1511" spans="3:5">
      <c r="C1511" s="141">
        <v>11322</v>
      </c>
      <c r="D1511" s="144">
        <v>0.19</v>
      </c>
      <c r="E1511" s="144">
        <v>0.93</v>
      </c>
    </row>
    <row r="1512" spans="3:5">
      <c r="C1512" s="141">
        <v>11322.5</v>
      </c>
      <c r="D1512" s="144">
        <v>0.19</v>
      </c>
      <c r="E1512" s="144">
        <v>0.95</v>
      </c>
    </row>
    <row r="1513" spans="3:5">
      <c r="C1513" s="141">
        <v>11323</v>
      </c>
      <c r="D1513" s="144">
        <v>0.18</v>
      </c>
      <c r="E1513" s="144">
        <v>0.96</v>
      </c>
    </row>
    <row r="1514" spans="3:5">
      <c r="C1514" s="141">
        <v>11323.5</v>
      </c>
      <c r="D1514" s="144">
        <v>0.19</v>
      </c>
      <c r="E1514" s="144">
        <v>0.95</v>
      </c>
    </row>
    <row r="1515" spans="3:5">
      <c r="C1515" s="141">
        <v>11324</v>
      </c>
      <c r="D1515" s="144">
        <v>0.19</v>
      </c>
      <c r="E1515" s="144">
        <v>0.92</v>
      </c>
    </row>
    <row r="1516" spans="3:5">
      <c r="C1516" s="141">
        <v>11324.5</v>
      </c>
      <c r="D1516" s="144">
        <v>0.19</v>
      </c>
      <c r="E1516" s="144">
        <v>0.91</v>
      </c>
    </row>
    <row r="1517" spans="3:5">
      <c r="C1517" s="141">
        <v>11325</v>
      </c>
      <c r="D1517" s="144">
        <v>0.2</v>
      </c>
      <c r="E1517" s="144">
        <v>0.88</v>
      </c>
    </row>
    <row r="1518" spans="3:5">
      <c r="C1518" s="141">
        <v>11325.5</v>
      </c>
      <c r="D1518" s="144">
        <v>0.2</v>
      </c>
      <c r="E1518" s="144">
        <v>0.85</v>
      </c>
    </row>
    <row r="1519" spans="3:5">
      <c r="C1519" s="141">
        <v>11326</v>
      </c>
      <c r="D1519" s="144">
        <v>0.21</v>
      </c>
      <c r="E1519" s="144">
        <v>0.84</v>
      </c>
    </row>
    <row r="1520" spans="3:5">
      <c r="C1520" s="141">
        <v>11326.5</v>
      </c>
      <c r="D1520" s="144">
        <v>0.2</v>
      </c>
      <c r="E1520" s="144">
        <v>0.88</v>
      </c>
    </row>
    <row r="1521" spans="3:5">
      <c r="C1521" s="141">
        <v>11327</v>
      </c>
      <c r="D1521" s="144">
        <v>0.2</v>
      </c>
      <c r="E1521" s="144">
        <v>0.89</v>
      </c>
    </row>
    <row r="1522" spans="3:5">
      <c r="C1522" s="141">
        <v>11327.5</v>
      </c>
      <c r="D1522" s="144">
        <v>0.19</v>
      </c>
      <c r="E1522" s="144">
        <v>0.94</v>
      </c>
    </row>
    <row r="1523" spans="3:5">
      <c r="C1523" s="141">
        <v>11328</v>
      </c>
      <c r="D1523" s="144">
        <v>0.19</v>
      </c>
      <c r="E1523" s="144">
        <v>0.97</v>
      </c>
    </row>
    <row r="1524" spans="3:5">
      <c r="C1524" s="141">
        <v>11328.5</v>
      </c>
      <c r="D1524" s="144">
        <v>0.18</v>
      </c>
      <c r="E1524" s="144">
        <v>1</v>
      </c>
    </row>
    <row r="1525" spans="3:5">
      <c r="C1525" s="141">
        <v>11329</v>
      </c>
      <c r="D1525" s="144">
        <v>0.18</v>
      </c>
      <c r="E1525" s="144">
        <v>1</v>
      </c>
    </row>
    <row r="1526" spans="3:5">
      <c r="C1526" s="141">
        <v>11329.5</v>
      </c>
      <c r="D1526" s="144">
        <v>0.19</v>
      </c>
      <c r="E1526" s="144">
        <v>0.95</v>
      </c>
    </row>
    <row r="1527" spans="3:5">
      <c r="C1527" s="141">
        <v>11330</v>
      </c>
      <c r="D1527" s="144">
        <v>0.19</v>
      </c>
      <c r="E1527" s="144">
        <v>0.94</v>
      </c>
    </row>
    <row r="1528" spans="3:5">
      <c r="C1528" s="141">
        <v>11330.5</v>
      </c>
      <c r="D1528" s="144">
        <v>0.19</v>
      </c>
      <c r="E1528" s="144">
        <v>0.92</v>
      </c>
    </row>
    <row r="1529" spans="3:5">
      <c r="C1529" s="141">
        <v>11331</v>
      </c>
      <c r="D1529" s="144">
        <v>0.19</v>
      </c>
      <c r="E1529" s="144">
        <v>0.91</v>
      </c>
    </row>
    <row r="1530" spans="3:5">
      <c r="C1530" s="141">
        <v>11331.5</v>
      </c>
      <c r="D1530" s="144">
        <v>0.19</v>
      </c>
      <c r="E1530" s="144">
        <v>0.92</v>
      </c>
    </row>
    <row r="1531" spans="3:5">
      <c r="C1531" s="141">
        <v>11332</v>
      </c>
      <c r="D1531" s="144">
        <v>0.19</v>
      </c>
      <c r="E1531" s="144">
        <v>0.9</v>
      </c>
    </row>
    <row r="1532" spans="3:5">
      <c r="C1532" s="141">
        <v>11332.5</v>
      </c>
      <c r="D1532" s="144">
        <v>0.19</v>
      </c>
      <c r="E1532" s="144">
        <v>0.77</v>
      </c>
    </row>
    <row r="1533" spans="3:5">
      <c r="C1533" s="141">
        <v>11333</v>
      </c>
      <c r="D1533" s="144">
        <v>0.19</v>
      </c>
      <c r="E1533" s="144">
        <v>0.77</v>
      </c>
    </row>
    <row r="1534" spans="3:5">
      <c r="C1534" s="141">
        <v>11333.5</v>
      </c>
      <c r="D1534" s="144">
        <v>0.18</v>
      </c>
      <c r="E1534" s="144">
        <v>0.97</v>
      </c>
    </row>
    <row r="1535" spans="3:5">
      <c r="C1535" s="141">
        <v>11334</v>
      </c>
      <c r="D1535" s="144">
        <v>0.17</v>
      </c>
      <c r="E1535" s="144">
        <v>1</v>
      </c>
    </row>
    <row r="1536" spans="3:5">
      <c r="C1536" s="141">
        <v>11334.5</v>
      </c>
      <c r="D1536" s="144">
        <v>0.17</v>
      </c>
      <c r="E1536" s="144">
        <v>1</v>
      </c>
    </row>
    <row r="1537" spans="3:5">
      <c r="C1537" s="141">
        <v>11335</v>
      </c>
      <c r="D1537" s="144">
        <v>0.18</v>
      </c>
      <c r="E1537" s="144">
        <v>1</v>
      </c>
    </row>
    <row r="1538" spans="3:5">
      <c r="C1538" s="141">
        <v>11335.5</v>
      </c>
      <c r="D1538" s="144">
        <v>0.19</v>
      </c>
      <c r="E1538" s="144">
        <v>0.99</v>
      </c>
    </row>
    <row r="1539" spans="3:5">
      <c r="C1539" s="141">
        <v>11336</v>
      </c>
      <c r="D1539" s="144">
        <v>0.19</v>
      </c>
      <c r="E1539" s="144">
        <v>0.97</v>
      </c>
    </row>
    <row r="1540" spans="3:5">
      <c r="C1540" s="141">
        <v>11336.5</v>
      </c>
      <c r="D1540" s="144">
        <v>0.19</v>
      </c>
      <c r="E1540" s="144">
        <v>0.96</v>
      </c>
    </row>
    <row r="1541" spans="3:5">
      <c r="C1541" s="141">
        <v>11337</v>
      </c>
      <c r="D1541" s="144">
        <v>0.19</v>
      </c>
      <c r="E1541" s="144">
        <v>0.93</v>
      </c>
    </row>
    <row r="1542" spans="3:5">
      <c r="C1542" s="141">
        <v>11337.5</v>
      </c>
      <c r="D1542" s="144">
        <v>0.19</v>
      </c>
      <c r="E1542" s="144">
        <v>0.92</v>
      </c>
    </row>
    <row r="1543" spans="3:5">
      <c r="C1543" s="141">
        <v>11338</v>
      </c>
      <c r="D1543" s="144">
        <v>0.18</v>
      </c>
      <c r="E1543" s="144">
        <v>0.74</v>
      </c>
    </row>
    <row r="1544" spans="3:5">
      <c r="C1544" s="141">
        <v>11338.5</v>
      </c>
      <c r="D1544" s="144">
        <v>0.2</v>
      </c>
      <c r="E1544" s="144">
        <v>0.63</v>
      </c>
    </row>
    <row r="1545" spans="3:5">
      <c r="C1545" s="141">
        <v>11339</v>
      </c>
      <c r="D1545" s="144">
        <v>0.2</v>
      </c>
      <c r="E1545" s="144">
        <v>0.57999999999999996</v>
      </c>
    </row>
    <row r="1546" spans="3:5">
      <c r="C1546" s="141">
        <v>11339.5</v>
      </c>
      <c r="D1546" s="144">
        <v>0.15</v>
      </c>
      <c r="E1546" s="144">
        <v>0.52</v>
      </c>
    </row>
    <row r="1547" spans="3:5">
      <c r="C1547" s="141">
        <v>11340</v>
      </c>
      <c r="D1547" s="144">
        <v>0.15</v>
      </c>
      <c r="E1547" s="144">
        <v>0.5</v>
      </c>
    </row>
    <row r="1548" spans="3:5">
      <c r="C1548" s="141">
        <v>11340.5</v>
      </c>
      <c r="D1548" s="144">
        <v>0.21</v>
      </c>
      <c r="E1548" s="144">
        <v>0.5</v>
      </c>
    </row>
    <row r="1549" spans="3:5">
      <c r="C1549" s="141">
        <v>11341</v>
      </c>
      <c r="D1549" s="144">
        <v>0.2</v>
      </c>
      <c r="E1549" s="144">
        <v>0.5</v>
      </c>
    </row>
    <row r="1550" spans="3:5">
      <c r="C1550" s="141">
        <v>11341.5</v>
      </c>
      <c r="D1550" s="144">
        <v>0.2</v>
      </c>
      <c r="E1550" s="144">
        <v>0.52</v>
      </c>
    </row>
    <row r="1551" spans="3:5">
      <c r="C1551" s="141">
        <v>11342</v>
      </c>
      <c r="D1551" s="144">
        <v>0.2</v>
      </c>
      <c r="E1551" s="144">
        <v>0.56000000000000005</v>
      </c>
    </row>
    <row r="1552" spans="3:5">
      <c r="C1552" s="141">
        <v>11342.5</v>
      </c>
      <c r="D1552" s="144">
        <v>0.19</v>
      </c>
      <c r="E1552" s="144">
        <v>0.61</v>
      </c>
    </row>
    <row r="1553" spans="3:5">
      <c r="C1553" s="141">
        <v>11343</v>
      </c>
      <c r="D1553" s="144">
        <v>0.18</v>
      </c>
      <c r="E1553" s="144">
        <v>0.7</v>
      </c>
    </row>
    <row r="1554" spans="3:5">
      <c r="C1554" s="141">
        <v>11343.5</v>
      </c>
      <c r="D1554" s="144">
        <v>0.18</v>
      </c>
      <c r="E1554" s="144">
        <v>0.74</v>
      </c>
    </row>
    <row r="1555" spans="3:5">
      <c r="C1555" s="141">
        <v>11344</v>
      </c>
      <c r="D1555" s="144">
        <v>0.18</v>
      </c>
      <c r="E1555" s="144">
        <v>0.74</v>
      </c>
    </row>
    <row r="1556" spans="3:5">
      <c r="C1556" s="141">
        <v>11344.5</v>
      </c>
      <c r="D1556" s="144">
        <v>0.18</v>
      </c>
      <c r="E1556" s="144">
        <v>0.84</v>
      </c>
    </row>
    <row r="1557" spans="3:5">
      <c r="C1557" s="141">
        <v>11345</v>
      </c>
      <c r="D1557" s="144">
        <v>0.19</v>
      </c>
      <c r="E1557" s="144">
        <v>0.99</v>
      </c>
    </row>
    <row r="1558" spans="3:5">
      <c r="C1558" s="141">
        <v>11345.5</v>
      </c>
      <c r="D1558" s="144">
        <v>0.19</v>
      </c>
      <c r="E1558" s="144">
        <v>1</v>
      </c>
    </row>
    <row r="1559" spans="3:5">
      <c r="C1559" s="141">
        <v>11346</v>
      </c>
      <c r="D1559" s="144">
        <v>0.2</v>
      </c>
      <c r="E1559" s="144">
        <v>1</v>
      </c>
    </row>
    <row r="1560" spans="3:5">
      <c r="C1560" s="141">
        <v>11346.5</v>
      </c>
      <c r="D1560" s="144">
        <v>0.21</v>
      </c>
      <c r="E1560" s="144">
        <v>1</v>
      </c>
    </row>
    <row r="1561" spans="3:5">
      <c r="C1561" s="141">
        <v>11347</v>
      </c>
      <c r="D1561" s="144">
        <v>0.21</v>
      </c>
      <c r="E1561" s="144">
        <v>1</v>
      </c>
    </row>
    <row r="1562" spans="3:5">
      <c r="C1562" s="141">
        <v>11347.5</v>
      </c>
      <c r="D1562" s="144">
        <v>0.21</v>
      </c>
      <c r="E1562" s="144">
        <v>1</v>
      </c>
    </row>
    <row r="1563" spans="3:5">
      <c r="C1563" s="141">
        <v>11348</v>
      </c>
      <c r="D1563" s="144">
        <v>0.21</v>
      </c>
      <c r="E1563" s="144">
        <v>1</v>
      </c>
    </row>
    <row r="1564" spans="3:5">
      <c r="C1564" s="141">
        <v>11348.5</v>
      </c>
      <c r="D1564" s="144">
        <v>0.21</v>
      </c>
      <c r="E1564" s="144">
        <v>1</v>
      </c>
    </row>
    <row r="1565" spans="3:5">
      <c r="C1565" s="141">
        <v>11349</v>
      </c>
      <c r="D1565" s="144">
        <v>0.21</v>
      </c>
      <c r="E1565" s="144">
        <v>1</v>
      </c>
    </row>
    <row r="1566" spans="3:5">
      <c r="C1566" s="141">
        <v>11349.5</v>
      </c>
      <c r="D1566" s="144">
        <v>0.21</v>
      </c>
      <c r="E1566" s="144">
        <v>1</v>
      </c>
    </row>
    <row r="1567" spans="3:5">
      <c r="C1567" s="141">
        <v>11350</v>
      </c>
      <c r="D1567" s="144">
        <v>0.2</v>
      </c>
      <c r="E1567" s="144">
        <v>1</v>
      </c>
    </row>
    <row r="1568" spans="3:5">
      <c r="C1568" s="141">
        <v>11350.5</v>
      </c>
      <c r="D1568" s="144">
        <v>0.2</v>
      </c>
      <c r="E1568" s="144">
        <v>1</v>
      </c>
    </row>
    <row r="1569" spans="3:5">
      <c r="C1569" s="141">
        <v>11351</v>
      </c>
      <c r="D1569" s="144">
        <v>0.2</v>
      </c>
      <c r="E1569" s="144">
        <v>1</v>
      </c>
    </row>
    <row r="1570" spans="3:5">
      <c r="C1570" s="141">
        <v>11351.5</v>
      </c>
      <c r="D1570" s="144">
        <v>0.2</v>
      </c>
      <c r="E1570" s="144">
        <v>1</v>
      </c>
    </row>
    <row r="1571" spans="3:5">
      <c r="C1571" s="141">
        <v>11352</v>
      </c>
      <c r="D1571" s="144">
        <v>0.2</v>
      </c>
      <c r="E1571" s="144">
        <v>0.97</v>
      </c>
    </row>
    <row r="1572" spans="3:5">
      <c r="C1572" s="141">
        <v>11352.5</v>
      </c>
      <c r="D1572" s="144">
        <v>0.2</v>
      </c>
      <c r="E1572" s="144">
        <v>0.95</v>
      </c>
    </row>
    <row r="1573" spans="3:5">
      <c r="C1573" s="141">
        <v>11353</v>
      </c>
      <c r="D1573" s="144">
        <v>0.19</v>
      </c>
      <c r="E1573" s="144">
        <v>0.94</v>
      </c>
    </row>
    <row r="1574" spans="3:5">
      <c r="C1574" s="141">
        <v>11353.5</v>
      </c>
      <c r="D1574" s="144">
        <v>0.19</v>
      </c>
      <c r="E1574" s="144">
        <v>0.94</v>
      </c>
    </row>
    <row r="1575" spans="3:5">
      <c r="C1575" s="141">
        <v>11354</v>
      </c>
      <c r="D1575" s="144">
        <v>0.18</v>
      </c>
      <c r="E1575" s="144">
        <v>0.76</v>
      </c>
    </row>
    <row r="1576" spans="3:5">
      <c r="C1576" s="141">
        <v>11354.5</v>
      </c>
      <c r="D1576" s="144">
        <v>0.19</v>
      </c>
      <c r="E1576" s="144">
        <v>0.67</v>
      </c>
    </row>
    <row r="1577" spans="3:5">
      <c r="C1577" s="141">
        <v>11355</v>
      </c>
      <c r="D1577" s="144">
        <v>0.2</v>
      </c>
      <c r="E1577" s="144">
        <v>0.61</v>
      </c>
    </row>
    <row r="1578" spans="3:5">
      <c r="C1578" s="141">
        <v>11355.5</v>
      </c>
      <c r="D1578" s="144">
        <v>0.19</v>
      </c>
      <c r="E1578" s="144">
        <v>0.62</v>
      </c>
    </row>
    <row r="1579" spans="3:5">
      <c r="C1579" s="141">
        <v>11356</v>
      </c>
      <c r="D1579" s="144">
        <v>0.19</v>
      </c>
      <c r="E1579" s="144">
        <v>0.62</v>
      </c>
    </row>
    <row r="1580" spans="3:5">
      <c r="C1580" s="141">
        <v>11356.5</v>
      </c>
      <c r="D1580" s="144">
        <v>0.2</v>
      </c>
      <c r="E1580" s="144">
        <v>0.62</v>
      </c>
    </row>
    <row r="1581" spans="3:5">
      <c r="C1581" s="141">
        <v>11357</v>
      </c>
      <c r="D1581" s="144">
        <v>0.2</v>
      </c>
      <c r="E1581" s="144">
        <v>0.69</v>
      </c>
    </row>
    <row r="1582" spans="3:5">
      <c r="C1582" s="141">
        <v>11357.5</v>
      </c>
      <c r="D1582" s="144">
        <v>0.2</v>
      </c>
      <c r="E1582" s="144">
        <v>0.77</v>
      </c>
    </row>
    <row r="1583" spans="3:5">
      <c r="C1583" s="141">
        <v>11358</v>
      </c>
      <c r="D1583" s="144">
        <v>0.2</v>
      </c>
      <c r="E1583" s="144">
        <v>0.83</v>
      </c>
    </row>
    <row r="1584" spans="3:5">
      <c r="C1584" s="141">
        <v>11358.5</v>
      </c>
      <c r="D1584" s="144">
        <v>0.19</v>
      </c>
      <c r="E1584" s="144">
        <v>0.96</v>
      </c>
    </row>
    <row r="1585" spans="3:5">
      <c r="C1585" s="141">
        <v>11359</v>
      </c>
      <c r="D1585" s="144">
        <v>0.2</v>
      </c>
      <c r="E1585" s="144">
        <v>0.94</v>
      </c>
    </row>
    <row r="1586" spans="3:5">
      <c r="C1586" s="141">
        <v>11359.5</v>
      </c>
      <c r="D1586" s="144">
        <v>0.2</v>
      </c>
      <c r="E1586" s="144">
        <v>0.94</v>
      </c>
    </row>
    <row r="1587" spans="3:5">
      <c r="C1587" s="141">
        <v>11360</v>
      </c>
      <c r="D1587" s="144">
        <v>0.21</v>
      </c>
      <c r="E1587" s="144">
        <v>0.94</v>
      </c>
    </row>
    <row r="1588" spans="3:5">
      <c r="C1588" s="141">
        <v>11360.5</v>
      </c>
      <c r="D1588" s="144">
        <v>0.21</v>
      </c>
      <c r="E1588" s="144">
        <v>0.94</v>
      </c>
    </row>
    <row r="1589" spans="3:5">
      <c r="C1589" s="141">
        <v>11361</v>
      </c>
      <c r="D1589" s="144">
        <v>0.21</v>
      </c>
      <c r="E1589" s="144">
        <v>0.95</v>
      </c>
    </row>
    <row r="1590" spans="3:5">
      <c r="C1590" s="141">
        <v>11361.5</v>
      </c>
      <c r="D1590" s="144">
        <v>0.22</v>
      </c>
      <c r="E1590" s="144">
        <v>0.94</v>
      </c>
    </row>
    <row r="1591" spans="3:5">
      <c r="C1591" s="141">
        <v>11362</v>
      </c>
      <c r="D1591" s="144">
        <v>0.21</v>
      </c>
      <c r="E1591" s="144">
        <v>0.99</v>
      </c>
    </row>
    <row r="1592" spans="3:5">
      <c r="C1592" s="141">
        <v>11362.5</v>
      </c>
      <c r="D1592" s="144">
        <v>0.2</v>
      </c>
      <c r="E1592" s="144">
        <v>1</v>
      </c>
    </row>
    <row r="1593" spans="3:5">
      <c r="C1593" s="141">
        <v>11363</v>
      </c>
      <c r="D1593" s="144">
        <v>0.2</v>
      </c>
      <c r="E1593" s="144">
        <v>1</v>
      </c>
    </row>
    <row r="1594" spans="3:5">
      <c r="C1594" s="141">
        <v>11363.5</v>
      </c>
      <c r="D1594" s="144">
        <v>0.2</v>
      </c>
      <c r="E1594" s="144">
        <v>1</v>
      </c>
    </row>
    <row r="1595" spans="3:5">
      <c r="C1595" s="141">
        <v>11364</v>
      </c>
      <c r="D1595" s="144">
        <v>0.2</v>
      </c>
      <c r="E1595" s="144">
        <v>1</v>
      </c>
    </row>
    <row r="1596" spans="3:5">
      <c r="C1596" s="141">
        <v>11364.5</v>
      </c>
      <c r="D1596" s="144">
        <v>0.2</v>
      </c>
      <c r="E1596" s="144">
        <v>1</v>
      </c>
    </row>
    <row r="1597" spans="3:5">
      <c r="C1597" s="141">
        <v>11365</v>
      </c>
      <c r="D1597" s="144">
        <v>0.2</v>
      </c>
      <c r="E1597" s="144">
        <v>1</v>
      </c>
    </row>
    <row r="1598" spans="3:5">
      <c r="C1598" s="141">
        <v>11365.5</v>
      </c>
      <c r="D1598" s="144">
        <v>0.2</v>
      </c>
      <c r="E1598" s="144">
        <v>1</v>
      </c>
    </row>
    <row r="1599" spans="3:5">
      <c r="C1599" s="141">
        <v>11366</v>
      </c>
      <c r="D1599" s="144">
        <v>0.2</v>
      </c>
      <c r="E1599" s="144">
        <v>1</v>
      </c>
    </row>
    <row r="1600" spans="3:5">
      <c r="C1600" s="141">
        <v>11366.5</v>
      </c>
      <c r="D1600" s="144">
        <v>0.19</v>
      </c>
      <c r="E1600" s="144">
        <v>1</v>
      </c>
    </row>
    <row r="1601" spans="3:5">
      <c r="C1601" s="141">
        <v>11367</v>
      </c>
      <c r="D1601" s="144">
        <v>0.19</v>
      </c>
      <c r="E1601" s="144">
        <v>0.99</v>
      </c>
    </row>
    <row r="1602" spans="3:5">
      <c r="C1602" s="141">
        <v>11367.5</v>
      </c>
      <c r="D1602" s="144">
        <v>0.2</v>
      </c>
      <c r="E1602" s="144">
        <v>0.95</v>
      </c>
    </row>
    <row r="1603" spans="3:5">
      <c r="C1603" s="141">
        <v>11368</v>
      </c>
      <c r="D1603" s="144">
        <v>0.2</v>
      </c>
      <c r="E1603" s="144">
        <v>0.94</v>
      </c>
    </row>
    <row r="1604" spans="3:5">
      <c r="C1604" s="141">
        <v>11368.5</v>
      </c>
      <c r="D1604" s="144">
        <v>0.18</v>
      </c>
      <c r="E1604" s="144">
        <v>0.88</v>
      </c>
    </row>
    <row r="1605" spans="3:5">
      <c r="C1605" s="141">
        <v>11369</v>
      </c>
      <c r="D1605" s="144">
        <v>0.17</v>
      </c>
      <c r="E1605" s="144">
        <v>0.89</v>
      </c>
    </row>
    <row r="1606" spans="3:5">
      <c r="C1606" s="141">
        <v>11369.5</v>
      </c>
      <c r="D1606" s="144">
        <v>0.17</v>
      </c>
      <c r="E1606" s="144">
        <v>0.85</v>
      </c>
    </row>
    <row r="1607" spans="3:5">
      <c r="C1607" s="141">
        <v>11370</v>
      </c>
      <c r="D1607" s="144">
        <v>0.17</v>
      </c>
      <c r="E1607" s="144">
        <v>0.84</v>
      </c>
    </row>
    <row r="1608" spans="3:5">
      <c r="C1608" s="141">
        <v>11370.5</v>
      </c>
      <c r="D1608" s="144">
        <v>0.18</v>
      </c>
      <c r="E1608" s="144">
        <v>0.75</v>
      </c>
    </row>
    <row r="1609" spans="3:5">
      <c r="C1609" s="141">
        <v>11371</v>
      </c>
      <c r="D1609" s="144">
        <v>0.19</v>
      </c>
      <c r="E1609" s="144">
        <v>0.64</v>
      </c>
    </row>
    <row r="1610" spans="3:5">
      <c r="C1610" s="141">
        <v>11371.5</v>
      </c>
      <c r="D1610" s="144">
        <v>0.2</v>
      </c>
      <c r="E1610" s="144">
        <v>0.61</v>
      </c>
    </row>
    <row r="1611" spans="3:5">
      <c r="C1611" s="141">
        <v>11372</v>
      </c>
      <c r="D1611" s="144">
        <v>0.19</v>
      </c>
      <c r="E1611" s="144">
        <v>0.61</v>
      </c>
    </row>
    <row r="1612" spans="3:5">
      <c r="C1612" s="141">
        <v>11372.5</v>
      </c>
      <c r="D1612" s="144">
        <v>0.19</v>
      </c>
      <c r="E1612" s="144">
        <v>0.6</v>
      </c>
    </row>
    <row r="1613" spans="3:5">
      <c r="C1613" s="141">
        <v>11373</v>
      </c>
      <c r="D1613" s="144">
        <v>0.19</v>
      </c>
      <c r="E1613" s="144">
        <v>0.65</v>
      </c>
    </row>
    <row r="1614" spans="3:5">
      <c r="C1614" s="141">
        <v>11373.5</v>
      </c>
      <c r="D1614" s="144">
        <v>0.18</v>
      </c>
      <c r="E1614" s="144">
        <v>0.67</v>
      </c>
    </row>
    <row r="1615" spans="3:5">
      <c r="C1615" s="141">
        <v>11374</v>
      </c>
      <c r="D1615" s="144">
        <v>0.19</v>
      </c>
      <c r="E1615" s="144">
        <v>0.64</v>
      </c>
    </row>
    <row r="1616" spans="3:5">
      <c r="C1616" s="141">
        <v>11374.5</v>
      </c>
      <c r="D1616" s="144">
        <v>0.19</v>
      </c>
      <c r="E1616" s="144">
        <v>0.61</v>
      </c>
    </row>
    <row r="1617" spans="3:5">
      <c r="C1617" s="141">
        <v>11375</v>
      </c>
      <c r="D1617" s="144">
        <v>0.19</v>
      </c>
      <c r="E1617" s="144">
        <v>0.59</v>
      </c>
    </row>
    <row r="1618" spans="3:5">
      <c r="C1618" s="141">
        <v>11375.5</v>
      </c>
      <c r="D1618" s="144">
        <v>0.19</v>
      </c>
      <c r="E1618" s="144">
        <v>0.56000000000000005</v>
      </c>
    </row>
    <row r="1619" spans="3:5">
      <c r="C1619" s="141">
        <v>11376</v>
      </c>
      <c r="D1619" s="144">
        <v>0.2</v>
      </c>
      <c r="E1619" s="144">
        <v>0.52</v>
      </c>
    </row>
    <row r="1620" spans="3:5">
      <c r="C1620" s="141">
        <v>11376.5</v>
      </c>
      <c r="D1620" s="144">
        <v>0.2</v>
      </c>
      <c r="E1620" s="144">
        <v>0.52</v>
      </c>
    </row>
    <row r="1621" spans="3:5">
      <c r="C1621" s="141">
        <v>11377</v>
      </c>
      <c r="D1621" s="144">
        <v>0.2</v>
      </c>
      <c r="E1621" s="144">
        <v>0.52</v>
      </c>
    </row>
    <row r="1622" spans="3:5">
      <c r="C1622" s="141">
        <v>11377.5</v>
      </c>
      <c r="D1622" s="144">
        <v>0.21</v>
      </c>
      <c r="E1622" s="144">
        <v>0.51</v>
      </c>
    </row>
    <row r="1623" spans="3:5">
      <c r="C1623" s="141">
        <v>11378</v>
      </c>
      <c r="D1623" s="144">
        <v>0.21</v>
      </c>
      <c r="E1623" s="144">
        <v>0.54</v>
      </c>
    </row>
    <row r="1624" spans="3:5">
      <c r="C1624" s="141">
        <v>11378.5</v>
      </c>
      <c r="D1624" s="144">
        <v>0.19</v>
      </c>
      <c r="E1624" s="144">
        <v>0.63</v>
      </c>
    </row>
    <row r="1625" spans="3:5">
      <c r="C1625" s="141">
        <v>11379</v>
      </c>
      <c r="D1625" s="144">
        <v>0.19</v>
      </c>
      <c r="E1625" s="144">
        <v>0.73</v>
      </c>
    </row>
    <row r="1626" spans="3:5">
      <c r="C1626" s="141">
        <v>11379.5</v>
      </c>
      <c r="D1626" s="144">
        <v>0.19</v>
      </c>
      <c r="E1626" s="144">
        <v>0.81</v>
      </c>
    </row>
    <row r="1627" spans="3:5">
      <c r="C1627" s="141">
        <v>11380</v>
      </c>
      <c r="D1627" s="144">
        <v>0.19</v>
      </c>
      <c r="E1627" s="144">
        <v>0.9</v>
      </c>
    </row>
    <row r="1628" spans="3:5">
      <c r="C1628" s="141">
        <v>11380.5</v>
      </c>
      <c r="D1628" s="144">
        <v>0.19</v>
      </c>
      <c r="E1628" s="144">
        <v>0.98</v>
      </c>
    </row>
    <row r="1629" spans="3:5">
      <c r="C1629" s="141">
        <v>11381</v>
      </c>
      <c r="D1629" s="144">
        <v>0.19</v>
      </c>
      <c r="E1629" s="144">
        <v>1</v>
      </c>
    </row>
    <row r="1630" spans="3:5">
      <c r="C1630" s="141">
        <v>11381.5</v>
      </c>
      <c r="D1630" s="144">
        <v>0.2</v>
      </c>
      <c r="E1630" s="144">
        <v>1</v>
      </c>
    </row>
    <row r="1631" spans="3:5">
      <c r="C1631" s="141">
        <v>11382</v>
      </c>
      <c r="D1631" s="144">
        <v>0.21</v>
      </c>
      <c r="E1631" s="144">
        <v>1</v>
      </c>
    </row>
    <row r="1632" spans="3:5">
      <c r="C1632" s="141">
        <v>11382.5</v>
      </c>
      <c r="D1632" s="144">
        <v>0.21</v>
      </c>
      <c r="E1632" s="144">
        <v>1</v>
      </c>
    </row>
    <row r="1633" spans="3:5">
      <c r="C1633" s="141">
        <v>11383</v>
      </c>
      <c r="D1633" s="144">
        <v>0.22</v>
      </c>
      <c r="E1633" s="144">
        <v>1</v>
      </c>
    </row>
    <row r="1634" spans="3:5">
      <c r="C1634" s="141">
        <v>11383.5</v>
      </c>
      <c r="D1634" s="144">
        <v>0.22</v>
      </c>
      <c r="E1634" s="144">
        <v>1</v>
      </c>
    </row>
    <row r="1635" spans="3:5">
      <c r="C1635" s="141">
        <v>11384</v>
      </c>
      <c r="D1635" s="144">
        <v>0.21</v>
      </c>
      <c r="E1635" s="144">
        <v>1</v>
      </c>
    </row>
    <row r="1636" spans="3:5">
      <c r="C1636" s="141">
        <v>11384.5</v>
      </c>
      <c r="D1636" s="144">
        <v>0.2</v>
      </c>
      <c r="E1636" s="144">
        <v>1</v>
      </c>
    </row>
    <row r="1637" spans="3:5">
      <c r="C1637" s="141">
        <v>11385</v>
      </c>
      <c r="D1637" s="144">
        <v>0.2</v>
      </c>
      <c r="E1637" s="144">
        <v>1</v>
      </c>
    </row>
    <row r="1638" spans="3:5">
      <c r="C1638" s="141">
        <v>11385.5</v>
      </c>
      <c r="D1638" s="144">
        <v>0.19</v>
      </c>
      <c r="E1638" s="144">
        <v>1</v>
      </c>
    </row>
    <row r="1639" spans="3:5">
      <c r="C1639" s="141">
        <v>11386</v>
      </c>
      <c r="D1639" s="144">
        <v>0.19</v>
      </c>
      <c r="E1639" s="144">
        <v>1</v>
      </c>
    </row>
    <row r="1640" spans="3:5">
      <c r="C1640" s="141">
        <v>11386.5</v>
      </c>
      <c r="D1640" s="144">
        <v>0.19</v>
      </c>
      <c r="E1640" s="144">
        <v>1</v>
      </c>
    </row>
    <row r="1641" spans="3:5">
      <c r="C1641" s="141">
        <v>11387</v>
      </c>
      <c r="D1641" s="144">
        <v>0.19</v>
      </c>
      <c r="E1641" s="144">
        <v>1</v>
      </c>
    </row>
    <row r="1642" spans="3:5">
      <c r="C1642" s="141">
        <v>11387.5</v>
      </c>
      <c r="D1642" s="144">
        <v>0.19</v>
      </c>
      <c r="E1642" s="144">
        <v>1</v>
      </c>
    </row>
    <row r="1643" spans="3:5">
      <c r="C1643" s="141">
        <v>11388</v>
      </c>
      <c r="D1643" s="144">
        <v>0.19</v>
      </c>
      <c r="E1643" s="144">
        <v>1</v>
      </c>
    </row>
    <row r="1644" spans="3:5">
      <c r="C1644" s="141">
        <v>11388.5</v>
      </c>
      <c r="D1644" s="144">
        <v>0.19</v>
      </c>
      <c r="E1644" s="144">
        <v>1</v>
      </c>
    </row>
    <row r="1645" spans="3:5">
      <c r="C1645" s="141">
        <v>11389</v>
      </c>
      <c r="D1645" s="144">
        <v>0.2</v>
      </c>
      <c r="E1645" s="144">
        <v>1</v>
      </c>
    </row>
    <row r="1646" spans="3:5">
      <c r="C1646" s="141">
        <v>11389.5</v>
      </c>
      <c r="D1646" s="144">
        <v>0.21</v>
      </c>
      <c r="E1646" s="144">
        <v>1</v>
      </c>
    </row>
    <row r="1647" spans="3:5">
      <c r="C1647" s="141">
        <v>11390</v>
      </c>
      <c r="D1647" s="144">
        <v>0.21</v>
      </c>
      <c r="E1647" s="144">
        <v>1</v>
      </c>
    </row>
    <row r="1648" spans="3:5">
      <c r="C1648" s="141">
        <v>11390.5</v>
      </c>
      <c r="D1648" s="144">
        <v>0.21</v>
      </c>
      <c r="E1648" s="144">
        <v>1</v>
      </c>
    </row>
    <row r="1649" spans="3:5">
      <c r="C1649" s="141">
        <v>11391</v>
      </c>
      <c r="D1649" s="144">
        <v>0.21</v>
      </c>
      <c r="E1649" s="144">
        <v>1</v>
      </c>
    </row>
    <row r="1650" spans="3:5">
      <c r="C1650" s="141">
        <v>11391.5</v>
      </c>
      <c r="D1650" s="144">
        <v>0.2</v>
      </c>
      <c r="E1650" s="144">
        <v>1</v>
      </c>
    </row>
    <row r="1651" spans="3:5">
      <c r="C1651" s="141">
        <v>11392</v>
      </c>
      <c r="D1651" s="144">
        <v>0.19</v>
      </c>
      <c r="E1651" s="144">
        <v>0.88</v>
      </c>
    </row>
    <row r="1652" spans="3:5">
      <c r="C1652" s="141">
        <v>11392.5</v>
      </c>
      <c r="D1652" s="144">
        <v>0.2</v>
      </c>
      <c r="E1652" s="144">
        <v>0.67</v>
      </c>
    </row>
    <row r="1653" spans="3:5">
      <c r="C1653" s="141">
        <v>11393</v>
      </c>
      <c r="D1653" s="144">
        <v>0.15</v>
      </c>
      <c r="E1653" s="144">
        <v>0.61</v>
      </c>
    </row>
    <row r="1654" spans="3:5">
      <c r="C1654" s="141">
        <v>11393.5</v>
      </c>
      <c r="D1654" s="144">
        <v>0.15</v>
      </c>
      <c r="E1654" s="144">
        <v>0.56999999999999995</v>
      </c>
    </row>
    <row r="1655" spans="3:5">
      <c r="C1655" s="141">
        <v>11394</v>
      </c>
      <c r="D1655" s="144">
        <v>0.15</v>
      </c>
      <c r="E1655" s="144">
        <v>0.53</v>
      </c>
    </row>
    <row r="1656" spans="3:5">
      <c r="C1656" s="141">
        <v>11394.5</v>
      </c>
      <c r="D1656" s="144">
        <v>0.15</v>
      </c>
      <c r="E1656" s="144">
        <v>0.51</v>
      </c>
    </row>
    <row r="1657" spans="3:5">
      <c r="C1657" s="141">
        <v>11395</v>
      </c>
      <c r="D1657" s="144">
        <v>0.15</v>
      </c>
      <c r="E1657" s="144">
        <v>0.48</v>
      </c>
    </row>
    <row r="1658" spans="3:5">
      <c r="C1658" s="141">
        <v>11395.5</v>
      </c>
      <c r="D1658" s="144">
        <v>0.21</v>
      </c>
      <c r="E1658" s="144">
        <v>0.48</v>
      </c>
    </row>
    <row r="1659" spans="3:5">
      <c r="C1659" s="141">
        <v>11396</v>
      </c>
      <c r="D1659" s="144">
        <v>0.2</v>
      </c>
      <c r="E1659" s="144">
        <v>0.51</v>
      </c>
    </row>
    <row r="1660" spans="3:5">
      <c r="C1660" s="141">
        <v>11396.5</v>
      </c>
      <c r="D1660" s="144">
        <v>0.2</v>
      </c>
      <c r="E1660" s="144">
        <v>0.52</v>
      </c>
    </row>
    <row r="1661" spans="3:5">
      <c r="C1661" s="141">
        <v>11397</v>
      </c>
      <c r="D1661" s="144">
        <v>0.21</v>
      </c>
      <c r="E1661" s="144">
        <v>0.49</v>
      </c>
    </row>
    <row r="1662" spans="3:5">
      <c r="C1662" s="141">
        <v>11397.5</v>
      </c>
      <c r="D1662" s="144">
        <v>0.15</v>
      </c>
      <c r="E1662" s="144">
        <v>0.49</v>
      </c>
    </row>
    <row r="1663" spans="3:5">
      <c r="C1663" s="141">
        <v>11398</v>
      </c>
      <c r="D1663" s="144">
        <v>0.15</v>
      </c>
      <c r="E1663" s="144">
        <v>0.5</v>
      </c>
    </row>
    <row r="1664" spans="3:5">
      <c r="C1664" s="141">
        <v>11398.5</v>
      </c>
      <c r="D1664" s="144">
        <v>0.14000000000000001</v>
      </c>
      <c r="E1664" s="144">
        <v>0.52</v>
      </c>
    </row>
    <row r="1665" spans="3:5">
      <c r="C1665" s="141">
        <v>11399</v>
      </c>
      <c r="D1665" s="144">
        <v>0.21</v>
      </c>
      <c r="E1665" s="144">
        <v>0.53</v>
      </c>
    </row>
    <row r="1666" spans="3:5">
      <c r="C1666" s="141">
        <v>11399.5</v>
      </c>
      <c r="D1666" s="144">
        <v>0.2</v>
      </c>
      <c r="E1666" s="144">
        <v>0.54</v>
      </c>
    </row>
    <row r="1667" spans="3:5">
      <c r="C1667" s="141">
        <v>11400</v>
      </c>
      <c r="D1667" s="144">
        <v>0.18</v>
      </c>
      <c r="E1667" s="144">
        <v>0.6</v>
      </c>
    </row>
    <row r="1668" spans="3:5">
      <c r="C1668" s="141">
        <v>11400.5</v>
      </c>
      <c r="D1668" s="144">
        <v>0.19</v>
      </c>
      <c r="E1668" s="144">
        <v>0.59</v>
      </c>
    </row>
    <row r="1669" spans="3:5">
      <c r="C1669" s="141">
        <v>11401</v>
      </c>
      <c r="D1669" s="144">
        <v>0.19</v>
      </c>
      <c r="E1669" s="144">
        <v>0.56000000000000005</v>
      </c>
    </row>
    <row r="1670" spans="3:5">
      <c r="C1670" s="141">
        <v>11401.5</v>
      </c>
      <c r="D1670" s="144">
        <v>0.19</v>
      </c>
      <c r="E1670" s="144">
        <v>0.56999999999999995</v>
      </c>
    </row>
    <row r="1671" spans="3:5">
      <c r="C1671" s="141">
        <v>11402</v>
      </c>
      <c r="D1671" s="144">
        <v>0.19</v>
      </c>
      <c r="E1671" s="144">
        <v>0.59</v>
      </c>
    </row>
    <row r="1672" spans="3:5">
      <c r="C1672" s="141">
        <v>11402.5</v>
      </c>
      <c r="D1672" s="144">
        <v>0.17</v>
      </c>
      <c r="E1672" s="144">
        <v>0.68</v>
      </c>
    </row>
    <row r="1673" spans="3:5">
      <c r="C1673" s="141">
        <v>11403</v>
      </c>
      <c r="D1673" s="144">
        <v>0.17</v>
      </c>
      <c r="E1673" s="144">
        <v>0.76</v>
      </c>
    </row>
    <row r="1674" spans="3:5">
      <c r="C1674" s="141">
        <v>11403.5</v>
      </c>
      <c r="D1674" s="144">
        <v>0.16</v>
      </c>
      <c r="E1674" s="144">
        <v>0.84</v>
      </c>
    </row>
    <row r="1675" spans="3:5">
      <c r="C1675" s="141">
        <v>11404</v>
      </c>
      <c r="D1675" s="144">
        <v>0.16</v>
      </c>
      <c r="E1675" s="144">
        <v>0.98</v>
      </c>
    </row>
    <row r="1676" spans="3:5">
      <c r="C1676" s="141">
        <v>11404.5</v>
      </c>
      <c r="D1676" s="144">
        <v>0.18</v>
      </c>
      <c r="E1676" s="144">
        <v>1</v>
      </c>
    </row>
    <row r="1677" spans="3:5">
      <c r="C1677" s="141">
        <v>11405</v>
      </c>
      <c r="D1677" s="144">
        <v>0.19</v>
      </c>
      <c r="E1677" s="144">
        <v>1</v>
      </c>
    </row>
    <row r="1678" spans="3:5">
      <c r="C1678" s="141">
        <v>11405.5</v>
      </c>
      <c r="D1678" s="144">
        <v>0.19</v>
      </c>
      <c r="E1678" s="144">
        <v>1</v>
      </c>
    </row>
    <row r="1679" spans="3:5">
      <c r="C1679" s="141">
        <v>11406</v>
      </c>
      <c r="D1679" s="144">
        <v>0.2</v>
      </c>
      <c r="E1679" s="144">
        <v>1</v>
      </c>
    </row>
    <row r="1680" spans="3:5">
      <c r="C1680" s="141">
        <v>11406.5</v>
      </c>
      <c r="D1680" s="144">
        <v>0.2</v>
      </c>
      <c r="E1680" s="144">
        <v>1</v>
      </c>
    </row>
    <row r="1681" spans="3:5">
      <c r="C1681" s="141">
        <v>11407</v>
      </c>
      <c r="D1681" s="144">
        <v>0.2</v>
      </c>
      <c r="E1681" s="144">
        <v>1</v>
      </c>
    </row>
    <row r="1682" spans="3:5">
      <c r="C1682" s="141">
        <v>11407.5</v>
      </c>
      <c r="D1682" s="144">
        <v>0.19</v>
      </c>
      <c r="E1682" s="144">
        <v>1</v>
      </c>
    </row>
    <row r="1683" spans="3:5">
      <c r="C1683" s="141">
        <v>11408</v>
      </c>
      <c r="D1683" s="144">
        <v>0.19</v>
      </c>
      <c r="E1683" s="144">
        <v>1</v>
      </c>
    </row>
    <row r="1684" spans="3:5">
      <c r="C1684" s="141">
        <v>11408.5</v>
      </c>
      <c r="D1684" s="144">
        <v>0.19</v>
      </c>
      <c r="E1684" s="144">
        <v>1</v>
      </c>
    </row>
    <row r="1685" spans="3:5">
      <c r="C1685" s="141">
        <v>11409</v>
      </c>
      <c r="D1685" s="144">
        <v>0.19</v>
      </c>
      <c r="E1685" s="144">
        <v>1</v>
      </c>
    </row>
    <row r="1686" spans="3:5">
      <c r="C1686" s="141">
        <v>11409.5</v>
      </c>
      <c r="D1686" s="144">
        <v>0.18</v>
      </c>
      <c r="E1686" s="144">
        <v>1</v>
      </c>
    </row>
    <row r="1687" spans="3:5">
      <c r="C1687" s="141">
        <v>11410</v>
      </c>
      <c r="D1687" s="144">
        <v>0.18</v>
      </c>
      <c r="E1687" s="144">
        <v>0.9</v>
      </c>
    </row>
    <row r="1688" spans="3:5">
      <c r="C1688" s="141">
        <v>11410.5</v>
      </c>
      <c r="D1688" s="144">
        <v>0.19</v>
      </c>
      <c r="E1688" s="144">
        <v>0.79</v>
      </c>
    </row>
    <row r="1689" spans="3:5">
      <c r="C1689" s="141">
        <v>11411</v>
      </c>
      <c r="D1689" s="144">
        <v>0.21</v>
      </c>
      <c r="E1689" s="144">
        <v>0.71</v>
      </c>
    </row>
    <row r="1690" spans="3:5">
      <c r="C1690" s="141">
        <v>11411.5</v>
      </c>
      <c r="D1690" s="144">
        <v>0.14000000000000001</v>
      </c>
      <c r="E1690" s="144">
        <v>0.69</v>
      </c>
    </row>
    <row r="1691" spans="3:5">
      <c r="C1691" s="141">
        <v>11412</v>
      </c>
      <c r="D1691" s="144">
        <v>0.15</v>
      </c>
      <c r="E1691" s="144">
        <v>0.65</v>
      </c>
    </row>
    <row r="1692" spans="3:5">
      <c r="C1692" s="141">
        <v>11412.5</v>
      </c>
      <c r="D1692" s="144">
        <v>0.21</v>
      </c>
      <c r="E1692" s="144">
        <v>0.61</v>
      </c>
    </row>
    <row r="1693" spans="3:5">
      <c r="C1693" s="141">
        <v>11413</v>
      </c>
      <c r="D1693" s="144">
        <v>0.21</v>
      </c>
      <c r="E1693" s="144">
        <v>0.54</v>
      </c>
    </row>
    <row r="1694" spans="3:5">
      <c r="C1694" s="141">
        <v>11413.5</v>
      </c>
      <c r="D1694" s="144">
        <v>0.21</v>
      </c>
      <c r="E1694" s="144">
        <v>0.49</v>
      </c>
    </row>
    <row r="1695" spans="3:5">
      <c r="C1695" s="141">
        <v>11414</v>
      </c>
      <c r="D1695" s="144">
        <v>0.17</v>
      </c>
      <c r="E1695" s="144">
        <v>0.46</v>
      </c>
    </row>
    <row r="1696" spans="3:5">
      <c r="C1696" s="141">
        <v>11414.5</v>
      </c>
      <c r="D1696" s="144">
        <v>0.17</v>
      </c>
      <c r="E1696" s="144">
        <v>0.45</v>
      </c>
    </row>
    <row r="1697" spans="3:5">
      <c r="C1697" s="141">
        <v>11415</v>
      </c>
      <c r="D1697" s="144">
        <v>0.16</v>
      </c>
      <c r="E1697" s="144">
        <v>0.45</v>
      </c>
    </row>
    <row r="1698" spans="3:5">
      <c r="C1698" s="141">
        <v>11415.5</v>
      </c>
      <c r="D1698" s="144">
        <v>0.17</v>
      </c>
      <c r="E1698" s="144">
        <v>0.44</v>
      </c>
    </row>
    <row r="1699" spans="3:5">
      <c r="C1699" s="141">
        <v>11416</v>
      </c>
      <c r="D1699" s="144">
        <v>0.17</v>
      </c>
      <c r="E1699" s="144">
        <v>0.43</v>
      </c>
    </row>
    <row r="1700" spans="3:5">
      <c r="C1700" s="141">
        <v>11416.5</v>
      </c>
      <c r="D1700" s="144">
        <v>0.18</v>
      </c>
      <c r="E1700" s="144">
        <v>0.42</v>
      </c>
    </row>
    <row r="1701" spans="3:5">
      <c r="C1701" s="141">
        <v>11417</v>
      </c>
      <c r="D1701" s="144">
        <v>0.19</v>
      </c>
      <c r="E1701" s="144">
        <v>0.41</v>
      </c>
    </row>
    <row r="1702" spans="3:5">
      <c r="C1702" s="141">
        <v>11417.5</v>
      </c>
      <c r="D1702" s="144">
        <v>0.19</v>
      </c>
      <c r="E1702" s="144">
        <v>0.41</v>
      </c>
    </row>
    <row r="1703" spans="3:5">
      <c r="C1703" s="141">
        <v>11418</v>
      </c>
      <c r="D1703" s="144">
        <v>0.18</v>
      </c>
      <c r="E1703" s="144">
        <v>0.43</v>
      </c>
    </row>
    <row r="1704" spans="3:5">
      <c r="C1704" s="141">
        <v>11418.5</v>
      </c>
      <c r="D1704" s="144">
        <v>0.16</v>
      </c>
      <c r="E1704" s="144">
        <v>0.47</v>
      </c>
    </row>
    <row r="1705" spans="3:5">
      <c r="C1705" s="141">
        <v>11419</v>
      </c>
      <c r="D1705" s="144">
        <v>0.21</v>
      </c>
      <c r="E1705" s="144">
        <v>0.49</v>
      </c>
    </row>
    <row r="1706" spans="3:5">
      <c r="C1706" s="141">
        <v>11419.5</v>
      </c>
      <c r="D1706" s="144">
        <v>0.21</v>
      </c>
      <c r="E1706" s="144">
        <v>0.52</v>
      </c>
    </row>
    <row r="1707" spans="3:5">
      <c r="C1707" s="141">
        <v>11420</v>
      </c>
      <c r="D1707" s="144">
        <v>0.2</v>
      </c>
      <c r="E1707" s="144">
        <v>0.54</v>
      </c>
    </row>
    <row r="1708" spans="3:5">
      <c r="C1708" s="141">
        <v>11420.5</v>
      </c>
      <c r="D1708" s="144">
        <v>0.2</v>
      </c>
      <c r="E1708" s="144">
        <v>0.56999999999999995</v>
      </c>
    </row>
    <row r="1709" spans="3:5">
      <c r="C1709" s="141">
        <v>11421</v>
      </c>
      <c r="D1709" s="144">
        <v>0.19</v>
      </c>
      <c r="E1709" s="144">
        <v>0.65</v>
      </c>
    </row>
    <row r="1710" spans="3:5">
      <c r="C1710" s="141">
        <v>11421.5</v>
      </c>
      <c r="D1710" s="144">
        <v>0.18</v>
      </c>
      <c r="E1710" s="144">
        <v>0.74</v>
      </c>
    </row>
    <row r="1711" spans="3:5">
      <c r="C1711" s="141">
        <v>11422</v>
      </c>
      <c r="D1711" s="144">
        <v>0.18</v>
      </c>
      <c r="E1711" s="144">
        <v>0.77</v>
      </c>
    </row>
    <row r="1712" spans="3:5">
      <c r="C1712" s="141">
        <v>11422.5</v>
      </c>
      <c r="D1712" s="144">
        <v>0.18</v>
      </c>
      <c r="E1712" s="144">
        <v>0.81</v>
      </c>
    </row>
    <row r="1713" spans="3:5">
      <c r="C1713" s="141">
        <v>11423</v>
      </c>
      <c r="D1713" s="144">
        <v>0.18</v>
      </c>
      <c r="E1713" s="144">
        <v>0.77</v>
      </c>
    </row>
    <row r="1714" spans="3:5">
      <c r="C1714" s="141">
        <v>11423.5</v>
      </c>
      <c r="D1714" s="144">
        <v>0.19</v>
      </c>
      <c r="E1714" s="144">
        <v>0.77</v>
      </c>
    </row>
    <row r="1715" spans="3:5">
      <c r="C1715" s="141">
        <v>11424</v>
      </c>
      <c r="D1715" s="144">
        <v>0.18</v>
      </c>
      <c r="E1715" s="144">
        <v>0.78</v>
      </c>
    </row>
    <row r="1716" spans="3:5">
      <c r="C1716" s="141">
        <v>11424.5</v>
      </c>
      <c r="D1716" s="144">
        <v>0.18</v>
      </c>
      <c r="E1716" s="144">
        <v>0.81</v>
      </c>
    </row>
    <row r="1717" spans="3:5">
      <c r="C1717" s="141">
        <v>11425</v>
      </c>
      <c r="D1717" s="144">
        <v>0.18</v>
      </c>
      <c r="E1717" s="144">
        <v>0.75</v>
      </c>
    </row>
    <row r="1718" spans="3:5">
      <c r="C1718" s="141">
        <v>11425.5</v>
      </c>
      <c r="D1718" s="144">
        <v>0.19</v>
      </c>
      <c r="E1718" s="144">
        <v>0.63</v>
      </c>
    </row>
    <row r="1719" spans="3:5">
      <c r="C1719" s="141">
        <v>11426</v>
      </c>
      <c r="D1719" s="144">
        <v>0.21</v>
      </c>
      <c r="E1719" s="144">
        <v>0.54</v>
      </c>
    </row>
    <row r="1720" spans="3:5">
      <c r="C1720" s="141">
        <v>11426.5</v>
      </c>
      <c r="D1720" s="144">
        <v>0.17</v>
      </c>
      <c r="E1720" s="144">
        <v>0.49</v>
      </c>
    </row>
    <row r="1721" spans="3:5">
      <c r="C1721" s="141">
        <v>11427</v>
      </c>
      <c r="D1721" s="144">
        <v>0.19</v>
      </c>
      <c r="E1721" s="144">
        <v>0.44</v>
      </c>
    </row>
    <row r="1722" spans="3:5">
      <c r="C1722" s="141">
        <v>11427.5</v>
      </c>
      <c r="D1722" s="144">
        <v>0.19</v>
      </c>
      <c r="E1722" s="144">
        <v>0.43</v>
      </c>
    </row>
    <row r="1723" spans="3:5">
      <c r="C1723" s="141">
        <v>11428</v>
      </c>
      <c r="D1723" s="144">
        <v>0.19</v>
      </c>
      <c r="E1723" s="144">
        <v>0.43</v>
      </c>
    </row>
    <row r="1724" spans="3:5">
      <c r="C1724" s="141">
        <v>11428.5</v>
      </c>
      <c r="D1724" s="144">
        <v>0.19</v>
      </c>
      <c r="E1724" s="144">
        <v>0.43</v>
      </c>
    </row>
    <row r="1725" spans="3:5">
      <c r="C1725" s="141">
        <v>11429</v>
      </c>
      <c r="D1725" s="144">
        <v>0.18</v>
      </c>
      <c r="E1725" s="144">
        <v>0.44</v>
      </c>
    </row>
    <row r="1726" spans="3:5">
      <c r="C1726" s="141">
        <v>11429.5</v>
      </c>
      <c r="D1726" s="144">
        <v>0.17</v>
      </c>
      <c r="E1726" s="144">
        <v>0.46</v>
      </c>
    </row>
    <row r="1727" spans="3:5">
      <c r="C1727" s="141">
        <v>11430</v>
      </c>
      <c r="D1727" s="144">
        <v>0.18</v>
      </c>
      <c r="E1727" s="144">
        <v>0.45</v>
      </c>
    </row>
    <row r="1728" spans="3:5">
      <c r="C1728" s="141">
        <v>11430.5</v>
      </c>
      <c r="D1728" s="144">
        <v>0.19</v>
      </c>
      <c r="E1728" s="144">
        <v>0.43</v>
      </c>
    </row>
    <row r="1729" spans="3:5">
      <c r="C1729" s="141">
        <v>11431</v>
      </c>
      <c r="D1729" s="144">
        <v>0.19</v>
      </c>
      <c r="E1729" s="144">
        <v>0.43</v>
      </c>
    </row>
    <row r="1730" spans="3:5">
      <c r="C1730" s="141">
        <v>11431.5</v>
      </c>
      <c r="D1730" s="144">
        <v>0.19</v>
      </c>
      <c r="E1730" s="144">
        <v>0.44</v>
      </c>
    </row>
    <row r="1731" spans="3:5">
      <c r="C1731" s="141">
        <v>11432</v>
      </c>
      <c r="D1731" s="144">
        <v>0.19</v>
      </c>
      <c r="E1731" s="144">
        <v>0.43</v>
      </c>
    </row>
    <row r="1732" spans="3:5">
      <c r="C1732" s="141">
        <v>11432.5</v>
      </c>
      <c r="D1732" s="144">
        <v>0.2</v>
      </c>
      <c r="E1732" s="144">
        <v>0.42</v>
      </c>
    </row>
    <row r="1733" spans="3:5">
      <c r="C1733" s="141">
        <v>11433</v>
      </c>
      <c r="D1733" s="144">
        <v>0.19</v>
      </c>
      <c r="E1733" s="144">
        <v>0.43</v>
      </c>
    </row>
    <row r="1734" spans="3:5">
      <c r="C1734" s="141">
        <v>11433.5</v>
      </c>
      <c r="D1734" s="144">
        <v>0.19</v>
      </c>
      <c r="E1734" s="144">
        <v>0.44</v>
      </c>
    </row>
    <row r="1735" spans="3:5">
      <c r="C1735" s="141">
        <v>11434</v>
      </c>
      <c r="D1735" s="144">
        <v>0.19</v>
      </c>
      <c r="E1735" s="144">
        <v>0.44</v>
      </c>
    </row>
    <row r="1736" spans="3:5">
      <c r="C1736" s="141">
        <v>11434.5</v>
      </c>
      <c r="D1736" s="144">
        <v>0.19</v>
      </c>
      <c r="E1736" s="144">
        <v>0.44</v>
      </c>
    </row>
    <row r="1737" spans="3:5">
      <c r="C1737" s="141">
        <v>11435</v>
      </c>
      <c r="D1737" s="144">
        <v>0.18</v>
      </c>
      <c r="E1737" s="144">
        <v>0.44</v>
      </c>
    </row>
    <row r="1738" spans="3:5">
      <c r="C1738" s="141">
        <v>11435.5</v>
      </c>
      <c r="D1738" s="144">
        <v>0.18</v>
      </c>
      <c r="E1738" s="144">
        <v>0.44</v>
      </c>
    </row>
    <row r="1739" spans="3:5">
      <c r="C1739" s="141">
        <v>11436</v>
      </c>
      <c r="D1739" s="144">
        <v>0.17</v>
      </c>
      <c r="E1739" s="144">
        <v>0.45</v>
      </c>
    </row>
    <row r="1740" spans="3:5">
      <c r="C1740" s="141">
        <v>11436.5</v>
      </c>
      <c r="D1740" s="144">
        <v>0.16</v>
      </c>
      <c r="E1740" s="144">
        <v>0.47</v>
      </c>
    </row>
    <row r="1741" spans="3:5">
      <c r="C1741" s="141">
        <v>11437</v>
      </c>
      <c r="D1741" s="144">
        <v>0.16</v>
      </c>
      <c r="E1741" s="144">
        <v>0.47</v>
      </c>
    </row>
    <row r="1742" spans="3:5">
      <c r="C1742" s="141">
        <v>11437.5</v>
      </c>
      <c r="D1742" s="144">
        <v>0.15</v>
      </c>
      <c r="E1742" s="144">
        <v>0.48</v>
      </c>
    </row>
    <row r="1743" spans="3:5">
      <c r="C1743" s="141">
        <v>11438</v>
      </c>
      <c r="D1743" s="144">
        <v>0.15</v>
      </c>
      <c r="E1743" s="144">
        <v>0.48</v>
      </c>
    </row>
    <row r="1744" spans="3:5">
      <c r="C1744" s="141">
        <v>11438.5</v>
      </c>
      <c r="D1744" s="144">
        <v>0.14000000000000001</v>
      </c>
      <c r="E1744" s="144">
        <v>0.5</v>
      </c>
    </row>
    <row r="1745" spans="3:5">
      <c r="C1745" s="141">
        <v>11439</v>
      </c>
      <c r="D1745" s="144">
        <v>0.21</v>
      </c>
      <c r="E1745" s="144">
        <v>0.52</v>
      </c>
    </row>
    <row r="1746" spans="3:5">
      <c r="C1746" s="141">
        <v>11439.5</v>
      </c>
      <c r="D1746" s="144">
        <v>0.2</v>
      </c>
      <c r="E1746" s="144">
        <v>0.55000000000000004</v>
      </c>
    </row>
    <row r="1747" spans="3:5">
      <c r="C1747" s="141">
        <v>11440</v>
      </c>
      <c r="D1747" s="144">
        <v>0.19</v>
      </c>
      <c r="E1747" s="144">
        <v>0.62</v>
      </c>
    </row>
    <row r="1748" spans="3:5">
      <c r="C1748" s="141">
        <v>11440.5</v>
      </c>
      <c r="D1748" s="144">
        <v>0.18</v>
      </c>
      <c r="E1748" s="144">
        <v>0.7</v>
      </c>
    </row>
    <row r="1749" spans="3:5">
      <c r="C1749" s="141">
        <v>11441</v>
      </c>
      <c r="D1749" s="144">
        <v>0.19</v>
      </c>
      <c r="E1749" s="144">
        <v>0.73</v>
      </c>
    </row>
    <row r="1750" spans="3:5">
      <c r="C1750" s="141">
        <v>11441.5</v>
      </c>
      <c r="D1750" s="144">
        <v>0.19</v>
      </c>
      <c r="E1750" s="144">
        <v>0.75</v>
      </c>
    </row>
    <row r="1751" spans="3:5">
      <c r="C1751" s="141">
        <v>11442</v>
      </c>
      <c r="D1751" s="144">
        <v>0.19</v>
      </c>
      <c r="E1751" s="144">
        <v>0.77</v>
      </c>
    </row>
    <row r="1752" spans="3:5">
      <c r="C1752" s="141">
        <v>11442.5</v>
      </c>
      <c r="D1752" s="144">
        <v>0.19</v>
      </c>
      <c r="E1752" s="144">
        <v>0.84</v>
      </c>
    </row>
    <row r="1753" spans="3:5">
      <c r="C1753" s="141">
        <v>11443</v>
      </c>
      <c r="D1753" s="144">
        <v>0.18</v>
      </c>
      <c r="E1753" s="144">
        <v>1</v>
      </c>
    </row>
    <row r="1754" spans="3:5">
      <c r="C1754" s="141">
        <v>11443.5</v>
      </c>
      <c r="D1754" s="144">
        <v>0.18</v>
      </c>
      <c r="E1754" s="144">
        <v>1</v>
      </c>
    </row>
    <row r="1755" spans="3:5">
      <c r="C1755" s="141">
        <v>11444</v>
      </c>
      <c r="D1755" s="144">
        <v>0.19</v>
      </c>
      <c r="E1755" s="144">
        <v>1</v>
      </c>
    </row>
    <row r="1756" spans="3:5">
      <c r="C1756" s="141">
        <v>11444.5</v>
      </c>
      <c r="D1756" s="144">
        <v>0.19</v>
      </c>
      <c r="E1756" s="144">
        <v>1</v>
      </c>
    </row>
    <row r="1757" spans="3:5">
      <c r="C1757" s="141">
        <v>11445</v>
      </c>
      <c r="D1757" s="144">
        <v>0.18</v>
      </c>
      <c r="E1757" s="144">
        <v>1</v>
      </c>
    </row>
    <row r="1758" spans="3:5">
      <c r="C1758" s="141">
        <v>11445.5</v>
      </c>
      <c r="D1758" s="144">
        <v>0.17</v>
      </c>
      <c r="E1758" s="144">
        <v>0.86</v>
      </c>
    </row>
    <row r="1759" spans="3:5">
      <c r="C1759" s="141">
        <v>11446</v>
      </c>
      <c r="D1759" s="144">
        <v>0.18</v>
      </c>
      <c r="E1759" s="144">
        <v>0.81</v>
      </c>
    </row>
    <row r="1760" spans="3:5">
      <c r="C1760" s="141">
        <v>11446.5</v>
      </c>
      <c r="D1760" s="144">
        <v>0.18</v>
      </c>
      <c r="E1760" s="144">
        <v>0.78</v>
      </c>
    </row>
    <row r="1761" spans="3:5">
      <c r="C1761" s="141">
        <v>11447</v>
      </c>
      <c r="D1761" s="144">
        <v>0.18</v>
      </c>
      <c r="E1761" s="144">
        <v>0.8</v>
      </c>
    </row>
    <row r="1762" spans="3:5">
      <c r="C1762" s="141">
        <v>11447.5</v>
      </c>
      <c r="D1762" s="144">
        <v>0.18</v>
      </c>
      <c r="E1762" s="144">
        <v>0.77</v>
      </c>
    </row>
    <row r="1763" spans="3:5">
      <c r="C1763" s="141">
        <v>11448</v>
      </c>
      <c r="D1763" s="144">
        <v>0.19</v>
      </c>
      <c r="E1763" s="144">
        <v>0.75</v>
      </c>
    </row>
    <row r="1764" spans="3:5">
      <c r="C1764" s="141">
        <v>11448.5</v>
      </c>
      <c r="D1764" s="144">
        <v>0.19</v>
      </c>
      <c r="E1764" s="144">
        <v>0.82</v>
      </c>
    </row>
    <row r="1765" spans="3:5">
      <c r="C1765" s="141">
        <v>11449</v>
      </c>
      <c r="D1765" s="144">
        <v>0.2</v>
      </c>
      <c r="E1765" s="144">
        <v>0.91</v>
      </c>
    </row>
    <row r="1766" spans="3:5">
      <c r="C1766" s="141">
        <v>11449.5</v>
      </c>
      <c r="D1766" s="144">
        <v>0.2</v>
      </c>
      <c r="E1766" s="144">
        <v>0.9</v>
      </c>
    </row>
    <row r="1767" spans="3:5">
      <c r="C1767" s="141">
        <v>11450</v>
      </c>
      <c r="D1767" s="144">
        <v>0.2</v>
      </c>
      <c r="E1767" s="144">
        <v>0.87</v>
      </c>
    </row>
    <row r="1768" spans="3:5">
      <c r="C1768" s="141">
        <v>11450.5</v>
      </c>
      <c r="D1768" s="144">
        <v>0.19</v>
      </c>
      <c r="E1768" s="144">
        <v>0.82</v>
      </c>
    </row>
    <row r="1769" spans="3:5">
      <c r="C1769" s="141">
        <v>11451</v>
      </c>
      <c r="D1769" s="144">
        <v>0.2</v>
      </c>
      <c r="E1769" s="144">
        <v>0.7</v>
      </c>
    </row>
    <row r="1770" spans="3:5">
      <c r="C1770" s="141">
        <v>11451.5</v>
      </c>
      <c r="D1770" s="144">
        <v>0.2</v>
      </c>
      <c r="E1770" s="144">
        <v>0.62</v>
      </c>
    </row>
    <row r="1771" spans="3:5">
      <c r="C1771" s="141">
        <v>11452</v>
      </c>
      <c r="D1771" s="144">
        <v>0.19</v>
      </c>
      <c r="E1771" s="144">
        <v>0.56999999999999995</v>
      </c>
    </row>
    <row r="1772" spans="3:5">
      <c r="C1772" s="141">
        <v>11452.5</v>
      </c>
      <c r="D1772" s="144">
        <v>0.19</v>
      </c>
      <c r="E1772" s="144">
        <v>0.55000000000000004</v>
      </c>
    </row>
    <row r="1773" spans="3:5">
      <c r="C1773" s="141">
        <v>11453</v>
      </c>
      <c r="D1773" s="144">
        <v>0.19</v>
      </c>
      <c r="E1773" s="144">
        <v>0.53</v>
      </c>
    </row>
    <row r="1774" spans="3:5">
      <c r="C1774" s="141">
        <v>11453.5</v>
      </c>
      <c r="D1774" s="144">
        <v>0.18</v>
      </c>
      <c r="E1774" s="144">
        <v>0.57999999999999996</v>
      </c>
    </row>
    <row r="1775" spans="3:5">
      <c r="C1775" s="141">
        <v>11454</v>
      </c>
      <c r="D1775" s="144">
        <v>0.18</v>
      </c>
      <c r="E1775" s="144">
        <v>0.7</v>
      </c>
    </row>
    <row r="1776" spans="3:5">
      <c r="C1776" s="141">
        <v>11454.5</v>
      </c>
      <c r="D1776" s="144">
        <v>0.19</v>
      </c>
      <c r="E1776" s="144">
        <v>0.82</v>
      </c>
    </row>
    <row r="1777" spans="3:5">
      <c r="C1777" s="141">
        <v>11455</v>
      </c>
      <c r="D1777" s="144">
        <v>0.19</v>
      </c>
      <c r="E1777" s="144">
        <v>0.87</v>
      </c>
    </row>
    <row r="1778" spans="3:5">
      <c r="C1778" s="141">
        <v>11455.5</v>
      </c>
      <c r="D1778" s="144">
        <v>0.19</v>
      </c>
      <c r="E1778" s="144">
        <v>0.9</v>
      </c>
    </row>
    <row r="1779" spans="3:5">
      <c r="C1779" s="141">
        <v>11456</v>
      </c>
      <c r="D1779" s="144">
        <v>0.19</v>
      </c>
      <c r="E1779" s="144">
        <v>0.96</v>
      </c>
    </row>
    <row r="1780" spans="3:5">
      <c r="C1780" s="141">
        <v>11456.5</v>
      </c>
      <c r="D1780" s="144">
        <v>0.18</v>
      </c>
      <c r="E1780" s="144">
        <v>1</v>
      </c>
    </row>
    <row r="1781" spans="3:5">
      <c r="C1781" s="141">
        <v>11457</v>
      </c>
      <c r="D1781" s="144">
        <v>0.18</v>
      </c>
      <c r="E1781" s="144">
        <v>0.89</v>
      </c>
    </row>
    <row r="1782" spans="3:5">
      <c r="C1782" s="141">
        <v>11457.5</v>
      </c>
      <c r="D1782" s="144">
        <v>0.19</v>
      </c>
      <c r="E1782" s="144">
        <v>0.93</v>
      </c>
    </row>
    <row r="1783" spans="3:5">
      <c r="C1783" s="141">
        <v>11458</v>
      </c>
      <c r="D1783" s="144">
        <v>0.19</v>
      </c>
      <c r="E1783" s="144">
        <v>0.95</v>
      </c>
    </row>
    <row r="1784" spans="3:5">
      <c r="C1784" s="141">
        <v>11458.5</v>
      </c>
      <c r="D1784" s="144">
        <v>0.19</v>
      </c>
      <c r="E1784" s="144">
        <v>1</v>
      </c>
    </row>
    <row r="1785" spans="3:5">
      <c r="C1785" s="141">
        <v>11459</v>
      </c>
      <c r="D1785" s="144">
        <v>0.19</v>
      </c>
      <c r="E1785" s="144">
        <v>1</v>
      </c>
    </row>
    <row r="1786" spans="3:5">
      <c r="C1786" s="141">
        <v>11459.5</v>
      </c>
      <c r="D1786" s="144">
        <v>0.19</v>
      </c>
      <c r="E1786" s="144">
        <v>0.94</v>
      </c>
    </row>
    <row r="1787" spans="3:5">
      <c r="C1787" s="141">
        <v>11460</v>
      </c>
      <c r="D1787" s="144">
        <v>0.19</v>
      </c>
      <c r="E1787" s="144">
        <v>0.94</v>
      </c>
    </row>
    <row r="1788" spans="3:5">
      <c r="C1788" s="141">
        <v>11460.5</v>
      </c>
      <c r="D1788" s="144">
        <v>0.2</v>
      </c>
      <c r="E1788" s="144">
        <v>1</v>
      </c>
    </row>
    <row r="1789" spans="3:5">
      <c r="C1789" s="141">
        <v>11461</v>
      </c>
      <c r="D1789" s="144">
        <v>0.2</v>
      </c>
      <c r="E1789" s="144">
        <v>1</v>
      </c>
    </row>
    <row r="1790" spans="3:5">
      <c r="C1790" s="141">
        <v>11461.5</v>
      </c>
      <c r="D1790" s="144">
        <v>0.2</v>
      </c>
      <c r="E1790" s="144">
        <v>1</v>
      </c>
    </row>
    <row r="1791" spans="3:5">
      <c r="C1791" s="141">
        <v>11462</v>
      </c>
      <c r="D1791" s="144">
        <v>0.21</v>
      </c>
      <c r="E1791" s="144">
        <v>1</v>
      </c>
    </row>
    <row r="1792" spans="3:5">
      <c r="C1792" s="141">
        <v>11462.5</v>
      </c>
      <c r="D1792" s="144">
        <v>0.21</v>
      </c>
      <c r="E1792" s="144">
        <v>0.82</v>
      </c>
    </row>
    <row r="1793" spans="3:5">
      <c r="C1793" s="141">
        <v>11463</v>
      </c>
      <c r="D1793" s="144">
        <v>0.21</v>
      </c>
      <c r="E1793" s="144">
        <v>0.65</v>
      </c>
    </row>
    <row r="1794" spans="3:5">
      <c r="C1794" s="141">
        <v>11463.5</v>
      </c>
      <c r="D1794" s="144">
        <v>0.21</v>
      </c>
      <c r="E1794" s="144">
        <v>0.52</v>
      </c>
    </row>
    <row r="1795" spans="3:5">
      <c r="C1795" s="141">
        <v>11464</v>
      </c>
      <c r="D1795" s="144">
        <v>0.19</v>
      </c>
      <c r="E1795" s="144">
        <v>0.49</v>
      </c>
    </row>
    <row r="1796" spans="3:5">
      <c r="C1796" s="141">
        <v>11464.5</v>
      </c>
      <c r="D1796" s="144">
        <v>0.19</v>
      </c>
      <c r="E1796" s="144">
        <v>0.47</v>
      </c>
    </row>
    <row r="1797" spans="3:5">
      <c r="C1797" s="141">
        <v>11465</v>
      </c>
      <c r="D1797" s="144">
        <v>0.18</v>
      </c>
      <c r="E1797" s="144">
        <v>0.47</v>
      </c>
    </row>
    <row r="1798" spans="3:5">
      <c r="C1798" s="141">
        <v>11465.5</v>
      </c>
      <c r="D1798" s="144">
        <v>0.17</v>
      </c>
      <c r="E1798" s="144">
        <v>0.46</v>
      </c>
    </row>
    <row r="1799" spans="3:5">
      <c r="C1799" s="141">
        <v>11466</v>
      </c>
      <c r="D1799" s="144">
        <v>0.17</v>
      </c>
      <c r="E1799" s="144">
        <v>0.46</v>
      </c>
    </row>
    <row r="1800" spans="3:5">
      <c r="C1800" s="141">
        <v>11466.5</v>
      </c>
      <c r="D1800" s="144">
        <v>0.17</v>
      </c>
      <c r="E1800" s="144">
        <v>0.46</v>
      </c>
    </row>
    <row r="1801" spans="3:5">
      <c r="C1801" s="141">
        <v>11467</v>
      </c>
      <c r="D1801" s="144">
        <v>0.16</v>
      </c>
      <c r="E1801" s="144">
        <v>0.49</v>
      </c>
    </row>
    <row r="1802" spans="3:5">
      <c r="C1802" s="141">
        <v>11467.5</v>
      </c>
      <c r="D1802" s="144">
        <v>0.21</v>
      </c>
      <c r="E1802" s="144">
        <v>0.53</v>
      </c>
    </row>
    <row r="1803" spans="3:5">
      <c r="C1803" s="141">
        <v>11468</v>
      </c>
      <c r="D1803" s="144">
        <v>0.21</v>
      </c>
      <c r="E1803" s="144">
        <v>0.55000000000000004</v>
      </c>
    </row>
    <row r="1804" spans="3:5">
      <c r="C1804" s="141">
        <v>11468.5</v>
      </c>
      <c r="D1804" s="144">
        <v>0.2</v>
      </c>
      <c r="E1804" s="144">
        <v>0.57999999999999996</v>
      </c>
    </row>
    <row r="1805" spans="3:5">
      <c r="C1805" s="141">
        <v>11469</v>
      </c>
      <c r="D1805" s="144">
        <v>0.2</v>
      </c>
      <c r="E1805" s="144">
        <v>0.62</v>
      </c>
    </row>
    <row r="1806" spans="3:5">
      <c r="C1806" s="141">
        <v>11469.5</v>
      </c>
      <c r="D1806" s="144">
        <v>0.19</v>
      </c>
      <c r="E1806" s="144">
        <v>0.66</v>
      </c>
    </row>
    <row r="1807" spans="3:5">
      <c r="C1807" s="141">
        <v>11470</v>
      </c>
      <c r="D1807" s="144">
        <v>0.19</v>
      </c>
      <c r="E1807" s="144">
        <v>0.72</v>
      </c>
    </row>
    <row r="1808" spans="3:5">
      <c r="C1808" s="141">
        <v>11470.5</v>
      </c>
      <c r="D1808" s="144">
        <v>0.19</v>
      </c>
      <c r="E1808" s="144">
        <v>0.8</v>
      </c>
    </row>
    <row r="1809" spans="3:5">
      <c r="C1809" s="141">
        <v>11471</v>
      </c>
      <c r="D1809" s="144">
        <v>0.19</v>
      </c>
      <c r="E1809" s="144">
        <v>0.88</v>
      </c>
    </row>
    <row r="1810" spans="3:5">
      <c r="C1810" s="141">
        <v>11471.5</v>
      </c>
      <c r="D1810" s="144">
        <v>0.19</v>
      </c>
      <c r="E1810" s="144">
        <v>0.83</v>
      </c>
    </row>
    <row r="1811" spans="3:5">
      <c r="C1811" s="141">
        <v>11472</v>
      </c>
      <c r="D1811" s="144">
        <v>0.2</v>
      </c>
      <c r="E1811" s="144">
        <v>0.79</v>
      </c>
    </row>
    <row r="1812" spans="3:5">
      <c r="C1812" s="141">
        <v>11472.5</v>
      </c>
      <c r="D1812" s="144">
        <v>0.19</v>
      </c>
      <c r="E1812" s="144">
        <v>0.71</v>
      </c>
    </row>
    <row r="1813" spans="3:5">
      <c r="C1813" s="141">
        <v>11473</v>
      </c>
      <c r="D1813" s="144">
        <v>0.18</v>
      </c>
      <c r="E1813" s="144">
        <v>0.68</v>
      </c>
    </row>
    <row r="1814" spans="3:5">
      <c r="C1814" s="141">
        <v>11473.5</v>
      </c>
      <c r="D1814" s="144">
        <v>0.19</v>
      </c>
      <c r="E1814" s="144">
        <v>0.6</v>
      </c>
    </row>
    <row r="1815" spans="3:5">
      <c r="C1815" s="141">
        <v>11474</v>
      </c>
      <c r="D1815" s="144">
        <v>0.19</v>
      </c>
      <c r="E1815" s="144">
        <v>0.59</v>
      </c>
    </row>
    <row r="1816" spans="3:5">
      <c r="C1816" s="141">
        <v>11474.5</v>
      </c>
      <c r="D1816" s="144">
        <v>0.18</v>
      </c>
      <c r="E1816" s="144">
        <v>0.65</v>
      </c>
    </row>
    <row r="1817" spans="3:5">
      <c r="C1817" s="141">
        <v>11475</v>
      </c>
      <c r="D1817" s="144">
        <v>0.18</v>
      </c>
      <c r="E1817" s="144">
        <v>0.67</v>
      </c>
    </row>
    <row r="1818" spans="3:5">
      <c r="C1818" s="141">
        <v>11475.5</v>
      </c>
      <c r="D1818" s="144">
        <v>0.17</v>
      </c>
      <c r="E1818" s="144">
        <v>0.7</v>
      </c>
    </row>
    <row r="1819" spans="3:5">
      <c r="C1819" s="141">
        <v>11476</v>
      </c>
      <c r="D1819" s="144">
        <v>0.17</v>
      </c>
      <c r="E1819" s="144">
        <v>0.75</v>
      </c>
    </row>
    <row r="1820" spans="3:5">
      <c r="C1820" s="141">
        <v>11476.5</v>
      </c>
      <c r="D1820" s="144">
        <v>0.17</v>
      </c>
      <c r="E1820" s="144">
        <v>0.76</v>
      </c>
    </row>
    <row r="1821" spans="3:5">
      <c r="C1821" s="141">
        <v>11477</v>
      </c>
      <c r="D1821" s="144">
        <v>0.16</v>
      </c>
      <c r="E1821" s="144">
        <v>0.77</v>
      </c>
    </row>
    <row r="1822" spans="3:5">
      <c r="C1822" s="141">
        <v>11477.5</v>
      </c>
      <c r="D1822" s="144">
        <v>0.16</v>
      </c>
      <c r="E1822" s="144">
        <v>0.83</v>
      </c>
    </row>
    <row r="1823" spans="3:5">
      <c r="C1823" s="141">
        <v>11478</v>
      </c>
      <c r="D1823" s="144">
        <v>0.15</v>
      </c>
      <c r="E1823" s="144">
        <v>1</v>
      </c>
    </row>
    <row r="1824" spans="3:5">
      <c r="C1824" s="141">
        <v>11478.5</v>
      </c>
      <c r="D1824" s="144">
        <v>0.15</v>
      </c>
      <c r="E1824" s="144">
        <v>1</v>
      </c>
    </row>
    <row r="1825" spans="3:5">
      <c r="C1825" s="141">
        <v>11479</v>
      </c>
      <c r="D1825" s="144">
        <v>0.15</v>
      </c>
      <c r="E1825" s="144">
        <v>1</v>
      </c>
    </row>
    <row r="1826" spans="3:5">
      <c r="C1826" s="141">
        <v>11479.5</v>
      </c>
      <c r="D1826" s="144">
        <v>0.16</v>
      </c>
      <c r="E1826" s="144">
        <v>1</v>
      </c>
    </row>
    <row r="1827" spans="3:5">
      <c r="C1827" s="141">
        <v>11480</v>
      </c>
      <c r="D1827" s="144">
        <v>0.16</v>
      </c>
      <c r="E1827" s="144">
        <v>1</v>
      </c>
    </row>
    <row r="1828" spans="3:5">
      <c r="C1828" s="141">
        <v>11480.5</v>
      </c>
      <c r="D1828" s="144">
        <v>0.16</v>
      </c>
      <c r="E1828" s="144">
        <v>1</v>
      </c>
    </row>
    <row r="1829" spans="3:5">
      <c r="C1829" s="141">
        <v>11481</v>
      </c>
      <c r="D1829" s="144">
        <v>0.17</v>
      </c>
      <c r="E1829" s="144">
        <v>1</v>
      </c>
    </row>
    <row r="1830" spans="3:5">
      <c r="C1830" s="141">
        <v>11481.5</v>
      </c>
      <c r="D1830" s="144">
        <v>0.17</v>
      </c>
      <c r="E1830" s="144">
        <v>1</v>
      </c>
    </row>
    <row r="1831" spans="3:5">
      <c r="C1831" s="141">
        <v>11482</v>
      </c>
      <c r="D1831" s="144">
        <v>0.17</v>
      </c>
      <c r="E1831" s="144">
        <v>1</v>
      </c>
    </row>
    <row r="1832" spans="3:5">
      <c r="C1832" s="141">
        <v>11482.5</v>
      </c>
      <c r="D1832" s="144">
        <v>0.17</v>
      </c>
      <c r="E1832" s="144">
        <v>1</v>
      </c>
    </row>
    <row r="1833" spans="3:5">
      <c r="C1833" s="141">
        <v>11483</v>
      </c>
      <c r="D1833" s="144">
        <v>0.18</v>
      </c>
      <c r="E1833" s="144">
        <v>1</v>
      </c>
    </row>
    <row r="1834" spans="3:5">
      <c r="C1834" s="141">
        <v>11483.5</v>
      </c>
      <c r="D1834" s="144">
        <v>0.18</v>
      </c>
      <c r="E1834" s="144">
        <v>1</v>
      </c>
    </row>
    <row r="1835" spans="3:5">
      <c r="C1835" s="141">
        <v>11484</v>
      </c>
      <c r="D1835" s="144">
        <v>0.17</v>
      </c>
      <c r="E1835" s="144">
        <v>1</v>
      </c>
    </row>
    <row r="1836" spans="3:5">
      <c r="C1836" s="141">
        <v>11484.5</v>
      </c>
      <c r="D1836" s="144">
        <v>0.17</v>
      </c>
      <c r="E1836" s="144">
        <v>1</v>
      </c>
    </row>
    <row r="1837" spans="3:5">
      <c r="C1837" s="141">
        <v>11485</v>
      </c>
      <c r="D1837" s="144">
        <v>0.17</v>
      </c>
      <c r="E1837" s="144">
        <v>1</v>
      </c>
    </row>
    <row r="1838" spans="3:5">
      <c r="C1838" s="141">
        <v>11485.5</v>
      </c>
      <c r="D1838" s="144">
        <v>0.17</v>
      </c>
      <c r="E1838" s="144">
        <v>0.88</v>
      </c>
    </row>
    <row r="1839" spans="3:5">
      <c r="C1839" s="141">
        <v>11486</v>
      </c>
      <c r="D1839" s="144">
        <v>0.18</v>
      </c>
      <c r="E1839" s="144">
        <v>0.76</v>
      </c>
    </row>
    <row r="1840" spans="3:5">
      <c r="C1840" s="141">
        <v>11486.5</v>
      </c>
      <c r="D1840" s="144">
        <v>0.18</v>
      </c>
      <c r="E1840" s="144">
        <v>0.72</v>
      </c>
    </row>
    <row r="1841" spans="3:5">
      <c r="C1841" s="141">
        <v>11487</v>
      </c>
      <c r="D1841" s="144">
        <v>0.17</v>
      </c>
      <c r="E1841" s="144">
        <v>0.69</v>
      </c>
    </row>
    <row r="1842" spans="3:5">
      <c r="C1842" s="141">
        <v>11487.5</v>
      </c>
      <c r="D1842" s="144">
        <v>0.18</v>
      </c>
      <c r="E1842" s="144">
        <v>0.63</v>
      </c>
    </row>
    <row r="1843" spans="3:5">
      <c r="C1843" s="141">
        <v>11488</v>
      </c>
      <c r="D1843" s="144">
        <v>0.2</v>
      </c>
      <c r="E1843" s="144">
        <v>0.53</v>
      </c>
    </row>
    <row r="1844" spans="3:5">
      <c r="C1844" s="141">
        <v>11488.5</v>
      </c>
      <c r="D1844" s="144">
        <v>0.14000000000000001</v>
      </c>
      <c r="E1844" s="144">
        <v>0.48</v>
      </c>
    </row>
    <row r="1845" spans="3:5">
      <c r="C1845" s="141">
        <v>11489</v>
      </c>
      <c r="D1845" s="144">
        <v>0.15</v>
      </c>
      <c r="E1845" s="144">
        <v>0.47</v>
      </c>
    </row>
    <row r="1846" spans="3:5">
      <c r="C1846" s="141">
        <v>11489.5</v>
      </c>
      <c r="D1846" s="144">
        <v>0.2</v>
      </c>
      <c r="E1846" s="144">
        <v>0.49</v>
      </c>
    </row>
    <row r="1847" spans="3:5">
      <c r="C1847" s="141">
        <v>11490</v>
      </c>
      <c r="D1847" s="144">
        <v>0.19</v>
      </c>
      <c r="E1847" s="144">
        <v>0.53</v>
      </c>
    </row>
    <row r="1848" spans="3:5">
      <c r="C1848" s="141">
        <v>11490.5</v>
      </c>
      <c r="D1848" s="144">
        <v>0.19</v>
      </c>
      <c r="E1848" s="144">
        <v>0.56000000000000005</v>
      </c>
    </row>
    <row r="1849" spans="3:5">
      <c r="C1849" s="141">
        <v>11491</v>
      </c>
      <c r="D1849" s="144">
        <v>0.18</v>
      </c>
      <c r="E1849" s="144">
        <v>0.57999999999999996</v>
      </c>
    </row>
    <row r="1850" spans="3:5">
      <c r="C1850" s="141">
        <v>11491.5</v>
      </c>
      <c r="D1850" s="144">
        <v>0.19</v>
      </c>
      <c r="E1850" s="144">
        <v>0.55000000000000004</v>
      </c>
    </row>
    <row r="1851" spans="3:5">
      <c r="C1851" s="141">
        <v>11492</v>
      </c>
      <c r="D1851" s="144">
        <v>0.21</v>
      </c>
      <c r="E1851" s="144">
        <v>0.48</v>
      </c>
    </row>
    <row r="1852" spans="3:5">
      <c r="C1852" s="141">
        <v>11492.5</v>
      </c>
      <c r="D1852" s="144">
        <v>0.17</v>
      </c>
      <c r="E1852" s="144">
        <v>0.45</v>
      </c>
    </row>
    <row r="1853" spans="3:5">
      <c r="C1853" s="141">
        <v>11493</v>
      </c>
      <c r="D1853" s="144">
        <v>0.17</v>
      </c>
      <c r="E1853" s="144">
        <v>0.45</v>
      </c>
    </row>
    <row r="1854" spans="3:5">
      <c r="C1854" s="141">
        <v>11493.5</v>
      </c>
      <c r="D1854" s="144">
        <v>0.17</v>
      </c>
      <c r="E1854" s="144">
        <v>0.45</v>
      </c>
    </row>
    <row r="1855" spans="3:5">
      <c r="C1855" s="141">
        <v>11494</v>
      </c>
      <c r="D1855" s="144">
        <v>0.17</v>
      </c>
      <c r="E1855" s="144">
        <v>0.45</v>
      </c>
    </row>
    <row r="1856" spans="3:5">
      <c r="C1856" s="141">
        <v>11494.5</v>
      </c>
      <c r="D1856" s="144">
        <v>0.17</v>
      </c>
      <c r="E1856" s="144">
        <v>0.44</v>
      </c>
    </row>
    <row r="1857" spans="3:5">
      <c r="C1857" s="141">
        <v>11495</v>
      </c>
      <c r="D1857" s="144">
        <v>0.17</v>
      </c>
      <c r="E1857" s="144">
        <v>0.43</v>
      </c>
    </row>
    <row r="1858" spans="3:5">
      <c r="C1858" s="141">
        <v>11495.5</v>
      </c>
      <c r="D1858" s="144">
        <v>0.17</v>
      </c>
      <c r="E1858" s="144">
        <v>0.44</v>
      </c>
    </row>
    <row r="1859" spans="3:5">
      <c r="C1859" s="141">
        <v>11496</v>
      </c>
      <c r="D1859" s="144">
        <v>0.17</v>
      </c>
      <c r="E1859" s="144">
        <v>0.44</v>
      </c>
    </row>
    <row r="1860" spans="3:5">
      <c r="C1860" s="141">
        <v>11496.5</v>
      </c>
      <c r="D1860" s="144">
        <v>0.17</v>
      </c>
      <c r="E1860" s="144">
        <v>0.44</v>
      </c>
    </row>
    <row r="1861" spans="3:5">
      <c r="C1861" s="141">
        <v>11497</v>
      </c>
      <c r="D1861" s="144">
        <v>0.17</v>
      </c>
      <c r="E1861" s="144">
        <v>0.44</v>
      </c>
    </row>
    <row r="1862" spans="3:5">
      <c r="C1862" s="141">
        <v>11497.5</v>
      </c>
      <c r="D1862" s="144">
        <v>0.17</v>
      </c>
      <c r="E1862" s="144">
        <v>0.44</v>
      </c>
    </row>
    <row r="1863" spans="3:5">
      <c r="C1863" s="141">
        <v>11498</v>
      </c>
      <c r="D1863" s="144">
        <v>0.18</v>
      </c>
      <c r="E1863" s="144">
        <v>0.44</v>
      </c>
    </row>
    <row r="1864" spans="3:5">
      <c r="C1864" s="141">
        <v>11498.5</v>
      </c>
      <c r="D1864" s="144">
        <v>0.17</v>
      </c>
      <c r="E1864" s="144">
        <v>0.45</v>
      </c>
    </row>
    <row r="1865" spans="3:5">
      <c r="C1865" s="141">
        <v>11499</v>
      </c>
      <c r="D1865" s="144">
        <v>0.17</v>
      </c>
      <c r="E1865" s="144">
        <v>0.45</v>
      </c>
    </row>
    <row r="1866" spans="3:5">
      <c r="C1866" s="141">
        <v>11499.5</v>
      </c>
      <c r="D1866" s="144">
        <v>0.17</v>
      </c>
      <c r="E1866" s="144">
        <v>0.46</v>
      </c>
    </row>
    <row r="1867" spans="3:5">
      <c r="C1867" s="141">
        <v>11500</v>
      </c>
      <c r="D1867" s="144">
        <v>0.17</v>
      </c>
      <c r="E1867" s="144">
        <v>0.46</v>
      </c>
    </row>
    <row r="1868" spans="3:5">
      <c r="C1868" s="141">
        <v>11500.5</v>
      </c>
      <c r="D1868" s="144">
        <v>0.18</v>
      </c>
      <c r="E1868" s="144">
        <v>0.45</v>
      </c>
    </row>
    <row r="1869" spans="3:5">
      <c r="C1869" s="141">
        <v>11501</v>
      </c>
      <c r="D1869" s="144">
        <v>0.17</v>
      </c>
      <c r="E1869" s="144">
        <v>0.45</v>
      </c>
    </row>
    <row r="1870" spans="3:5">
      <c r="C1870" s="141">
        <v>11501.5</v>
      </c>
      <c r="D1870" s="144">
        <v>0.17</v>
      </c>
      <c r="E1870" s="144">
        <v>0.43</v>
      </c>
    </row>
    <row r="1871" spans="3:5">
      <c r="C1871" s="141">
        <v>11502</v>
      </c>
      <c r="D1871" s="144">
        <v>0.17</v>
      </c>
      <c r="E1871" s="144">
        <v>0.43</v>
      </c>
    </row>
    <row r="1872" spans="3:5">
      <c r="C1872" s="141">
        <v>11502.5</v>
      </c>
      <c r="D1872" s="144">
        <v>0.16</v>
      </c>
      <c r="E1872" s="144">
        <v>0.44</v>
      </c>
    </row>
    <row r="1873" spans="3:5">
      <c r="C1873" s="141">
        <v>11503</v>
      </c>
      <c r="D1873" s="144">
        <v>0.14000000000000001</v>
      </c>
      <c r="E1873" s="144">
        <v>0.46</v>
      </c>
    </row>
    <row r="1874" spans="3:5">
      <c r="C1874" s="141">
        <v>11503.5</v>
      </c>
      <c r="D1874" s="144">
        <v>0.13</v>
      </c>
      <c r="E1874" s="144">
        <v>0.5</v>
      </c>
    </row>
    <row r="1875" spans="3:5">
      <c r="C1875" s="141">
        <v>11504</v>
      </c>
      <c r="D1875" s="144">
        <v>0.13</v>
      </c>
      <c r="E1875" s="144">
        <v>0.53</v>
      </c>
    </row>
    <row r="1876" spans="3:5">
      <c r="C1876" s="141">
        <v>11504.5</v>
      </c>
      <c r="D1876" s="144">
        <v>0.13</v>
      </c>
      <c r="E1876" s="144">
        <v>0.55000000000000004</v>
      </c>
    </row>
    <row r="1877" spans="3:5">
      <c r="C1877" s="141">
        <v>11505</v>
      </c>
      <c r="D1877" s="144">
        <v>0.2</v>
      </c>
      <c r="E1877" s="144">
        <v>0.57999999999999996</v>
      </c>
    </row>
    <row r="1878" spans="3:5">
      <c r="C1878" s="141">
        <v>11505.5</v>
      </c>
      <c r="D1878" s="144">
        <v>0.2</v>
      </c>
      <c r="E1878" s="144">
        <v>0.61</v>
      </c>
    </row>
    <row r="1879" spans="3:5">
      <c r="C1879" s="141">
        <v>11506</v>
      </c>
      <c r="D1879" s="144">
        <v>0.19</v>
      </c>
      <c r="E1879" s="144">
        <v>0.69</v>
      </c>
    </row>
    <row r="1880" spans="3:5">
      <c r="C1880" s="141">
        <v>11506.5</v>
      </c>
      <c r="D1880" s="144">
        <v>0.19</v>
      </c>
      <c r="E1880" s="144">
        <v>0.77</v>
      </c>
    </row>
    <row r="1881" spans="3:5">
      <c r="C1881" s="141">
        <v>11507</v>
      </c>
      <c r="D1881" s="144">
        <v>0.19</v>
      </c>
      <c r="E1881" s="144">
        <v>0.86</v>
      </c>
    </row>
    <row r="1882" spans="3:5">
      <c r="C1882" s="141">
        <v>11507.5</v>
      </c>
      <c r="D1882" s="144">
        <v>0.19</v>
      </c>
      <c r="E1882" s="144">
        <v>1</v>
      </c>
    </row>
    <row r="1883" spans="3:5">
      <c r="C1883" s="141">
        <v>11508</v>
      </c>
      <c r="D1883" s="144">
        <v>0.19</v>
      </c>
      <c r="E1883" s="144">
        <v>1</v>
      </c>
    </row>
    <row r="1884" spans="3:5">
      <c r="C1884" s="141">
        <v>11508.5</v>
      </c>
      <c r="D1884" s="144">
        <v>0.19</v>
      </c>
      <c r="E1884" s="144">
        <v>1</v>
      </c>
    </row>
    <row r="1885" spans="3:5">
      <c r="C1885" s="141">
        <v>11509</v>
      </c>
      <c r="D1885" s="144">
        <v>0.19</v>
      </c>
      <c r="E1885" s="144">
        <v>1</v>
      </c>
    </row>
    <row r="1886" spans="3:5">
      <c r="C1886" s="141">
        <v>11509.5</v>
      </c>
      <c r="D1886" s="144">
        <v>0.19</v>
      </c>
      <c r="E1886" s="144">
        <v>1</v>
      </c>
    </row>
    <row r="1887" spans="3:5">
      <c r="C1887" s="141">
        <v>11510</v>
      </c>
      <c r="D1887" s="144">
        <v>0.19</v>
      </c>
      <c r="E1887" s="144">
        <v>1</v>
      </c>
    </row>
    <row r="1888" spans="3:5">
      <c r="C1888" s="141">
        <v>11510.5</v>
      </c>
      <c r="D1888" s="144">
        <v>0.2</v>
      </c>
      <c r="E1888" s="144">
        <v>0.98</v>
      </c>
    </row>
    <row r="1889" spans="3:5">
      <c r="C1889" s="141">
        <v>11511</v>
      </c>
      <c r="D1889" s="144">
        <v>0.2</v>
      </c>
      <c r="E1889" s="144">
        <v>0.99</v>
      </c>
    </row>
    <row r="1890" spans="3:5">
      <c r="C1890" s="141">
        <v>11511.5</v>
      </c>
      <c r="D1890" s="144">
        <v>0.2</v>
      </c>
      <c r="E1890" s="144">
        <v>0.98</v>
      </c>
    </row>
    <row r="1891" spans="3:5">
      <c r="C1891" s="141">
        <v>11512</v>
      </c>
      <c r="D1891" s="144">
        <v>0.19</v>
      </c>
      <c r="E1891" s="144">
        <v>1</v>
      </c>
    </row>
    <row r="1892" spans="3:5">
      <c r="C1892" s="141">
        <v>11512.5</v>
      </c>
      <c r="D1892" s="144">
        <v>0.19</v>
      </c>
      <c r="E1892" s="144">
        <v>1</v>
      </c>
    </row>
    <row r="1893" spans="3:5">
      <c r="C1893" s="141">
        <v>11513</v>
      </c>
      <c r="D1893" s="144">
        <v>0.19</v>
      </c>
      <c r="E1893" s="144">
        <v>1</v>
      </c>
    </row>
    <row r="1894" spans="3:5">
      <c r="C1894" s="141">
        <v>11513.5</v>
      </c>
      <c r="D1894" s="144">
        <v>0.19</v>
      </c>
      <c r="E1894" s="144">
        <v>0.98</v>
      </c>
    </row>
    <row r="1895" spans="3:5">
      <c r="C1895" s="141">
        <v>11514</v>
      </c>
      <c r="D1895" s="144">
        <v>0.19</v>
      </c>
      <c r="E1895" s="144">
        <v>0.96</v>
      </c>
    </row>
    <row r="1896" spans="3:5">
      <c r="C1896" s="141">
        <v>11514.5</v>
      </c>
      <c r="D1896" s="144">
        <v>0.18</v>
      </c>
      <c r="E1896" s="144">
        <v>1</v>
      </c>
    </row>
    <row r="1897" spans="3:5">
      <c r="C1897" s="141">
        <v>11515</v>
      </c>
      <c r="D1897" s="144">
        <v>0.17</v>
      </c>
      <c r="E1897" s="144">
        <v>1</v>
      </c>
    </row>
    <row r="1898" spans="3:5">
      <c r="C1898" s="141">
        <v>11515.5</v>
      </c>
      <c r="D1898" s="144">
        <v>0.16</v>
      </c>
      <c r="E1898" s="144">
        <v>1</v>
      </c>
    </row>
    <row r="1899" spans="3:5">
      <c r="C1899" s="141">
        <v>11516</v>
      </c>
      <c r="D1899" s="144">
        <v>0.17</v>
      </c>
      <c r="E1899" s="144">
        <v>1</v>
      </c>
    </row>
    <row r="1900" spans="3:5">
      <c r="C1900" s="141">
        <v>11516.5</v>
      </c>
      <c r="D1900" s="144">
        <v>0.17</v>
      </c>
      <c r="E1900" s="144">
        <v>0.99</v>
      </c>
    </row>
    <row r="1901" spans="3:5">
      <c r="C1901" s="141">
        <v>11517</v>
      </c>
      <c r="D1901" s="144">
        <v>0.18</v>
      </c>
      <c r="E1901" s="144">
        <v>0.95</v>
      </c>
    </row>
    <row r="1902" spans="3:5">
      <c r="C1902" s="141">
        <v>11517.5</v>
      </c>
      <c r="D1902" s="144">
        <v>0.17</v>
      </c>
      <c r="E1902" s="144">
        <v>1</v>
      </c>
    </row>
    <row r="1903" spans="3:5">
      <c r="C1903" s="141">
        <v>11518</v>
      </c>
      <c r="D1903" s="144">
        <v>0.17</v>
      </c>
      <c r="E1903" s="144">
        <v>1</v>
      </c>
    </row>
    <row r="1904" spans="3:5">
      <c r="C1904" s="141">
        <v>11518.5</v>
      </c>
      <c r="D1904" s="144">
        <v>0.17</v>
      </c>
      <c r="E1904" s="144">
        <v>0.89</v>
      </c>
    </row>
    <row r="1905" spans="3:5">
      <c r="C1905" s="141">
        <v>11519</v>
      </c>
      <c r="D1905" s="144">
        <v>0.17</v>
      </c>
      <c r="E1905" s="144">
        <v>0.9</v>
      </c>
    </row>
    <row r="1906" spans="3:5">
      <c r="C1906" s="141">
        <v>11519.5</v>
      </c>
      <c r="D1906" s="144">
        <v>0.17</v>
      </c>
      <c r="E1906" s="144">
        <v>0.98</v>
      </c>
    </row>
    <row r="1907" spans="3:5">
      <c r="C1907" s="141">
        <v>11520</v>
      </c>
      <c r="D1907" s="144">
        <v>0.17</v>
      </c>
      <c r="E1907" s="144">
        <v>0.96</v>
      </c>
    </row>
    <row r="1908" spans="3:5">
      <c r="C1908" s="141">
        <v>11520.5</v>
      </c>
      <c r="D1908" s="144">
        <v>0.18</v>
      </c>
      <c r="E1908" s="144">
        <v>0.83</v>
      </c>
    </row>
    <row r="1909" spans="3:5">
      <c r="C1909" s="141">
        <v>11521</v>
      </c>
      <c r="D1909" s="144">
        <v>0.18</v>
      </c>
      <c r="E1909" s="144">
        <v>0.94</v>
      </c>
    </row>
    <row r="1910" spans="3:5">
      <c r="C1910" s="141">
        <v>11521.5</v>
      </c>
      <c r="D1910" s="144">
        <v>0.19</v>
      </c>
      <c r="E1910" s="144">
        <v>0.91</v>
      </c>
    </row>
    <row r="1911" spans="3:5">
      <c r="C1911" s="141">
        <v>11522</v>
      </c>
      <c r="D1911" s="144">
        <v>0.19</v>
      </c>
      <c r="E1911" s="144">
        <v>0.92</v>
      </c>
    </row>
    <row r="1912" spans="3:5">
      <c r="C1912" s="141">
        <v>11522.5</v>
      </c>
      <c r="D1912" s="144">
        <v>0.19</v>
      </c>
      <c r="E1912" s="144">
        <v>0.93</v>
      </c>
    </row>
    <row r="1913" spans="3:5">
      <c r="C1913" s="141">
        <v>11523</v>
      </c>
      <c r="D1913" s="144">
        <v>0.19</v>
      </c>
      <c r="E1913" s="144">
        <v>0.91</v>
      </c>
    </row>
    <row r="1914" spans="3:5">
      <c r="C1914" s="141">
        <v>11523.5</v>
      </c>
      <c r="D1914" s="144">
        <v>0.19</v>
      </c>
      <c r="E1914" s="144">
        <v>0.92</v>
      </c>
    </row>
    <row r="1915" spans="3:5">
      <c r="C1915" s="141">
        <v>11524</v>
      </c>
      <c r="D1915" s="144">
        <v>0.19</v>
      </c>
      <c r="E1915" s="144">
        <v>0.94</v>
      </c>
    </row>
    <row r="1916" spans="3:5">
      <c r="C1916" s="141">
        <v>11524.5</v>
      </c>
      <c r="D1916" s="144">
        <v>0.19</v>
      </c>
      <c r="E1916" s="144">
        <v>0.92</v>
      </c>
    </row>
    <row r="1917" spans="3:5">
      <c r="C1917" s="141">
        <v>11525</v>
      </c>
      <c r="D1917" s="144">
        <v>0.19</v>
      </c>
      <c r="E1917" s="144">
        <v>0.96</v>
      </c>
    </row>
    <row r="1918" spans="3:5">
      <c r="C1918" s="141">
        <v>11525.5</v>
      </c>
      <c r="D1918" s="144">
        <v>0.19</v>
      </c>
      <c r="E1918" s="144">
        <v>0.97</v>
      </c>
    </row>
    <row r="1919" spans="3:5">
      <c r="C1919" s="141">
        <v>11526</v>
      </c>
      <c r="D1919" s="144">
        <v>0.19</v>
      </c>
      <c r="E1919" s="144">
        <v>0.96</v>
      </c>
    </row>
    <row r="1920" spans="3:5">
      <c r="C1920" s="141">
        <v>11526.5</v>
      </c>
      <c r="D1920" s="144">
        <v>0.18</v>
      </c>
      <c r="E1920" s="144">
        <v>0.99</v>
      </c>
    </row>
    <row r="1921" spans="3:5">
      <c r="C1921" s="141">
        <v>11527</v>
      </c>
      <c r="D1921" s="144">
        <v>0.18</v>
      </c>
      <c r="E1921" s="144">
        <v>1</v>
      </c>
    </row>
    <row r="1922" spans="3:5">
      <c r="C1922" s="141">
        <v>11527.5</v>
      </c>
      <c r="D1922" s="144">
        <v>0.19</v>
      </c>
      <c r="E1922" s="144">
        <v>0.97</v>
      </c>
    </row>
    <row r="1923" spans="3:5">
      <c r="C1923" s="141">
        <v>11528</v>
      </c>
      <c r="D1923" s="144">
        <v>0.19</v>
      </c>
      <c r="E1923" s="144">
        <v>0.98</v>
      </c>
    </row>
    <row r="1924" spans="3:5">
      <c r="C1924" s="141">
        <v>11528.5</v>
      </c>
      <c r="D1924" s="144">
        <v>0.19</v>
      </c>
      <c r="E1924" s="144">
        <v>0.96</v>
      </c>
    </row>
    <row r="1925" spans="3:5">
      <c r="C1925" s="141">
        <v>11529</v>
      </c>
      <c r="D1925" s="144">
        <v>0.19</v>
      </c>
      <c r="E1925" s="144">
        <v>0.94</v>
      </c>
    </row>
    <row r="1926" spans="3:5">
      <c r="C1926" s="141">
        <v>11529.5</v>
      </c>
      <c r="D1926" s="144">
        <v>0.2</v>
      </c>
      <c r="E1926" s="144">
        <v>0.91</v>
      </c>
    </row>
    <row r="1927" spans="3:5">
      <c r="C1927" s="141">
        <v>11530</v>
      </c>
      <c r="D1927" s="144">
        <v>0.2</v>
      </c>
      <c r="E1927" s="144">
        <v>0.89</v>
      </c>
    </row>
    <row r="1928" spans="3:5">
      <c r="C1928" s="141">
        <v>11530.5</v>
      </c>
      <c r="D1928" s="144">
        <v>0.21</v>
      </c>
      <c r="E1928" s="144">
        <v>0.87</v>
      </c>
    </row>
    <row r="1929" spans="3:5">
      <c r="C1929" s="141">
        <v>11531</v>
      </c>
      <c r="D1929" s="144">
        <v>0.21</v>
      </c>
      <c r="E1929" s="144">
        <v>0.89</v>
      </c>
    </row>
    <row r="1930" spans="3:5">
      <c r="C1930" s="141">
        <v>11531.5</v>
      </c>
      <c r="D1930" s="144">
        <v>0.2</v>
      </c>
      <c r="E1930" s="144">
        <v>0.9</v>
      </c>
    </row>
    <row r="1931" spans="3:5">
      <c r="C1931" s="141">
        <v>11532</v>
      </c>
      <c r="D1931" s="144">
        <v>0.19</v>
      </c>
      <c r="E1931" s="144">
        <v>0.91</v>
      </c>
    </row>
    <row r="1932" spans="3:5">
      <c r="C1932" s="141">
        <v>11532.5</v>
      </c>
      <c r="D1932" s="144">
        <v>0.19</v>
      </c>
      <c r="E1932" s="144">
        <v>0.88</v>
      </c>
    </row>
    <row r="1933" spans="3:5">
      <c r="C1933" s="141">
        <v>11533</v>
      </c>
      <c r="D1933" s="144">
        <v>0.18</v>
      </c>
      <c r="E1933" s="144">
        <v>0.8</v>
      </c>
    </row>
    <row r="1934" spans="3:5">
      <c r="C1934" s="141">
        <v>11533.5</v>
      </c>
      <c r="D1934" s="144">
        <v>0.18</v>
      </c>
      <c r="E1934" s="144">
        <v>0.74</v>
      </c>
    </row>
    <row r="1935" spans="3:5">
      <c r="C1935" s="141">
        <v>11534</v>
      </c>
      <c r="D1935" s="144">
        <v>0.18</v>
      </c>
      <c r="E1935" s="144">
        <v>0.72</v>
      </c>
    </row>
    <row r="1936" spans="3:5">
      <c r="C1936" s="141">
        <v>11534.5</v>
      </c>
      <c r="D1936" s="144">
        <v>0.18</v>
      </c>
      <c r="E1936" s="144">
        <v>0.7</v>
      </c>
    </row>
    <row r="1937" spans="3:5">
      <c r="C1937" s="141">
        <v>11535</v>
      </c>
      <c r="D1937" s="144">
        <v>0.17</v>
      </c>
      <c r="E1937" s="144">
        <v>0.72</v>
      </c>
    </row>
    <row r="1938" spans="3:5">
      <c r="C1938" s="141">
        <v>11535.5</v>
      </c>
      <c r="D1938" s="144">
        <v>0.17</v>
      </c>
      <c r="E1938" s="144">
        <v>0.73</v>
      </c>
    </row>
    <row r="1939" spans="3:5">
      <c r="C1939" s="141">
        <v>11536</v>
      </c>
      <c r="D1939" s="144">
        <v>0.17</v>
      </c>
      <c r="E1939" s="144">
        <v>0.76</v>
      </c>
    </row>
    <row r="1940" spans="3:5">
      <c r="C1940" s="141">
        <v>11536.5</v>
      </c>
      <c r="D1940" s="144">
        <v>0.16</v>
      </c>
      <c r="E1940" s="144">
        <v>0.83</v>
      </c>
    </row>
    <row r="1941" spans="3:5">
      <c r="C1941" s="141">
        <v>11537</v>
      </c>
      <c r="D1941" s="144">
        <v>0.16</v>
      </c>
      <c r="E1941" s="144">
        <v>0.97</v>
      </c>
    </row>
    <row r="1942" spans="3:5">
      <c r="C1942" s="141">
        <v>11537.5</v>
      </c>
      <c r="D1942" s="144">
        <v>0.17</v>
      </c>
      <c r="E1942" s="144">
        <v>0.92</v>
      </c>
    </row>
    <row r="1943" spans="3:5">
      <c r="C1943" s="141">
        <v>11538</v>
      </c>
      <c r="D1943" s="144">
        <v>0.17</v>
      </c>
      <c r="E1943" s="144">
        <v>0.93</v>
      </c>
    </row>
    <row r="1944" spans="3:5">
      <c r="C1944" s="141">
        <v>11538.5</v>
      </c>
      <c r="D1944" s="144">
        <v>0.17</v>
      </c>
      <c r="E1944" s="144">
        <v>0.96</v>
      </c>
    </row>
    <row r="1945" spans="3:5">
      <c r="C1945" s="141">
        <v>11539</v>
      </c>
      <c r="D1945" s="144">
        <v>0.18</v>
      </c>
      <c r="E1945" s="144">
        <v>0.95</v>
      </c>
    </row>
    <row r="1946" spans="3:5">
      <c r="C1946" s="141">
        <v>11539.5</v>
      </c>
      <c r="D1946" s="144">
        <v>0.18</v>
      </c>
      <c r="E1946" s="144">
        <v>0.94</v>
      </c>
    </row>
    <row r="1947" spans="3:5">
      <c r="C1947" s="141">
        <v>11540</v>
      </c>
      <c r="D1947" s="144">
        <v>0.18</v>
      </c>
      <c r="E1947" s="144">
        <v>0.95</v>
      </c>
    </row>
    <row r="1948" spans="3:5">
      <c r="C1948" s="141">
        <v>11540.5</v>
      </c>
      <c r="D1948" s="144">
        <v>0.18</v>
      </c>
      <c r="E1948" s="144">
        <v>0.98</v>
      </c>
    </row>
    <row r="1949" spans="3:5">
      <c r="C1949" s="141">
        <v>11541</v>
      </c>
      <c r="D1949" s="144">
        <v>0.18</v>
      </c>
      <c r="E1949" s="144">
        <v>0.97</v>
      </c>
    </row>
    <row r="1950" spans="3:5">
      <c r="C1950" s="141">
        <v>11541.5</v>
      </c>
      <c r="D1950" s="144">
        <v>0.18</v>
      </c>
      <c r="E1950" s="144">
        <v>0.96</v>
      </c>
    </row>
    <row r="1951" spans="3:5">
      <c r="C1951" s="141">
        <v>11542</v>
      </c>
      <c r="D1951" s="144">
        <v>0.18</v>
      </c>
      <c r="E1951" s="144">
        <v>0.96</v>
      </c>
    </row>
    <row r="1952" spans="3:5">
      <c r="C1952" s="141">
        <v>11542.5</v>
      </c>
      <c r="D1952" s="144">
        <v>0.18</v>
      </c>
      <c r="E1952" s="144">
        <v>0.93</v>
      </c>
    </row>
    <row r="1953" spans="3:5">
      <c r="C1953" s="141">
        <v>11543</v>
      </c>
      <c r="D1953" s="144">
        <v>0.18</v>
      </c>
      <c r="E1953" s="144">
        <v>0.96</v>
      </c>
    </row>
    <row r="1954" spans="3:5">
      <c r="C1954" s="141">
        <v>11543.5</v>
      </c>
      <c r="D1954" s="144">
        <v>0.17</v>
      </c>
      <c r="E1954" s="144">
        <v>0.96</v>
      </c>
    </row>
    <row r="1955" spans="3:5">
      <c r="C1955" s="141">
        <v>11544</v>
      </c>
      <c r="D1955" s="144">
        <v>0.17</v>
      </c>
      <c r="E1955" s="144">
        <v>0.95</v>
      </c>
    </row>
    <row r="1956" spans="3:5">
      <c r="C1956" s="141">
        <v>11544.5</v>
      </c>
      <c r="D1956" s="144">
        <v>0.17</v>
      </c>
      <c r="E1956" s="144">
        <v>0.97</v>
      </c>
    </row>
    <row r="1957" spans="3:5">
      <c r="C1957" s="141">
        <v>11545</v>
      </c>
      <c r="D1957" s="144">
        <v>0.17</v>
      </c>
      <c r="E1957" s="144">
        <v>0.94</v>
      </c>
    </row>
    <row r="1958" spans="3:5">
      <c r="C1958" s="141">
        <v>11545.5</v>
      </c>
      <c r="D1958" s="144">
        <v>0.17</v>
      </c>
      <c r="E1958" s="144">
        <v>0.94</v>
      </c>
    </row>
    <row r="1959" spans="3:5">
      <c r="C1959" s="141">
        <v>11546</v>
      </c>
      <c r="D1959" s="144">
        <v>0.17</v>
      </c>
      <c r="E1959" s="144">
        <v>0.93</v>
      </c>
    </row>
    <row r="1960" spans="3:5">
      <c r="C1960" s="141">
        <v>11546.5</v>
      </c>
      <c r="D1960" s="144">
        <v>0.17</v>
      </c>
      <c r="E1960" s="144">
        <v>0.76</v>
      </c>
    </row>
    <row r="1961" spans="3:5">
      <c r="C1961" s="141">
        <v>11547</v>
      </c>
      <c r="D1961" s="144">
        <v>0.17</v>
      </c>
      <c r="E1961" s="144">
        <v>0.75</v>
      </c>
    </row>
    <row r="1962" spans="3:5">
      <c r="C1962" s="141">
        <v>11547.5</v>
      </c>
      <c r="D1962" s="144">
        <v>0.17</v>
      </c>
      <c r="E1962" s="144">
        <v>0.73</v>
      </c>
    </row>
    <row r="1963" spans="3:5">
      <c r="C1963" s="141">
        <v>11548</v>
      </c>
      <c r="D1963" s="144">
        <v>0.17</v>
      </c>
      <c r="E1963" s="144">
        <v>0.77</v>
      </c>
    </row>
    <row r="1964" spans="3:5">
      <c r="C1964" s="141">
        <v>11548.5</v>
      </c>
      <c r="D1964" s="144">
        <v>0.17</v>
      </c>
      <c r="E1964" s="144">
        <v>0.85</v>
      </c>
    </row>
    <row r="1965" spans="3:5">
      <c r="C1965" s="141">
        <v>11549</v>
      </c>
      <c r="D1965" s="144">
        <v>0.16</v>
      </c>
      <c r="E1965" s="144">
        <v>1</v>
      </c>
    </row>
    <row r="1966" spans="3:5">
      <c r="C1966" s="141">
        <v>11549.5</v>
      </c>
      <c r="D1966" s="144">
        <v>0.17</v>
      </c>
      <c r="E1966" s="144">
        <v>0.99</v>
      </c>
    </row>
    <row r="1967" spans="3:5">
      <c r="C1967" s="141">
        <v>11550</v>
      </c>
      <c r="D1967" s="144">
        <v>0.17</v>
      </c>
      <c r="E1967" s="144">
        <v>0.97</v>
      </c>
    </row>
    <row r="1968" spans="3:5">
      <c r="C1968" s="141">
        <v>11550.5</v>
      </c>
      <c r="D1968" s="144">
        <v>0.18</v>
      </c>
      <c r="E1968" s="144">
        <v>0.95</v>
      </c>
    </row>
    <row r="1969" spans="3:5">
      <c r="C1969" s="141">
        <v>11551</v>
      </c>
      <c r="D1969" s="144">
        <v>0.18</v>
      </c>
      <c r="E1969" s="144">
        <v>0.95</v>
      </c>
    </row>
    <row r="1970" spans="3:5">
      <c r="C1970" s="141">
        <v>11551.5</v>
      </c>
      <c r="D1970" s="144">
        <v>0.18</v>
      </c>
      <c r="E1970" s="144">
        <v>0.94</v>
      </c>
    </row>
    <row r="1971" spans="3:5">
      <c r="C1971" s="141">
        <v>11552</v>
      </c>
      <c r="D1971" s="144">
        <v>0.18</v>
      </c>
      <c r="E1971" s="144">
        <v>0.97</v>
      </c>
    </row>
    <row r="1972" spans="3:5">
      <c r="C1972" s="141">
        <v>11552.5</v>
      </c>
      <c r="D1972" s="144">
        <v>0.17</v>
      </c>
      <c r="E1972" s="144">
        <v>0.99</v>
      </c>
    </row>
    <row r="1973" spans="3:5">
      <c r="C1973" s="141">
        <v>11553</v>
      </c>
      <c r="D1973" s="144">
        <v>0.17</v>
      </c>
      <c r="E1973" s="144">
        <v>1</v>
      </c>
    </row>
    <row r="1974" spans="3:5">
      <c r="C1974" s="141">
        <v>11553.5</v>
      </c>
      <c r="D1974" s="144">
        <v>0.18</v>
      </c>
      <c r="E1974" s="144">
        <v>0.99</v>
      </c>
    </row>
    <row r="1975" spans="3:5">
      <c r="C1975" s="141">
        <v>11554</v>
      </c>
      <c r="D1975" s="144">
        <v>0.18</v>
      </c>
      <c r="E1975" s="144">
        <v>0.98</v>
      </c>
    </row>
    <row r="1976" spans="3:5">
      <c r="C1976" s="141">
        <v>11554.5</v>
      </c>
      <c r="D1976" s="144">
        <v>0.18</v>
      </c>
      <c r="E1976" s="144">
        <v>1</v>
      </c>
    </row>
    <row r="1977" spans="3:5">
      <c r="C1977" s="141">
        <v>11555</v>
      </c>
      <c r="D1977" s="144">
        <v>0.18</v>
      </c>
      <c r="E1977" s="144">
        <v>1</v>
      </c>
    </row>
    <row r="1978" spans="3:5">
      <c r="C1978" s="141">
        <v>11555.5</v>
      </c>
      <c r="D1978" s="144">
        <v>0.18</v>
      </c>
      <c r="E1978" s="144">
        <v>1</v>
      </c>
    </row>
    <row r="1979" spans="3:5">
      <c r="C1979" s="141">
        <v>11556</v>
      </c>
      <c r="D1979" s="144">
        <v>0.17</v>
      </c>
      <c r="E1979" s="144">
        <v>1</v>
      </c>
    </row>
    <row r="1980" spans="3:5">
      <c r="C1980" s="141">
        <v>11556.5</v>
      </c>
      <c r="D1980" s="144">
        <v>0.18</v>
      </c>
      <c r="E1980" s="144">
        <v>1</v>
      </c>
    </row>
    <row r="1981" spans="3:5">
      <c r="C1981" s="141">
        <v>11557</v>
      </c>
      <c r="D1981" s="144">
        <v>0.18</v>
      </c>
      <c r="E1981" s="144">
        <v>0.99</v>
      </c>
    </row>
    <row r="1982" spans="3:5">
      <c r="C1982" s="141">
        <v>11557.5</v>
      </c>
      <c r="D1982" s="144">
        <v>0.18</v>
      </c>
      <c r="E1982" s="144">
        <v>1</v>
      </c>
    </row>
    <row r="1983" spans="3:5">
      <c r="C1983" s="141">
        <v>11558</v>
      </c>
      <c r="D1983" s="144">
        <v>0.18</v>
      </c>
      <c r="E1983" s="144">
        <v>1</v>
      </c>
    </row>
    <row r="1984" spans="3:5">
      <c r="C1984" s="141">
        <v>11558.5</v>
      </c>
      <c r="D1984" s="144">
        <v>0.18</v>
      </c>
      <c r="E1984" s="144">
        <v>0.96</v>
      </c>
    </row>
    <row r="1985" spans="3:5">
      <c r="C1985" s="141">
        <v>11559</v>
      </c>
      <c r="D1985" s="144">
        <v>0.17</v>
      </c>
      <c r="E1985" s="144">
        <v>0.97</v>
      </c>
    </row>
    <row r="1986" spans="3:5">
      <c r="C1986" s="141">
        <v>11559.5</v>
      </c>
      <c r="D1986" s="144">
        <v>0.17</v>
      </c>
      <c r="E1986" s="144">
        <v>0.98</v>
      </c>
    </row>
    <row r="1987" spans="3:5">
      <c r="C1987" s="141">
        <v>11560</v>
      </c>
      <c r="D1987" s="144">
        <v>0.17</v>
      </c>
      <c r="E1987" s="144">
        <v>0.97</v>
      </c>
    </row>
    <row r="1988" spans="3:5">
      <c r="C1988" s="141">
        <v>11560.5</v>
      </c>
      <c r="D1988" s="144">
        <v>0.17</v>
      </c>
      <c r="E1988" s="144">
        <v>0.96</v>
      </c>
    </row>
    <row r="1989" spans="3:5">
      <c r="C1989" s="141">
        <v>11561</v>
      </c>
      <c r="D1989" s="144">
        <v>0.16</v>
      </c>
      <c r="E1989" s="144">
        <v>0.88</v>
      </c>
    </row>
    <row r="1990" spans="3:5">
      <c r="C1990" s="141">
        <v>11561.5</v>
      </c>
      <c r="D1990" s="144">
        <v>0.16</v>
      </c>
      <c r="E1990" s="144">
        <v>0.85</v>
      </c>
    </row>
    <row r="1991" spans="3:5">
      <c r="C1991" s="141">
        <v>11562</v>
      </c>
      <c r="D1991" s="144">
        <v>0.17</v>
      </c>
      <c r="E1991" s="144">
        <v>0.79</v>
      </c>
    </row>
    <row r="1992" spans="3:5">
      <c r="C1992" s="141">
        <v>11562.5</v>
      </c>
      <c r="D1992" s="144">
        <v>0.17</v>
      </c>
      <c r="E1992" s="144">
        <v>0.79</v>
      </c>
    </row>
    <row r="1993" spans="3:5">
      <c r="C1993" s="141">
        <v>11563</v>
      </c>
      <c r="D1993" s="144">
        <v>0.17</v>
      </c>
      <c r="E1993" s="144">
        <v>0.81</v>
      </c>
    </row>
    <row r="1994" spans="3:5">
      <c r="C1994" s="141">
        <v>11563.5</v>
      </c>
      <c r="D1994" s="144">
        <v>0.18</v>
      </c>
      <c r="E1994" s="144">
        <v>0.83</v>
      </c>
    </row>
    <row r="1995" spans="3:5">
      <c r="C1995" s="141">
        <v>11564</v>
      </c>
      <c r="D1995" s="144">
        <v>0.18</v>
      </c>
      <c r="E1995" s="144">
        <v>0.82</v>
      </c>
    </row>
    <row r="1996" spans="3:5">
      <c r="C1996" s="141">
        <v>11564.5</v>
      </c>
      <c r="D1996" s="144">
        <v>0.19</v>
      </c>
      <c r="E1996" s="144">
        <v>0.9</v>
      </c>
    </row>
    <row r="1997" spans="3:5">
      <c r="C1997" s="141">
        <v>11565</v>
      </c>
      <c r="D1997" s="144">
        <v>0.19</v>
      </c>
      <c r="E1997" s="144">
        <v>0.89</v>
      </c>
    </row>
    <row r="1998" spans="3:5">
      <c r="C1998" s="141">
        <v>11565.5</v>
      </c>
      <c r="D1998" s="144">
        <v>0.18</v>
      </c>
      <c r="E1998" s="144">
        <v>0.91</v>
      </c>
    </row>
    <row r="1999" spans="3:5">
      <c r="C1999" s="141">
        <v>11566</v>
      </c>
      <c r="D1999" s="144">
        <v>0.18</v>
      </c>
      <c r="E1999" s="144">
        <v>0.94</v>
      </c>
    </row>
    <row r="2000" spans="3:5">
      <c r="C2000" s="141">
        <v>11566.5</v>
      </c>
      <c r="D2000" s="144">
        <v>0.17</v>
      </c>
      <c r="E2000" s="144">
        <v>0.95</v>
      </c>
    </row>
    <row r="2001" spans="3:5">
      <c r="C2001" s="141">
        <v>11567</v>
      </c>
      <c r="D2001" s="144">
        <v>0.17</v>
      </c>
      <c r="E2001" s="144">
        <v>0.93</v>
      </c>
    </row>
    <row r="2002" spans="3:5">
      <c r="C2002" s="141">
        <v>11567.5</v>
      </c>
      <c r="D2002" s="144">
        <v>0.17</v>
      </c>
      <c r="E2002" s="144">
        <v>0.93</v>
      </c>
    </row>
    <row r="2003" spans="3:5">
      <c r="C2003" s="141">
        <v>11568</v>
      </c>
      <c r="D2003" s="144">
        <v>0.16</v>
      </c>
      <c r="E2003" s="144">
        <v>0.96</v>
      </c>
    </row>
    <row r="2004" spans="3:5">
      <c r="C2004" s="141">
        <v>11568.5</v>
      </c>
      <c r="D2004" s="144">
        <v>0.16</v>
      </c>
      <c r="E2004" s="144">
        <v>0.83</v>
      </c>
    </row>
    <row r="2005" spans="3:5">
      <c r="C2005" s="141">
        <v>11569</v>
      </c>
      <c r="D2005" s="144">
        <v>0.16</v>
      </c>
      <c r="E2005" s="144">
        <v>0.8</v>
      </c>
    </row>
    <row r="2006" spans="3:5">
      <c r="C2006" s="141">
        <v>11569.5</v>
      </c>
      <c r="D2006" s="144">
        <v>0.16</v>
      </c>
      <c r="E2006" s="144">
        <v>0.81</v>
      </c>
    </row>
    <row r="2007" spans="3:5">
      <c r="C2007" s="141">
        <v>11570</v>
      </c>
      <c r="D2007" s="144">
        <v>0.16</v>
      </c>
      <c r="E2007" s="144">
        <v>0.83</v>
      </c>
    </row>
    <row r="2008" spans="3:5">
      <c r="C2008" s="141">
        <v>11570.5</v>
      </c>
      <c r="D2008" s="144">
        <v>0.16</v>
      </c>
      <c r="E2008" s="144">
        <v>0.84</v>
      </c>
    </row>
    <row r="2009" spans="3:5">
      <c r="C2009" s="141">
        <v>11571</v>
      </c>
      <c r="D2009" s="144">
        <v>0.16</v>
      </c>
      <c r="E2009" s="144">
        <v>0.85</v>
      </c>
    </row>
    <row r="2010" spans="3:5">
      <c r="C2010" s="141">
        <v>11571.5</v>
      </c>
      <c r="D2010" s="144">
        <v>0.16</v>
      </c>
      <c r="E2010" s="144">
        <v>0.89</v>
      </c>
    </row>
    <row r="2011" spans="3:5">
      <c r="C2011" s="141">
        <v>11572</v>
      </c>
      <c r="D2011" s="144">
        <v>0.17</v>
      </c>
      <c r="E2011" s="144">
        <v>0.9</v>
      </c>
    </row>
    <row r="2012" spans="3:5">
      <c r="C2012" s="141">
        <v>11572.5</v>
      </c>
      <c r="D2012" s="144">
        <v>0.17</v>
      </c>
      <c r="E2012" s="144">
        <v>1</v>
      </c>
    </row>
    <row r="2013" spans="3:5">
      <c r="C2013" s="141">
        <v>11573</v>
      </c>
      <c r="D2013" s="144">
        <v>0.18</v>
      </c>
      <c r="E2013" s="144">
        <v>0.97</v>
      </c>
    </row>
    <row r="2014" spans="3:5">
      <c r="C2014" s="141">
        <v>11573.5</v>
      </c>
      <c r="D2014" s="144">
        <v>0.18</v>
      </c>
      <c r="E2014" s="144">
        <v>0.98</v>
      </c>
    </row>
    <row r="2015" spans="3:5">
      <c r="C2015" s="141">
        <v>11574</v>
      </c>
      <c r="D2015" s="144">
        <v>0.18</v>
      </c>
      <c r="E2015" s="144">
        <v>0.98</v>
      </c>
    </row>
    <row r="2016" spans="3:5">
      <c r="C2016" s="141">
        <v>11574.5</v>
      </c>
      <c r="D2016" s="144">
        <v>0.18</v>
      </c>
      <c r="E2016" s="144">
        <v>0.96</v>
      </c>
    </row>
    <row r="2017" spans="3:5">
      <c r="C2017" s="141">
        <v>11575</v>
      </c>
      <c r="D2017" s="144">
        <v>0.17</v>
      </c>
      <c r="E2017" s="144">
        <v>0.97</v>
      </c>
    </row>
    <row r="2018" spans="3:5">
      <c r="C2018" s="141">
        <v>11575.5</v>
      </c>
      <c r="D2018" s="144">
        <v>0.17</v>
      </c>
      <c r="E2018" s="144">
        <v>0.98</v>
      </c>
    </row>
    <row r="2019" spans="3:5">
      <c r="C2019" s="141">
        <v>11576</v>
      </c>
      <c r="D2019" s="144">
        <v>0.17</v>
      </c>
      <c r="E2019" s="144">
        <v>0.99</v>
      </c>
    </row>
    <row r="2020" spans="3:5">
      <c r="C2020" s="141">
        <v>11576.5</v>
      </c>
      <c r="D2020" s="144">
        <v>0.17</v>
      </c>
      <c r="E2020" s="144">
        <v>0.98</v>
      </c>
    </row>
    <row r="2021" spans="3:5">
      <c r="C2021" s="141">
        <v>11577</v>
      </c>
      <c r="D2021" s="144">
        <v>0.17</v>
      </c>
      <c r="E2021" s="144">
        <v>0.96</v>
      </c>
    </row>
    <row r="2022" spans="3:5">
      <c r="C2022" s="141">
        <v>11577.5</v>
      </c>
      <c r="D2022" s="144">
        <v>0.17</v>
      </c>
      <c r="E2022" s="144">
        <v>0.88</v>
      </c>
    </row>
    <row r="2023" spans="3:5">
      <c r="C2023" s="141">
        <v>11578</v>
      </c>
      <c r="D2023" s="144">
        <v>0.17</v>
      </c>
      <c r="E2023" s="144">
        <v>0.88</v>
      </c>
    </row>
    <row r="2024" spans="3:5">
      <c r="C2024" s="141">
        <v>11578.5</v>
      </c>
      <c r="D2024" s="144">
        <v>0.18</v>
      </c>
      <c r="E2024" s="144">
        <v>0.95</v>
      </c>
    </row>
    <row r="2025" spans="3:5">
      <c r="C2025" s="141">
        <v>11579</v>
      </c>
      <c r="D2025" s="144">
        <v>0.18</v>
      </c>
      <c r="E2025" s="144">
        <v>0.96</v>
      </c>
    </row>
    <row r="2026" spans="3:5">
      <c r="C2026" s="141">
        <v>11579.5</v>
      </c>
      <c r="D2026" s="144">
        <v>0.18</v>
      </c>
      <c r="E2026" s="144">
        <v>0.96</v>
      </c>
    </row>
  </sheetData>
  <pageMargins left="0.7" right="0.7" top="0.75" bottom="0.75" header="0.3" footer="0.3"/>
  <drawing r:id="rId1"/>
</worksheet>
</file>

<file path=customUI/_rels/customUI14.xml.rels><?xml version="1.0" encoding="UTF-8" standalone="yes"?>
<Relationships xmlns="http://schemas.openxmlformats.org/package/2006/relationships"><Relationship Id="borrar_datos" Type="http://schemas.openxmlformats.org/officeDocument/2006/relationships/image" Target="images/borrar_datos.png"/><Relationship Id="eco_eval" Type="http://schemas.openxmlformats.org/officeDocument/2006/relationships/image" Target="images/eco_eval.png"/><Relationship Id="hide_charts" Type="http://schemas.openxmlformats.org/officeDocument/2006/relationships/image" Target="images/hide_charts.png"/><Relationship Id="formula_todo" Type="http://schemas.openxmlformats.org/officeDocument/2006/relationships/image" Target="images/formula_todo.png"/><Relationship Id="plot_P90" Type="http://schemas.openxmlformats.org/officeDocument/2006/relationships/image" Target="images/plot_P90.png"/><Relationship Id="plot_P10" Type="http://schemas.openxmlformats.org/officeDocument/2006/relationships/image" Target="images/plot_P10.png"/><Relationship Id="total_P90_P50_P10" Type="http://schemas.openxmlformats.org/officeDocument/2006/relationships/image" Target="images/total_P90_P50_P10.png"/><Relationship Id="ecuaciones" Type="http://schemas.openxmlformats.org/officeDocument/2006/relationships/image" Target="images/ecuaciones.png"/><Relationship Id="todo_MB_eco" Type="http://schemas.openxmlformats.org/officeDocument/2006/relationships/image" Target="images/todo_MB_eco.png"/><Relationship Id="plot_P50" Type="http://schemas.openxmlformats.org/officeDocument/2006/relationships/image" Target="images/plot_P50.png"/><Relationship Id="create_ppt" Type="http://schemas.openxmlformats.org/officeDocument/2006/relationships/image" Target="images/create_ppt.png"/><Relationship Id="borrar_datos_todo" Type="http://schemas.openxmlformats.org/officeDocument/2006/relationships/image" Target="images/borrar_datos_todo.png"/><Relationship Id="Forecast_MB" Type="http://schemas.openxmlformats.org/officeDocument/2006/relationships/image" Target="images/Forecast_MB.png"/></Relationships>
</file>

<file path=customUI/customUI14.xml>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Input Data (Volumetric)</vt:lpstr>
      <vt:lpstr>Porosidad</vt:lpstr>
      <vt:lpstr>Volumetric_OOIP_Reserves</vt:lpstr>
      <vt:lpstr>Sensitivity-Scatter</vt:lpstr>
      <vt:lpstr>OOIP Assumptions</vt:lpstr>
      <vt:lpstr>PHI vs Sw</vt:lpstr>
      <vt:lpstr>'OOIP Assumptions'!Print_Area</vt:lpstr>
      <vt:lpstr>'Sensitivity-Scatter'!Print_Area</vt:lpstr>
      <vt:lpstr>'OOIP Assumptions'!Print_Titles</vt:lpstr>
    </vt:vector>
  </TitlesOfParts>
  <Company>Chaco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Franco F. Sivila A.</dc:creator>
  <cp:lastModifiedBy>Franco</cp:lastModifiedBy>
  <cp:lastPrinted>2012-03-06T13:18:32Z</cp:lastPrinted>
  <dcterms:created xsi:type="dcterms:W3CDTF">2011-10-14T19:35:26Z</dcterms:created>
  <dcterms:modified xsi:type="dcterms:W3CDTF">2019-01-28T01:56:13Z</dcterms:modified>
</cp:coreProperties>
</file>